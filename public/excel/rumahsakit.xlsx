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740" yWindow="2420" windowWidth="28800" windowHeight="16080" tabRatio="600" firstSheet="0" activeTab="2" autoFilterDateGrouping="1"/>
  </bookViews>
  <sheets>
    <sheet xmlns:r="http://schemas.openxmlformats.org/officeDocument/2006/relationships" name="REGULER" sheetId="1" state="visible" r:id="rId1"/>
    <sheet xmlns:r="http://schemas.openxmlformats.org/officeDocument/2006/relationships" name="PLT" sheetId="2" state="visible" r:id="rId2"/>
    <sheet xmlns:r="http://schemas.openxmlformats.org/officeDocument/2006/relationships" name="CPN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  <numFmt numFmtId="168" formatCode="_-* #,##0_-;\-* #,##0_-;_-* &quot;-&quot;_-;_-@_-"/>
  </numFmts>
  <fonts count="21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b val="1"/>
      <sz val="16"/>
    </font>
    <font>
      <name val="Arial"/>
      <family val="2"/>
      <b val="1"/>
      <sz val="10"/>
    </font>
    <font>
      <name val="Arial"/>
      <family val="2"/>
      <b val="1"/>
      <sz val="14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</font>
    <font>
      <name val="Calibri"/>
      <family val="2"/>
      <color indexed="8"/>
      <sz val="11"/>
      <scheme val="minor"/>
    </font>
    <font>
      <name val="Arial"/>
      <family val="2"/>
      <b val="1"/>
      <color theme="1"/>
      <sz val="16"/>
    </font>
    <font>
      <name val="Calibri"/>
      <charset val="1"/>
      <family val="2"/>
      <color rgb="FF000000"/>
      <sz val="13"/>
    </font>
    <font>
      <name val="Arial"/>
      <family val="2"/>
      <b val="1"/>
      <color rgb="FFFF0000"/>
      <sz val="16"/>
    </font>
    <font>
      <name val="Calibri"/>
      <family val="2"/>
      <color rgb="FFFF0000"/>
      <sz val="11"/>
      <scheme val="minor"/>
    </font>
    <font>
      <name val="Calibri"/>
      <family val="2"/>
      <b val="1"/>
      <sz val="9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FFFFFF"/>
      <sz val="11"/>
      <scheme val="minor"/>
    </font>
  </fonts>
  <fills count="18">
    <fill>
      <patternFill/>
    </fill>
    <fill>
      <patternFill patternType="gray125"/>
    </fill>
    <fill>
      <patternFill patternType="solid">
        <fgColor theme="5" tint="0.799920651875362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2CB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</borders>
  <cellStyleXfs count="9">
    <xf numFmtId="0" fontId="1" fillId="0" borderId="0"/>
    <xf numFmtId="43" fontId="1" fillId="0" borderId="0"/>
    <xf numFmtId="41" fontId="1" fillId="0" borderId="0"/>
    <xf numFmtId="9" fontId="1" fillId="0" borderId="0"/>
    <xf numFmtId="0" fontId="2" fillId="0" borderId="0"/>
    <xf numFmtId="0" fontId="2" fillId="0" borderId="0"/>
    <xf numFmtId="0" fontId="8" fillId="0" borderId="0" applyAlignment="1">
      <alignment vertical="center"/>
    </xf>
    <xf numFmtId="0" fontId="6" fillId="0" borderId="0"/>
    <xf numFmtId="0" fontId="11" fillId="0" borderId="0"/>
  </cellStyleXfs>
  <cellXfs count="187">
    <xf numFmtId="0" fontId="0" fillId="0" borderId="0" pivotButton="0" quotePrefix="0" xfId="0"/>
    <xf numFmtId="0" fontId="4" fillId="0" borderId="0" applyAlignment="1" pivotButton="0" quotePrefix="0" xfId="4">
      <alignment horizontal="center" vertical="center"/>
    </xf>
    <xf numFmtId="0" fontId="5" fillId="0" borderId="0" applyAlignment="1" pivotButton="0" quotePrefix="0" xfId="4">
      <alignment vertical="center"/>
    </xf>
    <xf numFmtId="0" fontId="0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center" vertical="center"/>
    </xf>
    <xf numFmtId="0" fontId="7" fillId="0" borderId="1" applyAlignment="1" pivotButton="0" quotePrefix="0" xfId="5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center"/>
    </xf>
    <xf numFmtId="41" fontId="6" fillId="0" borderId="1" applyAlignment="1" pivotButton="0" quotePrefix="0" xfId="2">
      <alignment vertical="center"/>
    </xf>
    <xf numFmtId="164" fontId="7" fillId="0" borderId="1" applyAlignment="1" pivotButton="0" quotePrefix="0" xfId="3">
      <alignment vertical="center"/>
    </xf>
    <xf numFmtId="9" fontId="7" fillId="0" borderId="1" applyAlignment="1" pivotButton="0" quotePrefix="0" xfId="3">
      <alignment vertical="center"/>
    </xf>
    <xf numFmtId="165" fontId="7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7" fillId="11" borderId="1" applyAlignment="1" pivotButton="0" quotePrefix="0" xfId="0">
      <alignment vertical="center"/>
    </xf>
    <xf numFmtId="41" fontId="6" fillId="11" borderId="1" applyAlignment="1" pivotButton="0" quotePrefix="0" xfId="0">
      <alignment vertical="center"/>
    </xf>
    <xf numFmtId="165" fontId="6" fillId="0" borderId="8" applyAlignment="1" pivotButton="0" quotePrefix="1" xfId="0">
      <alignment horizontal="left" vertical="top"/>
    </xf>
    <xf numFmtId="0" fontId="6" fillId="11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9" fontId="7" fillId="11" borderId="1" applyAlignment="1" pivotButton="0" quotePrefix="0" xfId="3">
      <alignment vertical="center"/>
    </xf>
    <xf numFmtId="3" fontId="9" fillId="0" borderId="9" applyAlignment="1" pivotButton="0" quotePrefix="0" xfId="6">
      <alignment horizontal="right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0" pivotButton="0" quotePrefix="0" xfId="0"/>
    <xf numFmtId="165" fontId="7" fillId="0" borderId="10" pivotButton="0" quotePrefix="0" xfId="0"/>
    <xf numFmtId="0" fontId="7" fillId="0" borderId="10" pivotButton="0" quotePrefix="0" xfId="0"/>
    <xf numFmtId="9" fontId="10" fillId="11" borderId="1" pivotButton="0" quotePrefix="0" xfId="3"/>
    <xf numFmtId="165" fontId="10" fillId="11" borderId="1" pivotButton="0" quotePrefix="0" xfId="0"/>
    <xf numFmtId="0" fontId="10" fillId="11" borderId="1" pivotButton="0" quotePrefix="0" xfId="0"/>
    <xf numFmtId="0" fontId="7" fillId="0" borderId="5" pivotButton="0" quotePrefix="0" xfId="0"/>
    <xf numFmtId="165" fontId="7" fillId="0" borderId="0" pivotButton="0" quotePrefix="0" xfId="0"/>
    <xf numFmtId="0" fontId="7" fillId="0" borderId="0" applyAlignment="1" pivotButton="0" quotePrefix="0" xfId="8">
      <alignment horizontal="centerContinuous"/>
    </xf>
    <xf numFmtId="0" fontId="7" fillId="0" borderId="0" pivotButton="0" quotePrefix="0" xfId="8"/>
    <xf numFmtId="0" fontId="12" fillId="0" borderId="0" pivotButton="0" quotePrefix="0" xfId="8"/>
    <xf numFmtId="9" fontId="0" fillId="0" borderId="0" pivotButton="0" quotePrefix="0" xfId="3"/>
    <xf numFmtId="0" fontId="7" fillId="0" borderId="0" pivotButton="0" quotePrefix="0" xfId="4"/>
    <xf numFmtId="9" fontId="7" fillId="0" borderId="0" pivotButton="0" quotePrefix="0" xfId="4"/>
    <xf numFmtId="0" fontId="12" fillId="0" borderId="0" applyAlignment="1" pivotButton="0" quotePrefix="0" xfId="8">
      <alignment horizontal="centerContinuous"/>
    </xf>
    <xf numFmtId="166" fontId="7" fillId="0" borderId="0" pivotButton="0" quotePrefix="0" xfId="1"/>
    <xf numFmtId="165" fontId="0" fillId="0" borderId="0" pivotButton="0" quotePrefix="0" xfId="0"/>
    <xf numFmtId="166" fontId="0" fillId="0" borderId="0" pivotButton="0" quotePrefix="0" xfId="1"/>
    <xf numFmtId="43" fontId="0" fillId="0" borderId="0" pivotButton="0" quotePrefix="0" xfId="1"/>
    <xf numFmtId="43" fontId="7" fillId="0" borderId="0" pivotButton="0" quotePrefix="0" xfId="1"/>
    <xf numFmtId="0" fontId="7" fillId="0" borderId="1" applyAlignment="1" pivotButton="0" quotePrefix="0" xfId="5">
      <alignment horizontal="left" vertical="center"/>
    </xf>
    <xf numFmtId="167" fontId="6" fillId="0" borderId="1" applyAlignment="1" pivotButton="0" quotePrefix="1" xfId="0">
      <alignment horizontal="left" vertical="center"/>
    </xf>
    <xf numFmtId="0" fontId="6" fillId="0" borderId="1" applyAlignment="1" pivotButton="0" quotePrefix="1" xfId="0">
      <alignment horizontal="left" vertical="center"/>
    </xf>
    <xf numFmtId="10" fontId="6" fillId="0" borderId="1" applyAlignment="1" pivotButton="0" quotePrefix="0" xfId="3">
      <alignment vertical="center"/>
    </xf>
    <xf numFmtId="9" fontId="7" fillId="12" borderId="1" applyAlignment="1" pivotButton="0" quotePrefix="0" xfId="0">
      <alignment vertical="center"/>
    </xf>
    <xf numFmtId="165" fontId="6" fillId="12" borderId="1" applyAlignment="1" pivotButton="0" quotePrefix="0" xfId="0">
      <alignment vertical="center"/>
    </xf>
    <xf numFmtId="165" fontId="6" fillId="12" borderId="1" applyAlignment="1" pivotButton="0" quotePrefix="1" xfId="0">
      <alignment vertical="center"/>
    </xf>
    <xf numFmtId="10" fontId="7" fillId="12" borderId="1" applyAlignment="1" pivotButton="0" quotePrefix="0" xfId="3">
      <alignment vertical="center"/>
    </xf>
    <xf numFmtId="10" fontId="14" fillId="0" borderId="11" applyAlignment="1" pivotButton="0" quotePrefix="0" xfId="0">
      <alignment vertical="center"/>
    </xf>
    <xf numFmtId="164" fontId="14" fillId="0" borderId="11" applyAlignment="1" pivotButton="0" quotePrefix="0" xfId="0">
      <alignment vertical="center"/>
    </xf>
    <xf numFmtId="9" fontId="14" fillId="0" borderId="11" applyAlignment="1" pivotButton="0" quotePrefix="0" xfId="0">
      <alignment vertical="center"/>
    </xf>
    <xf numFmtId="10" fontId="14" fillId="15" borderId="11" applyAlignment="1" pivotButton="0" quotePrefix="0" xfId="0">
      <alignment vertical="center"/>
    </xf>
    <xf numFmtId="165" fontId="14" fillId="15" borderId="11" applyAlignment="1" pivotButton="0" quotePrefix="0" xfId="0">
      <alignment vertical="center"/>
    </xf>
    <xf numFmtId="0" fontId="3" fillId="0" borderId="0" applyAlignment="1" pivotButton="0" quotePrefix="0" xfId="4">
      <alignment horizontal="center" vertical="center"/>
    </xf>
    <xf numFmtId="0" fontId="7" fillId="4" borderId="6" applyAlignment="1" pivotButton="0" quotePrefix="0" xfId="0">
      <alignment horizontal="center" vertical="center" wrapText="1"/>
    </xf>
    <xf numFmtId="0" fontId="0" fillId="4" borderId="5" applyAlignment="1" pivotButton="0" quotePrefix="0" xfId="0">
      <alignment horizontal="center" vertical="center"/>
    </xf>
    <xf numFmtId="0" fontId="15" fillId="0" borderId="0" applyAlignment="1" pivotButton="0" quotePrefix="0" xfId="4">
      <alignment horizontal="center" vertical="center"/>
    </xf>
    <xf numFmtId="3" fontId="9" fillId="0" borderId="0" applyAlignment="1" pivotButton="0" quotePrefix="0" xfId="6">
      <alignment horizontal="right"/>
    </xf>
    <xf numFmtId="0" fontId="7" fillId="4" borderId="12" applyAlignment="1" pivotButton="0" quotePrefix="0" xfId="0">
      <alignment horizontal="center" vertical="center" wrapText="1"/>
    </xf>
    <xf numFmtId="164" fontId="0" fillId="11" borderId="1" applyAlignment="1" pivotButton="0" quotePrefix="0" xfId="3">
      <alignment vertical="center"/>
    </xf>
    <xf numFmtId="3" fontId="9" fillId="0" borderId="5" applyAlignment="1" pivotButton="0" quotePrefix="0" xfId="6">
      <alignment horizontal="right"/>
    </xf>
    <xf numFmtId="0" fontId="7" fillId="0" borderId="1" applyAlignment="1" pivotButton="0" quotePrefix="0" xfId="5">
      <alignment vertical="center"/>
    </xf>
    <xf numFmtId="41" fontId="0" fillId="11" borderId="1" applyAlignment="1" pivotButton="0" quotePrefix="0" xfId="0">
      <alignment vertical="center"/>
    </xf>
    <xf numFmtId="165" fontId="16" fillId="0" borderId="1" applyAlignment="1" pivotButton="0" quotePrefix="0" xfId="0">
      <alignment vertical="center"/>
    </xf>
    <xf numFmtId="165" fontId="16" fillId="11" borderId="1" applyAlignment="1" pivotButton="0" quotePrefix="0" xfId="0">
      <alignment vertical="center"/>
    </xf>
    <xf numFmtId="0" fontId="7" fillId="0" borderId="3" pivotButton="0" quotePrefix="0" xfId="0"/>
    <xf numFmtId="165" fontId="10" fillId="0" borderId="0" pivotButton="0" quotePrefix="0" xfId="0"/>
    <xf numFmtId="9" fontId="10" fillId="0" borderId="0" pivotButton="0" quotePrefix="0" xfId="3"/>
    <xf numFmtId="9" fontId="7" fillId="0" borderId="0" pivotButton="0" quotePrefix="0" xfId="3"/>
    <xf numFmtId="166" fontId="7" fillId="0" borderId="0" pivotButton="0" quotePrefix="0" xfId="1"/>
    <xf numFmtId="0" fontId="7" fillId="0" borderId="0" applyAlignment="1" pivotButton="0" quotePrefix="0" xfId="7">
      <alignment horizontal="center"/>
    </xf>
    <xf numFmtId="41" fontId="17" fillId="0" borderId="0" pivotButton="0" quotePrefix="0" xfId="5"/>
    <xf numFmtId="41" fontId="7" fillId="0" borderId="0" pivotButton="0" quotePrefix="0" xfId="0"/>
    <xf numFmtId="0" fontId="7" fillId="0" borderId="0" applyAlignment="1" pivotButton="0" quotePrefix="0" xfId="4">
      <alignment vertical="center"/>
    </xf>
    <xf numFmtId="0" fontId="7" fillId="0" borderId="0" pivotButton="0" quotePrefix="0" xfId="7"/>
    <xf numFmtId="168" fontId="7" fillId="0" borderId="0" pivotButton="0" quotePrefix="0" xfId="0"/>
    <xf numFmtId="41" fontId="7" fillId="0" borderId="0" pivotButton="0" quotePrefix="0" xfId="2"/>
    <xf numFmtId="0" fontId="6" fillId="0" borderId="0" pivotButton="0" quotePrefix="0" xfId="0"/>
    <xf numFmtId="0" fontId="9" fillId="16" borderId="1" applyAlignment="1" pivotButton="0" quotePrefix="0" xfId="0">
      <alignment horizontal="center" vertical="center"/>
    </xf>
    <xf numFmtId="0" fontId="10" fillId="16" borderId="5" applyAlignment="1" pivotButton="0" quotePrefix="0" xfId="0">
      <alignment horizontal="center" vertical="center"/>
    </xf>
    <xf numFmtId="0" fontId="18" fillId="17" borderId="6" applyAlignment="1" pivotButton="0" quotePrefix="0" xfId="0">
      <alignment horizontal="center" vertical="center"/>
    </xf>
    <xf numFmtId="0" fontId="9" fillId="17" borderId="15" applyAlignment="1" pivotButton="0" quotePrefix="0" xfId="0">
      <alignment vertical="center"/>
    </xf>
    <xf numFmtId="0" fontId="9" fillId="17" borderId="9" applyAlignment="1" pivotButton="0" quotePrefix="0" xfId="0">
      <alignment vertical="center"/>
    </xf>
    <xf numFmtId="0" fontId="18" fillId="17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9" fillId="0" borderId="1" pivotButton="0" quotePrefix="0" xfId="0"/>
    <xf numFmtId="0" fontId="9" fillId="0" borderId="5" pivotButton="0" quotePrefix="0" xfId="0"/>
    <xf numFmtId="0" fontId="20" fillId="0" borderId="0" pivotButton="0" quotePrefix="0" xfId="0"/>
    <xf numFmtId="0" fontId="19" fillId="0" borderId="7" applyAlignment="1" pivotButton="0" quotePrefix="0" xfId="0">
      <alignment vertical="top"/>
    </xf>
    <xf numFmtId="0" fontId="9" fillId="0" borderId="9" applyAlignment="1" pivotButton="0" quotePrefix="0" xfId="0">
      <alignment horizontal="left" vertical="top" wrapText="1"/>
    </xf>
    <xf numFmtId="165" fontId="7" fillId="12" borderId="1" applyAlignment="1" pivotButton="0" quotePrefix="0" xfId="0">
      <alignment vertical="center"/>
    </xf>
    <xf numFmtId="0" fontId="0" fillId="6" borderId="5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0" fontId="0" fillId="14" borderId="6" applyAlignment="1" pivotButton="0" quotePrefix="0" xfId="0">
      <alignment horizontal="center" vertical="center" wrapText="1"/>
    </xf>
    <xf numFmtId="0" fontId="0" fillId="14" borderId="7" applyAlignment="1" pivotButton="0" quotePrefix="0" xfId="0">
      <alignment horizontal="center" vertical="center" wrapText="1"/>
    </xf>
    <xf numFmtId="0" fontId="0" fillId="2" borderId="2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13" borderId="2" applyAlignment="1" pivotButton="0" quotePrefix="0" xfId="0">
      <alignment horizontal="center" vertical="center" wrapText="1"/>
    </xf>
    <xf numFmtId="0" fontId="0" fillId="13" borderId="6" applyAlignment="1" pivotButton="0" quotePrefix="0" xfId="0">
      <alignment horizontal="center" vertical="center" wrapText="1"/>
    </xf>
    <xf numFmtId="0" fontId="0" fillId="13" borderId="7" applyAlignment="1" pivotButton="0" quotePrefix="0" xfId="0">
      <alignment horizontal="center" vertical="center" wrapText="1"/>
    </xf>
    <xf numFmtId="0" fontId="7" fillId="4" borderId="7" applyAlignment="1" pivotButton="0" quotePrefix="0" xfId="0">
      <alignment horizontal="center" vertical="center" wrapText="1"/>
    </xf>
    <xf numFmtId="0" fontId="7" fillId="0" borderId="0" applyAlignment="1" pivotButton="0" quotePrefix="0" xfId="6">
      <alignment horizontal="center" vertical="top"/>
    </xf>
    <xf numFmtId="0" fontId="7" fillId="0" borderId="0" applyAlignment="1" pivotButton="0" quotePrefix="0" xfId="8">
      <alignment horizontal="center"/>
    </xf>
    <xf numFmtId="0" fontId="12" fillId="0" borderId="0" applyAlignment="1" pivotButton="0" quotePrefix="0" xfId="8">
      <alignment horizontal="center"/>
    </xf>
    <xf numFmtId="0" fontId="3" fillId="0" borderId="0" applyAlignment="1" pivotButton="0" quotePrefix="0" xfId="4">
      <alignment horizontal="center" vertical="center"/>
    </xf>
    <xf numFmtId="0" fontId="13" fillId="0" borderId="0" applyAlignment="1" pivotButton="0" quotePrefix="0" xfId="4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7" borderId="12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center" vertical="center" wrapText="1"/>
    </xf>
    <xf numFmtId="0" fontId="0" fillId="7" borderId="14" applyAlignment="1" pivotButton="0" quotePrefix="0" xfId="0">
      <alignment horizontal="center" vertical="center" wrapText="1"/>
    </xf>
    <xf numFmtId="0" fontId="0" fillId="7" borderId="15" applyAlignment="1" pivotButton="0" quotePrefix="0" xfId="0">
      <alignment horizontal="center" vertical="center" wrapText="1"/>
    </xf>
    <xf numFmtId="0" fontId="9" fillId="17" borderId="2" applyAlignment="1" pivotButton="0" quotePrefix="0" xfId="0">
      <alignment horizontal="left" vertical="center" wrapText="1"/>
    </xf>
    <xf numFmtId="0" fontId="9" fillId="17" borderId="16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top" wrapText="1"/>
    </xf>
    <xf numFmtId="0" fontId="7" fillId="0" borderId="0" applyAlignment="1" pivotButton="0" quotePrefix="0" xfId="7">
      <alignment horizontal="center"/>
    </xf>
    <xf numFmtId="0" fontId="7" fillId="0" borderId="0" applyAlignment="1" pivotButton="0" quotePrefix="0" xfId="4">
      <alignment horizontal="center" vertical="center" wrapText="1"/>
    </xf>
    <xf numFmtId="0" fontId="6" fillId="2" borderId="22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4" borderId="22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13" borderId="22" applyAlignment="1" pivotButton="0" quotePrefix="0" xfId="0">
      <alignment horizontal="center" vertical="center" wrapText="1"/>
    </xf>
    <xf numFmtId="0" fontId="0" fillId="14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4" pivotButton="0" quotePrefix="0" xfId="0"/>
    <xf numFmtId="0" fontId="0" fillId="0" borderId="6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5" pivotButton="0" quotePrefix="0" xfId="0"/>
    <xf numFmtId="0" fontId="0" fillId="0" borderId="7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7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9" fillId="17" borderId="29" applyAlignment="1" pivotButton="0" quotePrefix="0" xfId="0">
      <alignment horizontal="left" vertical="center" wrapText="1"/>
    </xf>
    <xf numFmtId="0" fontId="0" fillId="0" borderId="30" pivotButton="0" quotePrefix="0" xfId="0"/>
  </cellXfs>
  <cellStyles count="9">
    <cellStyle name="Normal" xfId="0" builtinId="0"/>
    <cellStyle name="Comma" xfId="1" builtinId="3"/>
    <cellStyle name="Comma [0]" xfId="2" builtinId="6"/>
    <cellStyle name="Percent" xfId="3" builtinId="5"/>
    <cellStyle name="Normal 2" xfId="4"/>
    <cellStyle name="Normal 3 2 2" xfId="5"/>
    <cellStyle name="Normal 4" xfId="6"/>
    <cellStyle name="Normal 5" xfId="7"/>
    <cellStyle name="Normal 2 2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988"/>
  <sheetViews>
    <sheetView topLeftCell="N1" workbookViewId="0">
      <selection activeCell="AC9" sqref="AC9"/>
    </sheetView>
  </sheetViews>
  <sheetFormatPr baseColWidth="10" defaultColWidth="8.83203125" defaultRowHeight="16"/>
  <cols>
    <col width="4.5" customWidth="1" style="3" min="1" max="1"/>
    <col width="37.33203125" customWidth="1" min="2" max="2"/>
    <col width="30.83203125" customWidth="1" min="3" max="3"/>
    <col width="22.6640625" customWidth="1" min="4" max="4"/>
    <col width="21.5" customWidth="1" min="5" max="5"/>
    <col width="24.83203125" customWidth="1" min="6" max="6"/>
    <col width="10.6640625" customWidth="1" min="7" max="7"/>
    <col width="9.5" customWidth="1" min="8" max="8"/>
    <col width="12.5" customWidth="1" min="9" max="9"/>
    <col hidden="1" width="8.5" customWidth="1" min="10" max="13"/>
    <col width="14.1640625" customWidth="1" min="14" max="14"/>
    <col width="9.5" customWidth="1" style="45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0.1640625" customWidth="1" min="27" max="28"/>
    <col width="13" customWidth="1" min="29" max="29"/>
    <col width="13.5" customWidth="1" min="30" max="30"/>
    <col width="13" customWidth="1" min="31" max="33"/>
    <col width="11.5" customWidth="1" min="34" max="35"/>
    <col width="13" customWidth="1" min="36" max="36"/>
    <col width="4.83203125" bestFit="1" customWidth="1" min="37" max="37"/>
    <col width="17" customWidth="1" min="38" max="38"/>
  </cols>
  <sheetData>
    <row r="1" ht="28" customHeight="1">
      <c r="A1" s="146" t="inlineStr">
        <is>
          <t xml:space="preserve">DAFTAR TANDA TERIMA PEMBAYARAN TPP ASN </t>
        </is>
      </c>
      <c r="AJ1" s="1" t="n"/>
    </row>
    <row r="2" ht="28" customHeight="1">
      <c r="A2" s="146" t="n"/>
      <c r="AJ2" s="2" t="n"/>
    </row>
    <row r="3" ht="28" customHeight="1">
      <c r="A3" s="147" t="n"/>
      <c r="AJ3" s="2" t="n"/>
    </row>
    <row r="4">
      <c r="A4" s="3" t="inlineStr">
        <is>
          <t>.</t>
        </is>
      </c>
      <c r="D4" t="inlineStr">
        <is>
          <t>.</t>
        </is>
      </c>
    </row>
    <row r="5" ht="16" customHeight="1">
      <c r="A5" s="117" t="inlineStr">
        <is>
          <t>NO</t>
        </is>
      </c>
      <c r="B5" s="117" t="inlineStr">
        <is>
          <t>NAMA</t>
        </is>
      </c>
      <c r="C5" s="135" t="inlineStr">
        <is>
          <t>NIP</t>
        </is>
      </c>
      <c r="D5" s="136" t="inlineStr">
        <is>
          <t>PANGKAT/
GOLONGAN</t>
        </is>
      </c>
      <c r="E5" s="117" t="inlineStr">
        <is>
          <t>JABATAN</t>
        </is>
      </c>
      <c r="F5" s="116" t="inlineStr">
        <is>
          <t>JENIS JABATAN</t>
        </is>
      </c>
      <c r="G5" s="117" t="inlineStr">
        <is>
          <t>KELAS</t>
        </is>
      </c>
      <c r="H5" s="161" t="inlineStr">
        <is>
          <t>KET</t>
        </is>
      </c>
      <c r="I5" s="121" t="inlineStr">
        <is>
          <t>Basic TPP</t>
        </is>
      </c>
      <c r="J5" s="162" t="inlineStr">
        <is>
          <t>Persentase</t>
        </is>
      </c>
      <c r="K5" s="163" t="n"/>
      <c r="L5" s="163" t="n"/>
      <c r="M5" s="164" t="n"/>
      <c r="N5" s="125" t="inlineStr">
        <is>
          <t>Pagu TPP ASN</t>
        </is>
      </c>
      <c r="O5" s="165" t="inlineStr">
        <is>
          <t>Disiplin dan Produktivitas</t>
        </is>
      </c>
      <c r="P5" s="163" t="n"/>
      <c r="Q5" s="164" t="n"/>
      <c r="R5" s="166" t="inlineStr">
        <is>
          <t>Persen PPH21</t>
        </is>
      </c>
      <c r="S5" s="148" t="n"/>
      <c r="T5" s="167" t="n"/>
      <c r="U5" s="167" t="n"/>
      <c r="V5" s="167" t="n"/>
      <c r="W5" s="167" t="n"/>
      <c r="X5" s="167" t="n"/>
      <c r="Y5" s="167" t="n"/>
      <c r="Z5" s="167" t="n"/>
      <c r="AA5" s="167" t="n"/>
      <c r="AB5" s="167" t="n"/>
      <c r="AC5" s="168" t="n"/>
      <c r="AD5" s="169" t="inlineStr">
        <is>
          <t>Tunjangan PPH 21 (TER)</t>
        </is>
      </c>
      <c r="AE5" s="169" t="inlineStr">
        <is>
          <t>Tunjangan BPJS 4%</t>
        </is>
      </c>
      <c r="AF5" s="170" t="inlineStr">
        <is>
          <t>Jumlah Pembayaran</t>
        </is>
      </c>
      <c r="AG5" s="171" t="inlineStr">
        <is>
          <t>PPH 21 (TER)</t>
        </is>
      </c>
      <c r="AH5" s="171" t="inlineStr">
        <is>
          <t>BPJS 1%</t>
        </is>
      </c>
      <c r="AI5" s="111" t="inlineStr">
        <is>
          <t>BPJS 4%</t>
        </is>
      </c>
      <c r="AJ5" s="114" t="inlineStr">
        <is>
          <t>TPP DITERIMA/
TRANSFER</t>
        </is>
      </c>
      <c r="AK5" s="115" t="inlineStr">
        <is>
          <t>TANDA TANGAN</t>
        </is>
      </c>
      <c r="AL5" s="172" t="n"/>
    </row>
    <row r="6" ht="14.5" customHeight="1">
      <c r="A6" s="173" t="n"/>
      <c r="B6" s="173" t="n"/>
      <c r="C6" s="174" t="n"/>
      <c r="D6" s="174" t="n"/>
      <c r="E6" s="173" t="n"/>
      <c r="F6" s="173" t="n"/>
      <c r="G6" s="173" t="n"/>
      <c r="H6" s="174" t="n"/>
      <c r="I6" s="173" t="n"/>
      <c r="J6" s="125" t="inlineStr">
        <is>
          <t>Beban Kerja</t>
        </is>
      </c>
      <c r="K6" s="125" t="inlineStr">
        <is>
          <t>Prestasi Kerja</t>
        </is>
      </c>
      <c r="L6" s="125" t="inlineStr">
        <is>
          <t>Kondisi Kerja</t>
        </is>
      </c>
      <c r="M6" s="125" t="inlineStr">
        <is>
          <t>Kelangkaan Profesi</t>
        </is>
      </c>
      <c r="N6" s="174" t="n"/>
      <c r="O6" s="130" t="inlineStr">
        <is>
          <t>Absensi</t>
        </is>
      </c>
      <c r="P6" s="130" t="inlineStr">
        <is>
          <t>Aktivitas (menit)</t>
        </is>
      </c>
      <c r="Q6" s="130" t="inlineStr">
        <is>
          <t>Penilaian Kinerja</t>
        </is>
      </c>
      <c r="R6" s="174" t="n"/>
      <c r="S6" s="110" t="n"/>
      <c r="T6" s="114" t="inlineStr">
        <is>
          <t>Jumlah Beban Kerja</t>
        </is>
      </c>
      <c r="U6" s="149" t="inlineStr">
        <is>
          <t>Prestasi Kerja</t>
        </is>
      </c>
      <c r="V6" s="167" t="n"/>
      <c r="W6" s="168" t="n"/>
      <c r="X6" s="138" t="inlineStr">
        <is>
          <t>Jumlah Prestasi Kerja</t>
        </is>
      </c>
      <c r="Y6" s="150" t="inlineStr">
        <is>
          <t>Kondisi Kerja</t>
        </is>
      </c>
      <c r="Z6" s="150" t="inlineStr">
        <is>
          <t>Jumlah Kondisi Kerja</t>
        </is>
      </c>
      <c r="AA6" s="151" t="inlineStr">
        <is>
          <t>Kelangkaan Profesi</t>
        </is>
      </c>
      <c r="AB6" s="151" t="inlineStr">
        <is>
          <t>Jumlah Kelangaan Profesi</t>
        </is>
      </c>
      <c r="AC6" s="137" t="inlineStr">
        <is>
          <t>Jumlah Berdasarkan Komponen TPP</t>
        </is>
      </c>
      <c r="AD6" s="174" t="n"/>
      <c r="AE6" s="174" t="n"/>
      <c r="AF6" s="174" t="n"/>
      <c r="AG6" s="174" t="n"/>
      <c r="AH6" s="174" t="n"/>
      <c r="AI6" s="174" t="n"/>
      <c r="AJ6" s="173" t="n"/>
      <c r="AK6" s="175" t="n"/>
      <c r="AL6" s="176" t="n"/>
    </row>
    <row r="7" ht="34" customHeight="1">
      <c r="A7" s="177" t="n"/>
      <c r="B7" s="177" t="n"/>
      <c r="C7" s="174" t="n"/>
      <c r="D7" s="174" t="n"/>
      <c r="E7" s="177" t="n"/>
      <c r="F7" s="177" t="n"/>
      <c r="G7" s="177" t="n"/>
      <c r="H7" s="178" t="n"/>
      <c r="I7" s="177" t="n"/>
      <c r="J7" s="174" t="n"/>
      <c r="K7" s="174" t="n"/>
      <c r="L7" s="174" t="n"/>
      <c r="M7" s="174" t="n"/>
      <c r="N7" s="174" t="n"/>
      <c r="O7" s="174" t="n"/>
      <c r="P7" s="174" t="n"/>
      <c r="Q7" s="174" t="n"/>
      <c r="R7" s="178" t="n"/>
      <c r="S7" s="5" t="inlineStr">
        <is>
          <t>Kinerja (20%)</t>
        </is>
      </c>
      <c r="T7" s="177" t="n"/>
      <c r="U7" s="138" t="inlineStr">
        <is>
          <t>Absensi (40%)</t>
        </is>
      </c>
      <c r="V7" s="138" t="inlineStr">
        <is>
          <t>Aktivitas (40%)</t>
        </is>
      </c>
      <c r="W7" s="138" t="inlineStr">
        <is>
          <t>Kinerja (20%)</t>
        </is>
      </c>
      <c r="X7" s="177" t="n"/>
      <c r="Y7" s="177" t="n"/>
      <c r="Z7" s="177" t="n"/>
      <c r="AA7" s="177" t="n"/>
      <c r="AB7" s="177" t="n"/>
      <c r="AC7" s="177" t="n"/>
      <c r="AD7" s="178" t="n"/>
      <c r="AE7" s="178" t="n"/>
      <c r="AF7" s="178" t="n"/>
      <c r="AG7" s="178" t="n"/>
      <c r="AH7" s="178" t="n"/>
      <c r="AI7" s="174" t="n"/>
      <c r="AJ7" s="177" t="n"/>
      <c r="AK7" s="179" t="n"/>
      <c r="AL7" s="180" t="n"/>
    </row>
    <row r="8" ht="23.5" customHeight="1">
      <c r="A8" s="6" t="inlineStr">
        <is>
          <t>1</t>
        </is>
      </c>
      <c r="B8" s="7" t="n"/>
      <c r="C8" s="56" t="n"/>
      <c r="D8" s="9" t="n"/>
      <c r="E8" s="8" t="n"/>
      <c r="F8" s="10" t="n"/>
      <c r="G8" s="10" t="n"/>
      <c r="H8" s="8" t="n"/>
      <c r="I8" s="11" t="n">
        <v>13501920</v>
      </c>
      <c r="J8" s="62" t="n">
        <v>0.31</v>
      </c>
      <c r="K8" s="63" t="n">
        <v>0.35</v>
      </c>
      <c r="L8" s="64" t="n">
        <v>0.04</v>
      </c>
      <c r="M8" s="64" t="n">
        <v>0</v>
      </c>
      <c r="N8" s="14">
        <f>ROUND(I8*(SUM(J8:M8))*68%,0)</f>
        <v/>
      </c>
      <c r="O8" s="65" t="n">
        <v>1</v>
      </c>
      <c r="P8" s="66" t="n">
        <v>10130</v>
      </c>
      <c r="Q8" s="66" t="inlineStr">
        <is>
          <t>BAIK</t>
        </is>
      </c>
      <c r="R8" s="58" t="n"/>
      <c r="S8" s="15">
        <f>I8*J8</f>
        <v/>
      </c>
      <c r="T8" s="15">
        <f>SUM(S8:S8)*68%</f>
        <v/>
      </c>
      <c r="U8" s="15">
        <f>I8*K8*40%*O8</f>
        <v/>
      </c>
      <c r="V8" s="15">
        <f>IF(P8&gt;=6750,(I8*K8*40%),0)</f>
        <v/>
      </c>
      <c r="W8" s="15">
        <f>IF(P8&lt;6750,0,IF(Q8="",0,IF(OR(Q8="KURANG",Q8="SANGAT KURANG"),I8*K8*10%,I8*K8*20%)))</f>
        <v/>
      </c>
      <c r="X8" s="15">
        <f>SUM(U8:W8)*68%</f>
        <v/>
      </c>
      <c r="Y8" s="15">
        <f>I8*L8</f>
        <v/>
      </c>
      <c r="Z8" s="15">
        <f>Y8 * 68%</f>
        <v/>
      </c>
      <c r="AA8" s="15">
        <f>I8*M8</f>
        <v/>
      </c>
      <c r="AB8" s="15">
        <f>AA8*68%</f>
        <v/>
      </c>
      <c r="AC8" s="16">
        <f>ROUND((T8+X8+Z8+AB8),0)</f>
        <v/>
      </c>
      <c r="AD8" s="16">
        <f>AG8</f>
        <v/>
      </c>
      <c r="AE8" s="16">
        <f>AI8</f>
        <v/>
      </c>
      <c r="AF8" s="16">
        <f>AC8+AD8+AE8</f>
        <v/>
      </c>
      <c r="AG8" s="16" t="n"/>
      <c r="AH8" s="17" t="n"/>
      <c r="AI8" s="17">
        <f>AH8*4</f>
        <v/>
      </c>
      <c r="AJ8" s="15">
        <f>AF8-AG8-AH8-AI8</f>
        <v/>
      </c>
      <c r="AK8" s="18" t="n">
        <v>1</v>
      </c>
      <c r="AL8" s="23" t="n"/>
    </row>
    <row r="9" ht="23.5" customHeight="1">
      <c r="A9" s="6" t="inlineStr">
        <is>
          <t>2</t>
        </is>
      </c>
      <c r="B9" s="54" t="n"/>
      <c r="C9" s="55" t="n"/>
      <c r="D9" s="19" t="n"/>
      <c r="E9" s="8" t="n"/>
      <c r="F9" s="20" t="n"/>
      <c r="G9" s="20" t="n"/>
      <c r="H9" s="21" t="n"/>
      <c r="I9" s="11" t="n"/>
      <c r="J9" s="57" t="n"/>
      <c r="K9" s="12" t="n"/>
      <c r="L9" s="13" t="n"/>
      <c r="M9" s="13" t="n"/>
      <c r="N9" s="14">
        <f>ROUND(I9*(SUM(J9:M9))*68%,0)</f>
        <v/>
      </c>
      <c r="O9" s="61" t="n"/>
      <c r="P9" s="59" t="n"/>
      <c r="Q9" s="60" t="n"/>
      <c r="R9" s="58" t="n"/>
      <c r="S9" s="15">
        <f>I9*J9</f>
        <v/>
      </c>
      <c r="T9" s="15">
        <f>SUM(S9:S9)*68%</f>
        <v/>
      </c>
      <c r="U9" s="15">
        <f>I9*K9*40%*O9</f>
        <v/>
      </c>
      <c r="V9" s="15">
        <f>IF(P9&gt;=6750,(I9*K9*40%),0)</f>
        <v/>
      </c>
      <c r="W9" s="15">
        <f>IF(P9&lt;6750,0,IF(Q9="",0,IF(OR(Q9="KURANG",Q9="SANGAT KURANG"),I9*K9*10%,I9*K9*20%)))</f>
        <v/>
      </c>
      <c r="X9" s="15">
        <f>SUM(U9:W9)*68%</f>
        <v/>
      </c>
      <c r="Y9" s="15">
        <f>I9*L9</f>
        <v/>
      </c>
      <c r="Z9" s="15">
        <f>Y9 * 68%</f>
        <v/>
      </c>
      <c r="AA9" s="15">
        <f>I9*M9</f>
        <v/>
      </c>
      <c r="AB9" s="15">
        <f>AA9*68%</f>
        <v/>
      </c>
      <c r="AC9" s="16">
        <f>ROUND((T9+X9+Z9+AB9),0)</f>
        <v/>
      </c>
      <c r="AD9" s="16">
        <f>AG9</f>
        <v/>
      </c>
      <c r="AE9" s="16">
        <f>AI9</f>
        <v/>
      </c>
      <c r="AF9" s="16">
        <f>AC9+AD9+AE9</f>
        <v/>
      </c>
      <c r="AG9" s="16" t="n"/>
      <c r="AH9" s="17" t="n"/>
      <c r="AI9" s="17">
        <f>AH9*4</f>
        <v/>
      </c>
      <c r="AJ9" s="15">
        <f>AF9-AG9-AH9-AI9</f>
        <v/>
      </c>
      <c r="AK9" s="18" t="n">
        <v>2</v>
      </c>
      <c r="AL9" s="23" t="n"/>
    </row>
    <row r="10" ht="23.5" customHeight="1">
      <c r="A10" s="6" t="inlineStr">
        <is>
          <t>3</t>
        </is>
      </c>
      <c r="B10" s="54" t="n"/>
      <c r="C10" s="55" t="n"/>
      <c r="D10" s="19" t="n"/>
      <c r="E10" s="24" t="n"/>
      <c r="F10" s="25" t="n"/>
      <c r="G10" s="25" t="n"/>
      <c r="H10" s="24" t="n"/>
      <c r="I10" s="11" t="n"/>
      <c r="J10" s="57" t="n"/>
      <c r="K10" s="12" t="n"/>
      <c r="L10" s="13" t="n"/>
      <c r="M10" s="13" t="n"/>
      <c r="N10" s="14">
        <f>ROUND(I10*(SUM(J10:M10))*68%,0)</f>
        <v/>
      </c>
      <c r="O10" s="61" t="n"/>
      <c r="P10" s="59" t="n"/>
      <c r="Q10" s="59" t="n"/>
      <c r="R10" s="58" t="n"/>
      <c r="S10" s="15">
        <f>I10*J10</f>
        <v/>
      </c>
      <c r="T10" s="15">
        <f>SUM(S10:S10)*68%</f>
        <v/>
      </c>
      <c r="U10" s="15">
        <f>I10*K10*40%*O10</f>
        <v/>
      </c>
      <c r="V10" s="15">
        <f>IF(P10&gt;=6750,(I10*K10*40%),0)</f>
        <v/>
      </c>
      <c r="W10" s="15">
        <f>IF(P10&lt;6750,0,IF(Q10="",0,IF(OR(Q10="KURANG",Q10="SANGAT KURANG"),I10*K10*10%,I10*K10*20%)))</f>
        <v/>
      </c>
      <c r="X10" s="15">
        <f>SUM(U10:W10)*68%</f>
        <v/>
      </c>
      <c r="Y10" s="15">
        <f>I10*L10</f>
        <v/>
      </c>
      <c r="Z10" s="15">
        <f>Y10 * 68%</f>
        <v/>
      </c>
      <c r="AA10" s="15">
        <f>I10*M10</f>
        <v/>
      </c>
      <c r="AB10" s="15">
        <f>AA10*68%</f>
        <v/>
      </c>
      <c r="AC10" s="16">
        <f>ROUND((T10+X10+Z10+AB10),0)</f>
        <v/>
      </c>
      <c r="AD10" s="16">
        <f>AG10</f>
        <v/>
      </c>
      <c r="AE10" s="16">
        <f>AI10</f>
        <v/>
      </c>
      <c r="AF10" s="16">
        <f>AC10+AD10+AE10</f>
        <v/>
      </c>
      <c r="AG10" s="16" t="n"/>
      <c r="AH10" s="17" t="n"/>
      <c r="AI10" s="17">
        <f>AH10*4</f>
        <v/>
      </c>
      <c r="AJ10" s="15">
        <f>AF10-AG10-AH10-AI10</f>
        <v/>
      </c>
      <c r="AK10" s="18" t="n">
        <v>3</v>
      </c>
      <c r="AL10" s="23" t="n"/>
    </row>
    <row r="11" ht="23.5" customHeight="1">
      <c r="A11" s="6" t="inlineStr">
        <is>
          <t>4</t>
        </is>
      </c>
      <c r="B11" s="28" t="n"/>
      <c r="C11" s="55" t="n"/>
      <c r="D11" s="19" t="n"/>
      <c r="E11" s="24" t="n"/>
      <c r="F11" s="25" t="n"/>
      <c r="G11" s="25" t="n"/>
      <c r="H11" s="24" t="n"/>
      <c r="I11" s="11" t="n"/>
      <c r="J11" s="57" t="n"/>
      <c r="K11" s="12" t="n"/>
      <c r="L11" s="13" t="n"/>
      <c r="M11" s="13" t="n"/>
      <c r="N11" s="14">
        <f>ROUND(I11*(SUM(J11:M11))*68%,0)</f>
        <v/>
      </c>
      <c r="O11" s="61" t="n"/>
      <c r="P11" s="59" t="n"/>
      <c r="Q11" s="59" t="n"/>
      <c r="R11" s="58" t="n"/>
      <c r="S11" s="15">
        <f>I11*J11</f>
        <v/>
      </c>
      <c r="T11" s="15">
        <f>SUM(S11:S11)*68%</f>
        <v/>
      </c>
      <c r="U11" s="15">
        <f>I11*K11*40%*O11</f>
        <v/>
      </c>
      <c r="V11" s="15">
        <f>IF(P11&gt;=6750,(I11*K11*40%),0)</f>
        <v/>
      </c>
      <c r="W11" s="15">
        <f>IF(P11&lt;6750,0,IF(Q11="",0,IF(OR(Q11="KURANG",Q11="SANGAT KURANG"),I11*K11*10%,I11*K11*20%)))</f>
        <v/>
      </c>
      <c r="X11" s="15">
        <f>SUM(U11:W11)*68%</f>
        <v/>
      </c>
      <c r="Y11" s="15">
        <f>I11*L11</f>
        <v/>
      </c>
      <c r="Z11" s="15">
        <f>Y11 * 68%</f>
        <v/>
      </c>
      <c r="AA11" s="15">
        <f>I11*M11</f>
        <v/>
      </c>
      <c r="AB11" s="15">
        <f>AA11*68%</f>
        <v/>
      </c>
      <c r="AC11" s="16">
        <f>ROUND((T11+X11+Z11+AB11),0)</f>
        <v/>
      </c>
      <c r="AD11" s="16">
        <f>AG11</f>
        <v/>
      </c>
      <c r="AE11" s="16">
        <f>AI11</f>
        <v/>
      </c>
      <c r="AF11" s="16">
        <f>AC11+AD11+AE11</f>
        <v/>
      </c>
      <c r="AG11" s="16" t="n"/>
      <c r="AH11" s="17" t="n"/>
      <c r="AI11" s="17">
        <f>AH11*4</f>
        <v/>
      </c>
      <c r="AJ11" s="15">
        <f>AF11-AG11-AH11-AI11</f>
        <v/>
      </c>
      <c r="AK11" s="18" t="n">
        <v>4</v>
      </c>
      <c r="AL11" s="23" t="n"/>
    </row>
    <row r="12" ht="23.5" customHeight="1">
      <c r="A12" s="6" t="inlineStr">
        <is>
          <t>5</t>
        </is>
      </c>
      <c r="B12" s="28" t="n"/>
      <c r="C12" s="55" t="n"/>
      <c r="D12" s="19" t="n"/>
      <c r="E12" s="24" t="n"/>
      <c r="F12" s="25" t="n"/>
      <c r="G12" s="25" t="n"/>
      <c r="H12" s="24" t="n"/>
      <c r="I12" s="11" t="n"/>
      <c r="J12" s="57" t="n"/>
      <c r="K12" s="12" t="n"/>
      <c r="L12" s="13" t="n"/>
      <c r="M12" s="13" t="n"/>
      <c r="N12" s="14">
        <f>ROUND(I12*(SUM(J12:M12))*68%,0)</f>
        <v/>
      </c>
      <c r="O12" s="61" t="n"/>
      <c r="P12" s="59" t="n"/>
      <c r="Q12" s="59" t="n"/>
      <c r="R12" s="58" t="n"/>
      <c r="S12" s="15">
        <f>I12*J12</f>
        <v/>
      </c>
      <c r="T12" s="15">
        <f>SUM(S12:S12)*68%</f>
        <v/>
      </c>
      <c r="U12" s="15">
        <f>I12*K12*40%*O12</f>
        <v/>
      </c>
      <c r="V12" s="15">
        <f>IF(P12&gt;=6750,(I12*K12*40%),0)</f>
        <v/>
      </c>
      <c r="W12" s="15">
        <f>IF(P12&lt;6750,0,IF(Q12="",0,IF(OR(Q12="KURANG",Q12="SANGAT KURANG"),I12*K12*10%,I12*K12*20%)))</f>
        <v/>
      </c>
      <c r="X12" s="15">
        <f>SUM(U12:W12)*68%</f>
        <v/>
      </c>
      <c r="Y12" s="15">
        <f>I12*L12</f>
        <v/>
      </c>
      <c r="Z12" s="15">
        <f>Y12 * 68%</f>
        <v/>
      </c>
      <c r="AA12" s="15">
        <f>I12*M12</f>
        <v/>
      </c>
      <c r="AB12" s="15">
        <f>AA12*68%</f>
        <v/>
      </c>
      <c r="AC12" s="16">
        <f>ROUND((T12+X12+Z12+AB12),0)</f>
        <v/>
      </c>
      <c r="AD12" s="16">
        <f>AG12</f>
        <v/>
      </c>
      <c r="AE12" s="16">
        <f>AI12</f>
        <v/>
      </c>
      <c r="AF12" s="16">
        <f>AC12+AD12+AE12</f>
        <v/>
      </c>
      <c r="AG12" s="16" t="n"/>
      <c r="AH12" s="17" t="n"/>
      <c r="AI12" s="17">
        <f>AH12*4</f>
        <v/>
      </c>
      <c r="AJ12" s="15">
        <f>AF12-AG12-AH12-AI12</f>
        <v/>
      </c>
      <c r="AK12" s="18" t="n">
        <v>5</v>
      </c>
      <c r="AL12" s="23" t="n"/>
    </row>
    <row r="13" ht="23.5" customHeight="1">
      <c r="A13" s="6" t="inlineStr">
        <is>
          <t>6</t>
        </is>
      </c>
      <c r="B13" s="28" t="n"/>
      <c r="C13" s="55" t="n"/>
      <c r="D13" s="19" t="n"/>
      <c r="E13" s="24" t="n"/>
      <c r="F13" s="25" t="n"/>
      <c r="G13" s="25" t="n"/>
      <c r="H13" s="24" t="n"/>
      <c r="I13" s="11" t="n"/>
      <c r="J13" s="57" t="n"/>
      <c r="K13" s="12" t="n"/>
      <c r="L13" s="13" t="n"/>
      <c r="M13" s="13" t="n"/>
      <c r="N13" s="14">
        <f>ROUND(I13*(SUM(J13:M13))*68%,0)</f>
        <v/>
      </c>
      <c r="O13" s="61" t="n"/>
      <c r="P13" s="59" t="n"/>
      <c r="Q13" s="59" t="n"/>
      <c r="R13" s="58" t="n"/>
      <c r="S13" s="15">
        <f>I13*J13</f>
        <v/>
      </c>
      <c r="T13" s="15">
        <f>SUM(S13:S13)*68%</f>
        <v/>
      </c>
      <c r="U13" s="15">
        <f>I13*K13*40%*O13</f>
        <v/>
      </c>
      <c r="V13" s="15">
        <f>IF(P13&gt;=6750,(I13*K13*40%),0)</f>
        <v/>
      </c>
      <c r="W13" s="15">
        <f>IF(P13&lt;6750,0,IF(Q13="",0,IF(OR(Q13="KURANG",Q13="SANGAT KURANG"),I13*K13*10%,I13*K13*20%)))</f>
        <v/>
      </c>
      <c r="X13" s="15">
        <f>SUM(U13:W13)*68%</f>
        <v/>
      </c>
      <c r="Y13" s="15">
        <f>I13*L13</f>
        <v/>
      </c>
      <c r="Z13" s="15">
        <f>Y13 * 68%</f>
        <v/>
      </c>
      <c r="AA13" s="15">
        <f>I13*M13</f>
        <v/>
      </c>
      <c r="AB13" s="15">
        <f>AA13*68%</f>
        <v/>
      </c>
      <c r="AC13" s="16">
        <f>ROUND((T13+X13+Z13+AB13),0)</f>
        <v/>
      </c>
      <c r="AD13" s="16">
        <f>AG13</f>
        <v/>
      </c>
      <c r="AE13" s="16">
        <f>AI13</f>
        <v/>
      </c>
      <c r="AF13" s="16">
        <f>AC13+AD13+AE13</f>
        <v/>
      </c>
      <c r="AG13" s="16" t="n"/>
      <c r="AH13" s="17" t="n"/>
      <c r="AI13" s="17">
        <f>AH13*4</f>
        <v/>
      </c>
      <c r="AJ13" s="15">
        <f>AF13-AG13-AH13-AI13</f>
        <v/>
      </c>
      <c r="AK13" s="18" t="n">
        <v>6</v>
      </c>
      <c r="AL13" s="23" t="n"/>
    </row>
    <row r="14" ht="23.5" customHeight="1">
      <c r="A14" s="6" t="inlineStr">
        <is>
          <t>7</t>
        </is>
      </c>
      <c r="B14" s="28" t="n"/>
      <c r="C14" s="55" t="n"/>
      <c r="D14" s="19" t="n"/>
      <c r="E14" s="24" t="n"/>
      <c r="F14" s="25" t="n"/>
      <c r="G14" s="25" t="n"/>
      <c r="H14" s="24" t="n"/>
      <c r="I14" s="11" t="n"/>
      <c r="J14" s="57" t="n"/>
      <c r="K14" s="12" t="n"/>
      <c r="L14" s="13" t="n"/>
      <c r="M14" s="13" t="n"/>
      <c r="N14" s="14">
        <f>ROUND(I14*(SUM(J14:M14))*68%,0)</f>
        <v/>
      </c>
      <c r="O14" s="61" t="n"/>
      <c r="P14" s="59" t="n"/>
      <c r="Q14" s="59" t="n"/>
      <c r="R14" s="58" t="n"/>
      <c r="S14" s="15">
        <f>I14*J14</f>
        <v/>
      </c>
      <c r="T14" s="15">
        <f>SUM(S14:S14)*68%</f>
        <v/>
      </c>
      <c r="U14" s="15">
        <f>I14*K14*40%*O14</f>
        <v/>
      </c>
      <c r="V14" s="15">
        <f>IF(P14&gt;=6750,(I14*K14*40%),0)</f>
        <v/>
      </c>
      <c r="W14" s="15">
        <f>IF(P14&lt;6750,0,IF(Q14="",0,IF(OR(Q14="KURANG",Q14="SANGAT KURANG"),I14*K14*10%,I14*K14*20%)))</f>
        <v/>
      </c>
      <c r="X14" s="15">
        <f>SUM(U14:W14)*68%</f>
        <v/>
      </c>
      <c r="Y14" s="15">
        <f>I14*L14</f>
        <v/>
      </c>
      <c r="Z14" s="15">
        <f>Y14 * 68%</f>
        <v/>
      </c>
      <c r="AA14" s="15">
        <f>I14*M14</f>
        <v/>
      </c>
      <c r="AB14" s="15">
        <f>AA14*68%</f>
        <v/>
      </c>
      <c r="AC14" s="16">
        <f>ROUND((T14+X14+Z14+AB14),0)</f>
        <v/>
      </c>
      <c r="AD14" s="16">
        <f>AG14</f>
        <v/>
      </c>
      <c r="AE14" s="16">
        <f>AI14</f>
        <v/>
      </c>
      <c r="AF14" s="16">
        <f>AC14+AD14+AE14</f>
        <v/>
      </c>
      <c r="AG14" s="16" t="n"/>
      <c r="AH14" s="17" t="n"/>
      <c r="AI14" s="17">
        <f>AH14*4</f>
        <v/>
      </c>
      <c r="AJ14" s="15">
        <f>AF14-AG14-AH14-AI14</f>
        <v/>
      </c>
      <c r="AK14" s="18" t="n">
        <v>7</v>
      </c>
      <c r="AL14" s="23" t="n"/>
    </row>
    <row r="15" ht="23.5" customHeight="1">
      <c r="A15" s="6" t="inlineStr">
        <is>
          <t>8</t>
        </is>
      </c>
      <c r="B15" s="28" t="n"/>
      <c r="C15" s="55" t="n"/>
      <c r="D15" s="19" t="n"/>
      <c r="E15" s="24" t="n"/>
      <c r="F15" s="25" t="n"/>
      <c r="G15" s="25" t="n"/>
      <c r="H15" s="24" t="n"/>
      <c r="I15" s="11" t="n"/>
      <c r="J15" s="57" t="n"/>
      <c r="K15" s="12" t="n"/>
      <c r="L15" s="13" t="n"/>
      <c r="M15" s="13" t="n"/>
      <c r="N15" s="14">
        <f>ROUND(I15*(SUM(J15:M15))*68%,0)</f>
        <v/>
      </c>
      <c r="O15" s="61" t="n"/>
      <c r="P15" s="59" t="n"/>
      <c r="Q15" s="59" t="n"/>
      <c r="R15" s="58" t="n"/>
      <c r="S15" s="15">
        <f>I15*J15</f>
        <v/>
      </c>
      <c r="T15" s="15">
        <f>SUM(S15:S15)*68%</f>
        <v/>
      </c>
      <c r="U15" s="15">
        <f>I15*K15*40%*O15</f>
        <v/>
      </c>
      <c r="V15" s="15">
        <f>IF(P15&gt;=6750,(I15*K15*40%),0)</f>
        <v/>
      </c>
      <c r="W15" s="15">
        <f>IF(P15&lt;6750,0,IF(Q15="",0,IF(OR(Q15="KURANG",Q15="SANGAT KURANG"),I15*K15*10%,I15*K15*20%)))</f>
        <v/>
      </c>
      <c r="X15" s="15">
        <f>SUM(U15:W15)*68%</f>
        <v/>
      </c>
      <c r="Y15" s="15">
        <f>I15*L15</f>
        <v/>
      </c>
      <c r="Z15" s="15">
        <f>Y15 * 68%</f>
        <v/>
      </c>
      <c r="AA15" s="15">
        <f>I15*M15</f>
        <v/>
      </c>
      <c r="AB15" s="15">
        <f>AA15*68%</f>
        <v/>
      </c>
      <c r="AC15" s="16">
        <f>ROUND((T15+X15+Z15+AB15),0)</f>
        <v/>
      </c>
      <c r="AD15" s="16">
        <f>AG15</f>
        <v/>
      </c>
      <c r="AE15" s="16">
        <f>AI15</f>
        <v/>
      </c>
      <c r="AF15" s="16">
        <f>AC15+AD15+AE15</f>
        <v/>
      </c>
      <c r="AG15" s="16" t="n"/>
      <c r="AH15" s="17" t="n"/>
      <c r="AI15" s="17">
        <f>AH15*4</f>
        <v/>
      </c>
      <c r="AJ15" s="15">
        <f>AF15-AG15-AH15-AI15</f>
        <v/>
      </c>
      <c r="AK15" s="18" t="n">
        <v>8</v>
      </c>
      <c r="AL15" s="23" t="n"/>
    </row>
    <row r="16" ht="23.5" customHeight="1">
      <c r="A16" s="6" t="inlineStr">
        <is>
          <t>9</t>
        </is>
      </c>
      <c r="B16" s="28" t="n"/>
      <c r="C16" s="55" t="n"/>
      <c r="D16" s="19" t="n"/>
      <c r="E16" s="24" t="n"/>
      <c r="F16" s="25" t="n"/>
      <c r="G16" s="25" t="n"/>
      <c r="H16" s="24" t="n"/>
      <c r="I16" s="11" t="n"/>
      <c r="J16" s="57" t="n"/>
      <c r="K16" s="12" t="n"/>
      <c r="L16" s="13" t="n"/>
      <c r="M16" s="13" t="n"/>
      <c r="N16" s="14">
        <f>ROUND(I16*(SUM(J16:M16))*68%,0)</f>
        <v/>
      </c>
      <c r="O16" s="61" t="n"/>
      <c r="P16" s="59" t="n"/>
      <c r="Q16" s="59" t="n"/>
      <c r="R16" s="58" t="n"/>
      <c r="S16" s="15">
        <f>I16*J16</f>
        <v/>
      </c>
      <c r="T16" s="15">
        <f>SUM(S16:S16)*68%</f>
        <v/>
      </c>
      <c r="U16" s="15">
        <f>I16*K16*40%*O16</f>
        <v/>
      </c>
      <c r="V16" s="15">
        <f>IF(P16&gt;=6750,(I16*K16*40%),0)</f>
        <v/>
      </c>
      <c r="W16" s="15">
        <f>IF(P16&lt;6750,0,IF(Q16="",0,IF(OR(Q16="KURANG",Q16="SANGAT KURANG"),I16*K16*10%,I16*K16*20%)))</f>
        <v/>
      </c>
      <c r="X16" s="15">
        <f>SUM(U16:W16)*68%</f>
        <v/>
      </c>
      <c r="Y16" s="15">
        <f>I16*L16</f>
        <v/>
      </c>
      <c r="Z16" s="15">
        <f>Y16 * 68%</f>
        <v/>
      </c>
      <c r="AA16" s="15">
        <f>I16*M16</f>
        <v/>
      </c>
      <c r="AB16" s="15">
        <f>AA16*68%</f>
        <v/>
      </c>
      <c r="AC16" s="16">
        <f>ROUND((T16+X16+Z16+AB16),0)</f>
        <v/>
      </c>
      <c r="AD16" s="16">
        <f>AG16</f>
        <v/>
      </c>
      <c r="AE16" s="16">
        <f>AI16</f>
        <v/>
      </c>
      <c r="AF16" s="16">
        <f>AC16+AD16+AE16</f>
        <v/>
      </c>
      <c r="AG16" s="16" t="n"/>
      <c r="AH16" s="17" t="n"/>
      <c r="AI16" s="17">
        <f>AH16*4</f>
        <v/>
      </c>
      <c r="AJ16" s="15">
        <f>AF16-AG16-AH16-AI16</f>
        <v/>
      </c>
      <c r="AK16" s="18" t="n">
        <v>9</v>
      </c>
      <c r="AL16" s="40" t="n"/>
    </row>
    <row r="17" ht="23.5" customHeight="1">
      <c r="A17" s="6" t="inlineStr">
        <is>
          <t>10</t>
        </is>
      </c>
      <c r="B17" s="28" t="n"/>
      <c r="C17" s="55" t="n"/>
      <c r="D17" s="19" t="n"/>
      <c r="E17" s="24" t="n"/>
      <c r="F17" s="25" t="n"/>
      <c r="G17" s="25" t="n"/>
      <c r="H17" s="24" t="n"/>
      <c r="I17" s="11" t="n"/>
      <c r="J17" s="57" t="n"/>
      <c r="K17" s="12" t="n"/>
      <c r="L17" s="13" t="n"/>
      <c r="M17" s="13" t="n"/>
      <c r="N17" s="14">
        <f>ROUND(I17*(SUM(J17:M17))*68%,0)</f>
        <v/>
      </c>
      <c r="O17" s="61" t="n"/>
      <c r="P17" s="59" t="n"/>
      <c r="Q17" s="59" t="n"/>
      <c r="R17" s="58" t="n"/>
      <c r="S17" s="15">
        <f>I17*J17</f>
        <v/>
      </c>
      <c r="T17" s="15">
        <f>SUM(S17:S17)*68%</f>
        <v/>
      </c>
      <c r="U17" s="15">
        <f>I17*K17*40%*O17</f>
        <v/>
      </c>
      <c r="V17" s="15">
        <f>IF(P17&gt;=6750,(I17*K17*40%),0)</f>
        <v/>
      </c>
      <c r="W17" s="15">
        <f>IF(P17&lt;6750,0,IF(Q17="",0,IF(OR(Q17="KURANG",Q17="SANGAT KURANG"),I17*K17*10%,I17*K17*20%)))</f>
        <v/>
      </c>
      <c r="X17" s="15">
        <f>SUM(U17:W17)*68%</f>
        <v/>
      </c>
      <c r="Y17" s="15">
        <f>I17*L17</f>
        <v/>
      </c>
      <c r="Z17" s="15">
        <f>Y17 * 68%</f>
        <v/>
      </c>
      <c r="AA17" s="15">
        <f>I17*M17</f>
        <v/>
      </c>
      <c r="AB17" s="15">
        <f>AA17*68%</f>
        <v/>
      </c>
      <c r="AC17" s="16">
        <f>ROUND((T17+X17+Z17+AB17),0)</f>
        <v/>
      </c>
      <c r="AD17" s="16">
        <f>AG17</f>
        <v/>
      </c>
      <c r="AE17" s="16">
        <f>AI17</f>
        <v/>
      </c>
      <c r="AF17" s="16">
        <f>AC17+AD17+AE17</f>
        <v/>
      </c>
      <c r="AG17" s="16" t="n"/>
      <c r="AH17" s="17" t="n"/>
      <c r="AI17" s="17">
        <f>AH17*4</f>
        <v/>
      </c>
      <c r="AJ17" s="15">
        <f>AF17-AG17-AH17-AI17</f>
        <v/>
      </c>
      <c r="AK17" s="18" t="n">
        <v>10</v>
      </c>
      <c r="AL17" s="23" t="n"/>
    </row>
    <row r="18" ht="23.5" customHeight="1">
      <c r="A18" s="6" t="inlineStr">
        <is>
          <t>11</t>
        </is>
      </c>
      <c r="B18" s="28" t="n"/>
      <c r="C18" s="55" t="n"/>
      <c r="D18" s="19" t="n"/>
      <c r="E18" s="24" t="n"/>
      <c r="F18" s="25" t="n"/>
      <c r="G18" s="25" t="n"/>
      <c r="H18" s="24" t="n"/>
      <c r="I18" s="11" t="n"/>
      <c r="J18" s="57" t="n"/>
      <c r="K18" s="12" t="n"/>
      <c r="L18" s="13" t="n"/>
      <c r="M18" s="13" t="n"/>
      <c r="N18" s="14">
        <f>ROUND(I18*(SUM(J18:M18))*68%,0)</f>
        <v/>
      </c>
      <c r="O18" s="61" t="n"/>
      <c r="P18" s="59" t="n"/>
      <c r="Q18" s="59" t="n"/>
      <c r="R18" s="58" t="n"/>
      <c r="S18" s="15">
        <f>I18*J18</f>
        <v/>
      </c>
      <c r="T18" s="15">
        <f>SUM(S18:S18)*68%</f>
        <v/>
      </c>
      <c r="U18" s="15">
        <f>I18*K18*40%*O18</f>
        <v/>
      </c>
      <c r="V18" s="15">
        <f>IF(P18&gt;=6750,(I18*K18*40%),0)</f>
        <v/>
      </c>
      <c r="W18" s="15">
        <f>IF(P18&lt;6750,0,IF(Q18="",0,IF(OR(Q18="KURANG",Q18="SANGAT KURANG"),I18*K18*10%,I18*K18*20%)))</f>
        <v/>
      </c>
      <c r="X18" s="15">
        <f>SUM(U18:W18)*68%</f>
        <v/>
      </c>
      <c r="Y18" s="15">
        <f>I18*L18</f>
        <v/>
      </c>
      <c r="Z18" s="15">
        <f>Y18 * 68%</f>
        <v/>
      </c>
      <c r="AA18" s="15">
        <f>I18*M18</f>
        <v/>
      </c>
      <c r="AB18" s="15">
        <f>AA18*68%</f>
        <v/>
      </c>
      <c r="AC18" s="16">
        <f>ROUND((T18+X18+Z18+AB18),0)</f>
        <v/>
      </c>
      <c r="AD18" s="16">
        <f>AG18</f>
        <v/>
      </c>
      <c r="AE18" s="16">
        <f>AI18</f>
        <v/>
      </c>
      <c r="AF18" s="16">
        <f>AC18+AD18+AE18</f>
        <v/>
      </c>
      <c r="AG18" s="16" t="n"/>
      <c r="AH18" s="17" t="n"/>
      <c r="AI18" s="17">
        <f>AH18*4</f>
        <v/>
      </c>
      <c r="AJ18" s="15">
        <f>AF18-AG18-AH18-AI18</f>
        <v/>
      </c>
      <c r="AK18" s="18" t="n">
        <v>11</v>
      </c>
      <c r="AL18" s="40" t="n"/>
    </row>
    <row r="19" ht="23.5" customHeight="1">
      <c r="A19" s="6" t="inlineStr">
        <is>
          <t>12</t>
        </is>
      </c>
      <c r="B19" s="28" t="n"/>
      <c r="C19" s="55" t="n"/>
      <c r="D19" s="19" t="n"/>
      <c r="E19" s="24" t="n"/>
      <c r="F19" s="25" t="n"/>
      <c r="G19" s="25" t="n"/>
      <c r="H19" s="24" t="n"/>
      <c r="I19" s="11" t="n"/>
      <c r="J19" s="57" t="n"/>
      <c r="K19" s="12" t="n"/>
      <c r="L19" s="13" t="n"/>
      <c r="M19" s="13" t="n"/>
      <c r="N19" s="14">
        <f>ROUND(I19*(SUM(J19:M19))*68%,0)</f>
        <v/>
      </c>
      <c r="O19" s="61" t="n"/>
      <c r="P19" s="59" t="n"/>
      <c r="Q19" s="59" t="n"/>
      <c r="R19" s="58" t="n"/>
      <c r="S19" s="15">
        <f>I19*J19</f>
        <v/>
      </c>
      <c r="T19" s="15">
        <f>SUM(S19:S19)*68%</f>
        <v/>
      </c>
      <c r="U19" s="15">
        <f>I19*K19*40%*O19</f>
        <v/>
      </c>
      <c r="V19" s="15">
        <f>IF(P19&gt;=6750,(I19*K19*40%),0)</f>
        <v/>
      </c>
      <c r="W19" s="15">
        <f>IF(P19&lt;6750,0,IF(Q19="",0,IF(OR(Q19="KURANG",Q19="SANGAT KURANG"),I19*K19*10%,I19*K19*20%)))</f>
        <v/>
      </c>
      <c r="X19" s="15">
        <f>SUM(U19:W19)*68%</f>
        <v/>
      </c>
      <c r="Y19" s="15">
        <f>I19*L19</f>
        <v/>
      </c>
      <c r="Z19" s="15">
        <f>Y19 * 68%</f>
        <v/>
      </c>
      <c r="AA19" s="15">
        <f>I19*M19</f>
        <v/>
      </c>
      <c r="AB19" s="15">
        <f>AA19*68%</f>
        <v/>
      </c>
      <c r="AC19" s="16">
        <f>ROUND((T19+X19+Z19+AB19),0)</f>
        <v/>
      </c>
      <c r="AD19" s="16">
        <f>AG19</f>
        <v/>
      </c>
      <c r="AE19" s="16">
        <f>AI19</f>
        <v/>
      </c>
      <c r="AF19" s="16">
        <f>AC19+AD19+AE19</f>
        <v/>
      </c>
      <c r="AG19" s="16" t="n"/>
      <c r="AH19" s="17" t="n"/>
      <c r="AI19" s="17">
        <f>AH19*4</f>
        <v/>
      </c>
      <c r="AJ19" s="15">
        <f>AF19-AG19-AH19-AI19</f>
        <v/>
      </c>
      <c r="AK19" s="18" t="n">
        <v>12</v>
      </c>
      <c r="AL19" s="23" t="n"/>
    </row>
    <row r="20" ht="23.5" customHeight="1">
      <c r="A20" s="6" t="inlineStr">
        <is>
          <t>13</t>
        </is>
      </c>
      <c r="B20" s="28" t="n"/>
      <c r="C20" s="55" t="n"/>
      <c r="D20" s="19" t="n"/>
      <c r="E20" s="24" t="n"/>
      <c r="F20" s="25" t="n"/>
      <c r="G20" s="25" t="n"/>
      <c r="H20" s="24" t="n"/>
      <c r="I20" s="11" t="n"/>
      <c r="J20" s="57" t="n"/>
      <c r="K20" s="12" t="n"/>
      <c r="L20" s="13" t="n"/>
      <c r="M20" s="13" t="n"/>
      <c r="N20" s="14">
        <f>ROUND(I20*(SUM(J20:M20))*68%,0)</f>
        <v/>
      </c>
      <c r="O20" s="61" t="n"/>
      <c r="P20" s="59" t="n"/>
      <c r="Q20" s="59" t="n"/>
      <c r="R20" s="58" t="n"/>
      <c r="S20" s="15">
        <f>I20*J20</f>
        <v/>
      </c>
      <c r="T20" s="15">
        <f>SUM(S20:S20)*68%</f>
        <v/>
      </c>
      <c r="U20" s="15">
        <f>I20*K20*40%*O20</f>
        <v/>
      </c>
      <c r="V20" s="15">
        <f>IF(P20&gt;=6750,(I20*K20*40%),0)</f>
        <v/>
      </c>
      <c r="W20" s="15">
        <f>IF(P20&lt;6750,0,IF(Q20="",0,IF(OR(Q20="KURANG",Q20="SANGAT KURANG"),I20*K20*10%,I20*K20*20%)))</f>
        <v/>
      </c>
      <c r="X20" s="15">
        <f>SUM(U20:W20)*68%</f>
        <v/>
      </c>
      <c r="Y20" s="15">
        <f>I20*L20</f>
        <v/>
      </c>
      <c r="Z20" s="15">
        <f>Y20 * 68%</f>
        <v/>
      </c>
      <c r="AA20" s="15">
        <f>I20*M20</f>
        <v/>
      </c>
      <c r="AB20" s="15">
        <f>AA20*68%</f>
        <v/>
      </c>
      <c r="AC20" s="16">
        <f>ROUND((T20+X20+Z20+AB20),0)</f>
        <v/>
      </c>
      <c r="AD20" s="16">
        <f>AG20</f>
        <v/>
      </c>
      <c r="AE20" s="16">
        <f>AI20</f>
        <v/>
      </c>
      <c r="AF20" s="16">
        <f>AC20+AD20+AE20</f>
        <v/>
      </c>
      <c r="AG20" s="16" t="n"/>
      <c r="AH20" s="17" t="n"/>
      <c r="AI20" s="17">
        <f>AH20*4</f>
        <v/>
      </c>
      <c r="AJ20" s="15">
        <f>AF20-AG20-AH20-AI20</f>
        <v/>
      </c>
      <c r="AK20" s="18" t="n">
        <v>13</v>
      </c>
      <c r="AL20" s="23" t="n"/>
    </row>
    <row r="21" ht="23.5" customHeight="1">
      <c r="A21" s="6" t="inlineStr">
        <is>
          <t>14</t>
        </is>
      </c>
      <c r="B21" s="28" t="n"/>
      <c r="C21" s="55" t="n"/>
      <c r="D21" s="19" t="n"/>
      <c r="E21" s="24" t="n"/>
      <c r="F21" s="25" t="n"/>
      <c r="G21" s="25" t="n"/>
      <c r="H21" s="24" t="n"/>
      <c r="I21" s="11" t="n"/>
      <c r="J21" s="57" t="n"/>
      <c r="K21" s="12" t="n"/>
      <c r="L21" s="13" t="n"/>
      <c r="M21" s="13" t="n"/>
      <c r="N21" s="14">
        <f>ROUND(I21*(SUM(J21:M21))*68%,0)</f>
        <v/>
      </c>
      <c r="O21" s="61" t="n"/>
      <c r="P21" s="59" t="n"/>
      <c r="Q21" s="59" t="n"/>
      <c r="R21" s="58" t="n"/>
      <c r="S21" s="15">
        <f>I21*J21</f>
        <v/>
      </c>
      <c r="T21" s="15">
        <f>SUM(S21:S21)*68%</f>
        <v/>
      </c>
      <c r="U21" s="15">
        <f>I21*K21*40%*O21</f>
        <v/>
      </c>
      <c r="V21" s="15">
        <f>IF(P21&gt;=6750,(I21*K21*40%),0)</f>
        <v/>
      </c>
      <c r="W21" s="15">
        <f>IF(P21&lt;6750,0,IF(Q21="",0,IF(OR(Q21="KURANG",Q21="SANGAT KURANG"),I21*K21*10%,I21*K21*20%)))</f>
        <v/>
      </c>
      <c r="X21" s="15">
        <f>SUM(U21:W21)*68%</f>
        <v/>
      </c>
      <c r="Y21" s="15">
        <f>I21*L21</f>
        <v/>
      </c>
      <c r="Z21" s="15">
        <f>Y21 * 68%</f>
        <v/>
      </c>
      <c r="AA21" s="15">
        <f>I21*M21</f>
        <v/>
      </c>
      <c r="AB21" s="15">
        <f>AA21*68%</f>
        <v/>
      </c>
      <c r="AC21" s="16">
        <f>ROUND((T21+X21+Z21+AB21),0)</f>
        <v/>
      </c>
      <c r="AD21" s="16">
        <f>AG21</f>
        <v/>
      </c>
      <c r="AE21" s="16">
        <f>AI21</f>
        <v/>
      </c>
      <c r="AF21" s="16">
        <f>AC21+AD21+AE21</f>
        <v/>
      </c>
      <c r="AG21" s="16" t="n"/>
      <c r="AH21" s="17" t="n"/>
      <c r="AI21" s="17">
        <f>AH21*4</f>
        <v/>
      </c>
      <c r="AJ21" s="15">
        <f>AF21-AG21-AH21-AI21</f>
        <v/>
      </c>
      <c r="AK21" s="18" t="n">
        <v>14</v>
      </c>
      <c r="AL21" s="23" t="n"/>
    </row>
    <row r="22" ht="23.5" customHeight="1">
      <c r="A22" s="6" t="inlineStr">
        <is>
          <t>15</t>
        </is>
      </c>
      <c r="B22" s="28" t="n"/>
      <c r="C22" s="55" t="n"/>
      <c r="D22" s="19" t="n"/>
      <c r="E22" s="24" t="n"/>
      <c r="F22" s="25" t="n"/>
      <c r="G22" s="25" t="n"/>
      <c r="H22" s="24" t="n"/>
      <c r="I22" s="11" t="n"/>
      <c r="J22" s="57" t="n"/>
      <c r="K22" s="12" t="n"/>
      <c r="L22" s="13" t="n"/>
      <c r="M22" s="13" t="n"/>
      <c r="N22" s="14">
        <f>ROUND(I22*(SUM(J22:M22))*68%,0)</f>
        <v/>
      </c>
      <c r="O22" s="61" t="n"/>
      <c r="P22" s="59" t="n"/>
      <c r="Q22" s="59" t="n"/>
      <c r="R22" s="58" t="n"/>
      <c r="S22" s="15">
        <f>I22*J22</f>
        <v/>
      </c>
      <c r="T22" s="15">
        <f>SUM(S22:S22)*68%</f>
        <v/>
      </c>
      <c r="U22" s="15">
        <f>I22*K22*40%*O22</f>
        <v/>
      </c>
      <c r="V22" s="15">
        <f>IF(P22&gt;=6750,(I22*K22*40%),0)</f>
        <v/>
      </c>
      <c r="W22" s="15">
        <f>IF(P22&lt;6750,0,IF(Q22="",0,IF(OR(Q22="KURANG",Q22="SANGAT KURANG"),I22*K22*10%,I22*K22*20%)))</f>
        <v/>
      </c>
      <c r="X22" s="15">
        <f>SUM(U22:W22)*68%</f>
        <v/>
      </c>
      <c r="Y22" s="15">
        <f>I22*L22</f>
        <v/>
      </c>
      <c r="Z22" s="15">
        <f>Y22 * 68%</f>
        <v/>
      </c>
      <c r="AA22" s="15">
        <f>I22*M22</f>
        <v/>
      </c>
      <c r="AB22" s="15">
        <f>AA22*68%</f>
        <v/>
      </c>
      <c r="AC22" s="16">
        <f>ROUND((T22+X22+Z22+AB22),0)</f>
        <v/>
      </c>
      <c r="AD22" s="16">
        <f>AG22</f>
        <v/>
      </c>
      <c r="AE22" s="16">
        <f>AI22</f>
        <v/>
      </c>
      <c r="AF22" s="16">
        <f>AC22+AD22+AE22</f>
        <v/>
      </c>
      <c r="AG22" s="16" t="n"/>
      <c r="AH22" s="17" t="n"/>
      <c r="AI22" s="17">
        <f>AH22*4</f>
        <v/>
      </c>
      <c r="AJ22" s="15">
        <f>AF22-AG22-AH22-AI22</f>
        <v/>
      </c>
      <c r="AK22" s="18" t="n">
        <v>15</v>
      </c>
      <c r="AL22" s="23" t="n"/>
    </row>
    <row r="23" ht="23.5" customHeight="1">
      <c r="A23" s="6" t="inlineStr">
        <is>
          <t>16</t>
        </is>
      </c>
      <c r="B23" s="28" t="n"/>
      <c r="C23" s="55" t="n"/>
      <c r="D23" s="19" t="n"/>
      <c r="E23" s="24" t="n"/>
      <c r="F23" s="25" t="n"/>
      <c r="G23" s="25" t="n"/>
      <c r="H23" s="24" t="n"/>
      <c r="I23" s="11" t="n"/>
      <c r="J23" s="57" t="n"/>
      <c r="K23" s="12" t="n"/>
      <c r="L23" s="13" t="n"/>
      <c r="M23" s="13" t="n"/>
      <c r="N23" s="14">
        <f>ROUND(I23*(SUM(J23:M23))*68%,0)</f>
        <v/>
      </c>
      <c r="O23" s="61" t="n"/>
      <c r="P23" s="59" t="n"/>
      <c r="Q23" s="59" t="n"/>
      <c r="R23" s="58" t="n"/>
      <c r="S23" s="15">
        <f>I23*J23</f>
        <v/>
      </c>
      <c r="T23" s="15">
        <f>SUM(S23:S23)*68%</f>
        <v/>
      </c>
      <c r="U23" s="15">
        <f>I23*K23*40%*O23</f>
        <v/>
      </c>
      <c r="V23" s="15">
        <f>IF(P23&gt;=6750,(I23*K23*40%),0)</f>
        <v/>
      </c>
      <c r="W23" s="15">
        <f>IF(P23&lt;6750,0,IF(Q23="",0,IF(OR(Q23="KURANG",Q23="SANGAT KURANG"),I23*K23*10%,I23*K23*20%)))</f>
        <v/>
      </c>
      <c r="X23" s="15">
        <f>SUM(U23:W23)*68%</f>
        <v/>
      </c>
      <c r="Y23" s="15">
        <f>I23*L23</f>
        <v/>
      </c>
      <c r="Z23" s="15">
        <f>Y23 * 68%</f>
        <v/>
      </c>
      <c r="AA23" s="15">
        <f>I23*M23</f>
        <v/>
      </c>
      <c r="AB23" s="15">
        <f>AA23*68%</f>
        <v/>
      </c>
      <c r="AC23" s="16">
        <f>ROUND((T23+X23+Z23+AB23),0)</f>
        <v/>
      </c>
      <c r="AD23" s="16">
        <f>AG23</f>
        <v/>
      </c>
      <c r="AE23" s="16">
        <f>AI23</f>
        <v/>
      </c>
      <c r="AF23" s="16">
        <f>AC23+AD23+AE23</f>
        <v/>
      </c>
      <c r="AG23" s="16" t="n"/>
      <c r="AH23" s="17" t="n"/>
      <c r="AI23" s="17">
        <f>AH23*4</f>
        <v/>
      </c>
      <c r="AJ23" s="15">
        <f>AF23-AG23-AH23-AI23</f>
        <v/>
      </c>
      <c r="AK23" s="18" t="n">
        <v>16</v>
      </c>
      <c r="AL23" s="23" t="n"/>
    </row>
    <row r="24" ht="23.5" customHeight="1">
      <c r="A24" s="6" t="inlineStr">
        <is>
          <t>17</t>
        </is>
      </c>
      <c r="B24" s="28" t="n"/>
      <c r="C24" s="55" t="n"/>
      <c r="D24" s="19" t="n"/>
      <c r="E24" s="24" t="n"/>
      <c r="F24" s="25" t="n"/>
      <c r="G24" s="25" t="n"/>
      <c r="H24" s="24" t="n"/>
      <c r="I24" s="11" t="n"/>
      <c r="J24" s="57" t="n"/>
      <c r="K24" s="12" t="n"/>
      <c r="L24" s="13" t="n"/>
      <c r="M24" s="13" t="n"/>
      <c r="N24" s="14">
        <f>ROUND(I24*(SUM(J24:M24))*68%,0)</f>
        <v/>
      </c>
      <c r="O24" s="61" t="n"/>
      <c r="P24" s="59" t="n"/>
      <c r="Q24" s="59" t="n"/>
      <c r="R24" s="58" t="n"/>
      <c r="S24" s="15">
        <f>I24*J24</f>
        <v/>
      </c>
      <c r="T24" s="15">
        <f>SUM(S24:S24)*68%</f>
        <v/>
      </c>
      <c r="U24" s="15">
        <f>I24*K24*40%*O24</f>
        <v/>
      </c>
      <c r="V24" s="15">
        <f>IF(P24&gt;=6750,(I24*K24*40%),0)</f>
        <v/>
      </c>
      <c r="W24" s="15">
        <f>IF(P24&lt;6750,0,IF(Q24="",0,IF(OR(Q24="KURANG",Q24="SANGAT KURANG"),I24*K24*10%,I24*K24*20%)))</f>
        <v/>
      </c>
      <c r="X24" s="15">
        <f>SUM(U24:W24)*68%</f>
        <v/>
      </c>
      <c r="Y24" s="15">
        <f>I24*L24</f>
        <v/>
      </c>
      <c r="Z24" s="15">
        <f>Y24 * 68%</f>
        <v/>
      </c>
      <c r="AA24" s="15">
        <f>I24*M24</f>
        <v/>
      </c>
      <c r="AB24" s="15">
        <f>AA24*68%</f>
        <v/>
      </c>
      <c r="AC24" s="16">
        <f>ROUND((T24+X24+Z24+AB24),0)</f>
        <v/>
      </c>
      <c r="AD24" s="16">
        <f>AG24</f>
        <v/>
      </c>
      <c r="AE24" s="16">
        <f>AI24</f>
        <v/>
      </c>
      <c r="AF24" s="16">
        <f>AC24+AD24+AE24</f>
        <v/>
      </c>
      <c r="AG24" s="16" t="n"/>
      <c r="AH24" s="17" t="n"/>
      <c r="AI24" s="17">
        <f>AH24*4</f>
        <v/>
      </c>
      <c r="AJ24" s="15">
        <f>AF24-AG24-AH24-AI24</f>
        <v/>
      </c>
      <c r="AK24" s="18" t="n">
        <v>17</v>
      </c>
      <c r="AL24" s="23" t="n"/>
    </row>
    <row r="25" ht="23.5" customHeight="1">
      <c r="A25" s="6" t="inlineStr">
        <is>
          <t>18</t>
        </is>
      </c>
      <c r="B25" s="28" t="n"/>
      <c r="C25" s="55" t="n"/>
      <c r="D25" s="19" t="n"/>
      <c r="E25" s="24" t="n"/>
      <c r="F25" s="25" t="n"/>
      <c r="G25" s="25" t="n"/>
      <c r="H25" s="24" t="n"/>
      <c r="I25" s="11" t="n"/>
      <c r="J25" s="57" t="n"/>
      <c r="K25" s="12" t="n"/>
      <c r="L25" s="13" t="n"/>
      <c r="M25" s="13" t="n"/>
      <c r="N25" s="14">
        <f>ROUND(I25*(SUM(J25:M25))*68%,0)</f>
        <v/>
      </c>
      <c r="O25" s="61" t="n"/>
      <c r="P25" s="59" t="n"/>
      <c r="Q25" s="59" t="n"/>
      <c r="R25" s="58" t="n"/>
      <c r="S25" s="15">
        <f>I25*J25</f>
        <v/>
      </c>
      <c r="T25" s="15">
        <f>SUM(S25:S25)*68%</f>
        <v/>
      </c>
      <c r="U25" s="15">
        <f>I25*K25*40%*O25</f>
        <v/>
      </c>
      <c r="V25" s="15">
        <f>IF(P25&gt;=6750,(I25*K25*40%),0)</f>
        <v/>
      </c>
      <c r="W25" s="15">
        <f>IF(P25&lt;6750,0,IF(Q25="",0,IF(OR(Q25="KURANG",Q25="SANGAT KURANG"),I25*K25*10%,I25*K25*20%)))</f>
        <v/>
      </c>
      <c r="X25" s="15">
        <f>SUM(U25:W25)*68%</f>
        <v/>
      </c>
      <c r="Y25" s="15">
        <f>I25*L25</f>
        <v/>
      </c>
      <c r="Z25" s="15">
        <f>Y25 * 68%</f>
        <v/>
      </c>
      <c r="AA25" s="15">
        <f>I25*M25</f>
        <v/>
      </c>
      <c r="AB25" s="15">
        <f>AA25*68%</f>
        <v/>
      </c>
      <c r="AC25" s="16">
        <f>ROUND((T25+X25+Z25+AB25),0)</f>
        <v/>
      </c>
      <c r="AD25" s="16">
        <f>AG25</f>
        <v/>
      </c>
      <c r="AE25" s="16">
        <f>AI25</f>
        <v/>
      </c>
      <c r="AF25" s="16">
        <f>AC25+AD25+AE25</f>
        <v/>
      </c>
      <c r="AG25" s="16" t="n"/>
      <c r="AH25" s="17" t="n"/>
      <c r="AI25" s="17">
        <f>AH25*4</f>
        <v/>
      </c>
      <c r="AJ25" s="15">
        <f>AF25-AG25-AH25-AI25</f>
        <v/>
      </c>
      <c r="AK25" s="18" t="n">
        <v>18</v>
      </c>
      <c r="AL25" s="40" t="n"/>
    </row>
    <row r="26" ht="23.5" customHeight="1">
      <c r="A26" s="6" t="inlineStr">
        <is>
          <t>19</t>
        </is>
      </c>
      <c r="B26" s="28" t="n"/>
      <c r="C26" s="55" t="n"/>
      <c r="D26" s="19" t="n"/>
      <c r="E26" s="24" t="n"/>
      <c r="F26" s="25" t="n"/>
      <c r="G26" s="25" t="n"/>
      <c r="H26" s="24" t="n"/>
      <c r="I26" s="11" t="n"/>
      <c r="J26" s="57" t="n"/>
      <c r="K26" s="12" t="n"/>
      <c r="L26" s="13" t="n"/>
      <c r="M26" s="13" t="n"/>
      <c r="N26" s="14">
        <f>ROUND(I26*(SUM(J26:M26))*68%,0)</f>
        <v/>
      </c>
      <c r="O26" s="61" t="n"/>
      <c r="P26" s="59" t="n"/>
      <c r="Q26" s="59" t="n"/>
      <c r="R26" s="58" t="n"/>
      <c r="S26" s="15">
        <f>I26*J26</f>
        <v/>
      </c>
      <c r="T26" s="15">
        <f>SUM(S26:S26)*68%</f>
        <v/>
      </c>
      <c r="U26" s="15">
        <f>I26*K26*40%*O26</f>
        <v/>
      </c>
      <c r="V26" s="15">
        <f>IF(P26&gt;=6750,(I26*K26*40%),0)</f>
        <v/>
      </c>
      <c r="W26" s="15">
        <f>IF(P26&lt;6750,0,IF(Q26="",0,IF(OR(Q26="KURANG",Q26="SANGAT KURANG"),I26*K26*10%,I26*K26*20%)))</f>
        <v/>
      </c>
      <c r="X26" s="15">
        <f>SUM(U26:W26)*68%</f>
        <v/>
      </c>
      <c r="Y26" s="15">
        <f>I26*L26</f>
        <v/>
      </c>
      <c r="Z26" s="15">
        <f>Y26 * 68%</f>
        <v/>
      </c>
      <c r="AA26" s="15">
        <f>I26*M26</f>
        <v/>
      </c>
      <c r="AB26" s="15">
        <f>AA26*68%</f>
        <v/>
      </c>
      <c r="AC26" s="16">
        <f>ROUND((T26+X26+Z26+AB26),0)</f>
        <v/>
      </c>
      <c r="AD26" s="16">
        <f>AG26</f>
        <v/>
      </c>
      <c r="AE26" s="16">
        <f>AI26</f>
        <v/>
      </c>
      <c r="AF26" s="16">
        <f>AC26+AD26+AE26</f>
        <v/>
      </c>
      <c r="AG26" s="16" t="n"/>
      <c r="AH26" s="17" t="n"/>
      <c r="AI26" s="17">
        <f>AH26*4</f>
        <v/>
      </c>
      <c r="AJ26" s="15">
        <f>AF26-AG26-AH26-AI26</f>
        <v/>
      </c>
      <c r="AK26" s="18" t="n">
        <v>19</v>
      </c>
      <c r="AL26" s="23" t="n"/>
    </row>
    <row r="27" ht="23.5" customHeight="1">
      <c r="A27" s="6" t="inlineStr">
        <is>
          <t>20</t>
        </is>
      </c>
      <c r="B27" s="28" t="n"/>
      <c r="C27" s="55" t="n"/>
      <c r="D27" s="19" t="n"/>
      <c r="E27" s="24" t="n"/>
      <c r="F27" s="25" t="n"/>
      <c r="G27" s="25" t="n"/>
      <c r="H27" s="24" t="n"/>
      <c r="I27" s="11" t="n"/>
      <c r="J27" s="57" t="n"/>
      <c r="K27" s="12" t="n"/>
      <c r="L27" s="13" t="n"/>
      <c r="M27" s="13" t="n"/>
      <c r="N27" s="14">
        <f>ROUND(I27*(SUM(J27:M27))*68%,0)</f>
        <v/>
      </c>
      <c r="O27" s="61" t="n"/>
      <c r="P27" s="59" t="n"/>
      <c r="Q27" s="59" t="n"/>
      <c r="R27" s="58" t="n"/>
      <c r="S27" s="15">
        <f>I27*J27</f>
        <v/>
      </c>
      <c r="T27" s="15">
        <f>SUM(S27:S27)*68%</f>
        <v/>
      </c>
      <c r="U27" s="15">
        <f>I27*K27*40%*O27</f>
        <v/>
      </c>
      <c r="V27" s="15">
        <f>IF(P27&gt;=6750,(I27*K27*40%),0)</f>
        <v/>
      </c>
      <c r="W27" s="15">
        <f>IF(P27&lt;6750,0,IF(Q27="",0,IF(OR(Q27="KURANG",Q27="SANGAT KURANG"),I27*K27*10%,I27*K27*20%)))</f>
        <v/>
      </c>
      <c r="X27" s="15">
        <f>SUM(U27:W27)*68%</f>
        <v/>
      </c>
      <c r="Y27" s="15">
        <f>I27*L27</f>
        <v/>
      </c>
      <c r="Z27" s="15">
        <f>Y27 * 68%</f>
        <v/>
      </c>
      <c r="AA27" s="15">
        <f>I27*M27</f>
        <v/>
      </c>
      <c r="AB27" s="15">
        <f>AA27*68%</f>
        <v/>
      </c>
      <c r="AC27" s="16">
        <f>ROUND((T27+X27+Z27+AB27),0)</f>
        <v/>
      </c>
      <c r="AD27" s="16">
        <f>AG27</f>
        <v/>
      </c>
      <c r="AE27" s="16">
        <f>AI27</f>
        <v/>
      </c>
      <c r="AF27" s="16">
        <f>AC27+AD27+AE27</f>
        <v/>
      </c>
      <c r="AG27" s="16" t="n"/>
      <c r="AH27" s="17" t="n"/>
      <c r="AI27" s="17">
        <f>AH27*4</f>
        <v/>
      </c>
      <c r="AJ27" s="15">
        <f>AF27-AG27-AH27-AI27</f>
        <v/>
      </c>
      <c r="AK27" s="18" t="n">
        <v>20</v>
      </c>
      <c r="AL27" s="40" t="n"/>
    </row>
    <row r="28" ht="23.5" customHeight="1">
      <c r="A28" s="6" t="inlineStr">
        <is>
          <t>21</t>
        </is>
      </c>
      <c r="B28" s="28" t="n"/>
      <c r="C28" s="55" t="n"/>
      <c r="D28" s="19" t="n"/>
      <c r="E28" s="24" t="n"/>
      <c r="F28" s="25" t="n"/>
      <c r="G28" s="25" t="n"/>
      <c r="H28" s="24" t="n"/>
      <c r="I28" s="11" t="n"/>
      <c r="J28" s="57" t="n"/>
      <c r="K28" s="12" t="n"/>
      <c r="L28" s="13" t="n"/>
      <c r="M28" s="13" t="n"/>
      <c r="N28" s="14">
        <f>ROUND(I28*(SUM(J28:M28))*68%,0)</f>
        <v/>
      </c>
      <c r="O28" s="61" t="n"/>
      <c r="P28" s="59" t="n"/>
      <c r="Q28" s="59" t="n"/>
      <c r="R28" s="58" t="n"/>
      <c r="S28" s="15">
        <f>I28*J28</f>
        <v/>
      </c>
      <c r="T28" s="15">
        <f>SUM(S28:S28)*68%</f>
        <v/>
      </c>
      <c r="U28" s="15">
        <f>I28*K28*40%*O28</f>
        <v/>
      </c>
      <c r="V28" s="15">
        <f>IF(P28&gt;=6750,(I28*K28*40%),0)</f>
        <v/>
      </c>
      <c r="W28" s="15">
        <f>IF(P28&lt;6750,0,IF(Q28="",0,IF(OR(Q28="KURANG",Q28="SANGAT KURANG"),I28*K28*10%,I28*K28*20%)))</f>
        <v/>
      </c>
      <c r="X28" s="15">
        <f>SUM(U28:W28)*68%</f>
        <v/>
      </c>
      <c r="Y28" s="15">
        <f>I28*L28</f>
        <v/>
      </c>
      <c r="Z28" s="15">
        <f>Y28 * 68%</f>
        <v/>
      </c>
      <c r="AA28" s="15">
        <f>I28*M28</f>
        <v/>
      </c>
      <c r="AB28" s="15">
        <f>AA28*68%</f>
        <v/>
      </c>
      <c r="AC28" s="16">
        <f>ROUND((T28+X28+Z28+AB28),0)</f>
        <v/>
      </c>
      <c r="AD28" s="16">
        <f>AG28</f>
        <v/>
      </c>
      <c r="AE28" s="16">
        <f>AI28</f>
        <v/>
      </c>
      <c r="AF28" s="16">
        <f>AC28+AD28+AE28</f>
        <v/>
      </c>
      <c r="AG28" s="16" t="n"/>
      <c r="AH28" s="17" t="n"/>
      <c r="AI28" s="17">
        <f>AH28*4</f>
        <v/>
      </c>
      <c r="AJ28" s="15">
        <f>AF28-AG28-AH28-AI28</f>
        <v/>
      </c>
      <c r="AK28" s="18" t="n">
        <v>21</v>
      </c>
      <c r="AL28" s="23" t="n"/>
    </row>
    <row r="29" ht="23.5" customHeight="1">
      <c r="A29" s="6" t="inlineStr">
        <is>
          <t>22</t>
        </is>
      </c>
      <c r="B29" s="28" t="n"/>
      <c r="C29" s="55" t="n"/>
      <c r="D29" s="19" t="n"/>
      <c r="E29" s="24" t="n"/>
      <c r="F29" s="25" t="n"/>
      <c r="G29" s="25" t="n"/>
      <c r="H29" s="24" t="n"/>
      <c r="I29" s="11" t="n"/>
      <c r="J29" s="57" t="n"/>
      <c r="K29" s="12" t="n"/>
      <c r="L29" s="13" t="n"/>
      <c r="M29" s="13" t="n"/>
      <c r="N29" s="14">
        <f>ROUND(I29*(SUM(J29:M29))*68%,0)</f>
        <v/>
      </c>
      <c r="O29" s="61" t="n"/>
      <c r="P29" s="59" t="n"/>
      <c r="Q29" s="59" t="n"/>
      <c r="R29" s="58" t="n"/>
      <c r="S29" s="15">
        <f>I29*J29</f>
        <v/>
      </c>
      <c r="T29" s="15">
        <f>SUM(S29:S29)*68%</f>
        <v/>
      </c>
      <c r="U29" s="15">
        <f>I29*K29*40%*O29</f>
        <v/>
      </c>
      <c r="V29" s="15">
        <f>IF(P29&gt;=6750,(I29*K29*40%),0)</f>
        <v/>
      </c>
      <c r="W29" s="15">
        <f>IF(P29&lt;6750,0,IF(Q29="",0,IF(OR(Q29="KURANG",Q29="SANGAT KURANG"),I29*K29*10%,I29*K29*20%)))</f>
        <v/>
      </c>
      <c r="X29" s="15">
        <f>SUM(U29:W29)*68%</f>
        <v/>
      </c>
      <c r="Y29" s="15">
        <f>I29*L29</f>
        <v/>
      </c>
      <c r="Z29" s="15">
        <f>Y29 * 68%</f>
        <v/>
      </c>
      <c r="AA29" s="15">
        <f>I29*M29</f>
        <v/>
      </c>
      <c r="AB29" s="15">
        <f>AA29*68%</f>
        <v/>
      </c>
      <c r="AC29" s="16">
        <f>ROUND((T29+X29+Z29+AB29),0)</f>
        <v/>
      </c>
      <c r="AD29" s="16">
        <f>AG29</f>
        <v/>
      </c>
      <c r="AE29" s="16">
        <f>AI29</f>
        <v/>
      </c>
      <c r="AF29" s="16">
        <f>AC29+AD29+AE29</f>
        <v/>
      </c>
      <c r="AG29" s="16" t="n"/>
      <c r="AH29" s="17" t="n"/>
      <c r="AI29" s="17">
        <f>AH29*4</f>
        <v/>
      </c>
      <c r="AJ29" s="15">
        <f>AF29-AG29-AH29-AI29</f>
        <v/>
      </c>
      <c r="AK29" s="18" t="n">
        <v>22</v>
      </c>
      <c r="AL29" s="23" t="n"/>
    </row>
    <row r="30" ht="23.5" customHeight="1">
      <c r="A30" s="6" t="inlineStr">
        <is>
          <t>23</t>
        </is>
      </c>
      <c r="B30" s="28" t="n"/>
      <c r="C30" s="55" t="n"/>
      <c r="D30" s="19" t="n"/>
      <c r="E30" s="24" t="n"/>
      <c r="F30" s="25" t="n"/>
      <c r="G30" s="25" t="n"/>
      <c r="H30" s="24" t="n"/>
      <c r="I30" s="11" t="n"/>
      <c r="J30" s="57" t="n"/>
      <c r="K30" s="12" t="n"/>
      <c r="L30" s="13" t="n"/>
      <c r="M30" s="13" t="n"/>
      <c r="N30" s="14">
        <f>ROUND(I30*(SUM(J30:M30))*68%,0)</f>
        <v/>
      </c>
      <c r="O30" s="61" t="n"/>
      <c r="P30" s="59" t="n"/>
      <c r="Q30" s="59" t="n"/>
      <c r="R30" s="58" t="n"/>
      <c r="S30" s="15">
        <f>I30*J30</f>
        <v/>
      </c>
      <c r="T30" s="15">
        <f>SUM(S30:S30)*68%</f>
        <v/>
      </c>
      <c r="U30" s="15">
        <f>I30*K30*40%*O30</f>
        <v/>
      </c>
      <c r="V30" s="15">
        <f>IF(P30&gt;=6750,(I30*K30*40%),0)</f>
        <v/>
      </c>
      <c r="W30" s="15">
        <f>IF(P30&lt;6750,0,IF(Q30="",0,IF(OR(Q30="KURANG",Q30="SANGAT KURANG"),I30*K30*10%,I30*K30*20%)))</f>
        <v/>
      </c>
      <c r="X30" s="15">
        <f>SUM(U30:W30)*68%</f>
        <v/>
      </c>
      <c r="Y30" s="15">
        <f>I30*L30</f>
        <v/>
      </c>
      <c r="Z30" s="15">
        <f>Y30 * 68%</f>
        <v/>
      </c>
      <c r="AA30" s="15">
        <f>I30*M30</f>
        <v/>
      </c>
      <c r="AB30" s="15">
        <f>AA30*68%</f>
        <v/>
      </c>
      <c r="AC30" s="16">
        <f>ROUND((T30+X30+Z30+AB30),0)</f>
        <v/>
      </c>
      <c r="AD30" s="16">
        <f>AG30</f>
        <v/>
      </c>
      <c r="AE30" s="16">
        <f>AI30</f>
        <v/>
      </c>
      <c r="AF30" s="16">
        <f>AC30+AD30+AE30</f>
        <v/>
      </c>
      <c r="AG30" s="16" t="n"/>
      <c r="AH30" s="17" t="n"/>
      <c r="AI30" s="17">
        <f>AH30*4</f>
        <v/>
      </c>
      <c r="AJ30" s="15">
        <f>AF30-AG30-AH30-AI30</f>
        <v/>
      </c>
      <c r="AK30" s="18" t="n">
        <v>23</v>
      </c>
      <c r="AL30" s="23" t="n"/>
    </row>
    <row r="31" ht="23.5" customHeight="1">
      <c r="A31" s="6" t="inlineStr">
        <is>
          <t>24</t>
        </is>
      </c>
      <c r="B31" s="28" t="n"/>
      <c r="C31" s="55" t="n"/>
      <c r="D31" s="19" t="n"/>
      <c r="E31" s="24" t="n"/>
      <c r="F31" s="25" t="n"/>
      <c r="G31" s="25" t="n"/>
      <c r="H31" s="24" t="n"/>
      <c r="I31" s="11" t="n"/>
      <c r="J31" s="57" t="n"/>
      <c r="K31" s="12" t="n"/>
      <c r="L31" s="13" t="n"/>
      <c r="M31" s="13" t="n"/>
      <c r="N31" s="14">
        <f>ROUND(I31*(SUM(J31:M31))*68%,0)</f>
        <v/>
      </c>
      <c r="O31" s="61" t="n"/>
      <c r="P31" s="59" t="n"/>
      <c r="Q31" s="59" t="n"/>
      <c r="R31" s="58" t="n"/>
      <c r="S31" s="15">
        <f>I31*J31</f>
        <v/>
      </c>
      <c r="T31" s="15">
        <f>SUM(S31:S31)*68%</f>
        <v/>
      </c>
      <c r="U31" s="15">
        <f>I31*K31*40%*O31</f>
        <v/>
      </c>
      <c r="V31" s="15">
        <f>IF(P31&gt;=6750,(I31*K31*40%),0)</f>
        <v/>
      </c>
      <c r="W31" s="15">
        <f>IF(P31&lt;6750,0,IF(Q31="",0,IF(OR(Q31="KURANG",Q31="SANGAT KURANG"),I31*K31*10%,I31*K31*20%)))</f>
        <v/>
      </c>
      <c r="X31" s="15">
        <f>SUM(U31:W31)*68%</f>
        <v/>
      </c>
      <c r="Y31" s="15">
        <f>I31*L31</f>
        <v/>
      </c>
      <c r="Z31" s="15">
        <f>Y31 * 68%</f>
        <v/>
      </c>
      <c r="AA31" s="15">
        <f>I31*M31</f>
        <v/>
      </c>
      <c r="AB31" s="15">
        <f>AA31*68%</f>
        <v/>
      </c>
      <c r="AC31" s="16">
        <f>ROUND((T31+X31+Z31+AB31),0)</f>
        <v/>
      </c>
      <c r="AD31" s="16">
        <f>AG31</f>
        <v/>
      </c>
      <c r="AE31" s="16">
        <f>AI31</f>
        <v/>
      </c>
      <c r="AF31" s="16">
        <f>AC31+AD31+AE31</f>
        <v/>
      </c>
      <c r="AG31" s="16" t="n"/>
      <c r="AH31" s="17" t="n"/>
      <c r="AI31" s="17">
        <f>AH31*4</f>
        <v/>
      </c>
      <c r="AJ31" s="15">
        <f>AF31-AG31-AH31-AI31</f>
        <v/>
      </c>
      <c r="AK31" s="18" t="n">
        <v>24</v>
      </c>
      <c r="AL31" s="23" t="n"/>
    </row>
    <row r="32" ht="23.5" customHeight="1">
      <c r="A32" s="6" t="inlineStr">
        <is>
          <t>25</t>
        </is>
      </c>
      <c r="B32" s="28" t="n"/>
      <c r="C32" s="55" t="n"/>
      <c r="D32" s="19" t="n"/>
      <c r="E32" s="24" t="n"/>
      <c r="F32" s="25" t="n"/>
      <c r="G32" s="25" t="n"/>
      <c r="H32" s="24" t="n"/>
      <c r="I32" s="11" t="n"/>
      <c r="J32" s="57" t="n"/>
      <c r="K32" s="12" t="n"/>
      <c r="L32" s="13" t="n"/>
      <c r="M32" s="13" t="n"/>
      <c r="N32" s="14">
        <f>ROUND(I32*(SUM(J32:M32))*68%,0)</f>
        <v/>
      </c>
      <c r="O32" s="61" t="n"/>
      <c r="P32" s="59" t="n"/>
      <c r="Q32" s="59" t="n"/>
      <c r="R32" s="58" t="n"/>
      <c r="S32" s="15">
        <f>I32*J32</f>
        <v/>
      </c>
      <c r="T32" s="15">
        <f>SUM(S32:S32)*68%</f>
        <v/>
      </c>
      <c r="U32" s="15">
        <f>I32*K32*40%*O32</f>
        <v/>
      </c>
      <c r="V32" s="15">
        <f>IF(P32&gt;=6750,(I32*K32*40%),0)</f>
        <v/>
      </c>
      <c r="W32" s="15">
        <f>IF(P32&lt;6750,0,IF(Q32="",0,IF(OR(Q32="KURANG",Q32="SANGAT KURANG"),I32*K32*10%,I32*K32*20%)))</f>
        <v/>
      </c>
      <c r="X32" s="15">
        <f>SUM(U32:W32)*68%</f>
        <v/>
      </c>
      <c r="Y32" s="15">
        <f>I32*L32</f>
        <v/>
      </c>
      <c r="Z32" s="15">
        <f>Y32 * 68%</f>
        <v/>
      </c>
      <c r="AA32" s="15">
        <f>I32*M32</f>
        <v/>
      </c>
      <c r="AB32" s="15">
        <f>AA32*68%</f>
        <v/>
      </c>
      <c r="AC32" s="16">
        <f>ROUND((T32+X32+Z32+AB32),0)</f>
        <v/>
      </c>
      <c r="AD32" s="16">
        <f>AG32</f>
        <v/>
      </c>
      <c r="AE32" s="16">
        <f>AI32</f>
        <v/>
      </c>
      <c r="AF32" s="16">
        <f>AC32+AD32+AE32</f>
        <v/>
      </c>
      <c r="AG32" s="16" t="n"/>
      <c r="AH32" s="17" t="n"/>
      <c r="AI32" s="17">
        <f>AH32*4</f>
        <v/>
      </c>
      <c r="AJ32" s="15">
        <f>AF32-AG32-AH32-AI32</f>
        <v/>
      </c>
      <c r="AK32" s="18" t="n">
        <v>25</v>
      </c>
      <c r="AL32" s="23" t="n"/>
    </row>
    <row r="33" ht="23.5" customHeight="1">
      <c r="A33" s="6" t="inlineStr">
        <is>
          <t>26</t>
        </is>
      </c>
      <c r="B33" s="28" t="n"/>
      <c r="C33" s="55" t="n"/>
      <c r="D33" s="19" t="n"/>
      <c r="E33" s="24" t="n"/>
      <c r="F33" s="25" t="n"/>
      <c r="G33" s="25" t="n"/>
      <c r="H33" s="24" t="n"/>
      <c r="I33" s="11" t="n"/>
      <c r="J33" s="57" t="n"/>
      <c r="K33" s="12" t="n"/>
      <c r="L33" s="13" t="n"/>
      <c r="M33" s="13" t="n"/>
      <c r="N33" s="14">
        <f>ROUND(I33*(SUM(J33:M33))*68%,0)</f>
        <v/>
      </c>
      <c r="O33" s="61" t="n"/>
      <c r="P33" s="59" t="n"/>
      <c r="Q33" s="59" t="n"/>
      <c r="R33" s="58" t="n"/>
      <c r="S33" s="15">
        <f>I33*J33</f>
        <v/>
      </c>
      <c r="T33" s="15">
        <f>SUM(S33:S33)*68%</f>
        <v/>
      </c>
      <c r="U33" s="15">
        <f>I33*K33*40%*O33</f>
        <v/>
      </c>
      <c r="V33" s="15">
        <f>IF(P33&gt;=6750,(I33*K33*40%),0)</f>
        <v/>
      </c>
      <c r="W33" s="15">
        <f>IF(P33&lt;6750,0,IF(Q33="",0,IF(OR(Q33="KURANG",Q33="SANGAT KURANG"),I33*K33*10%,I33*K33*20%)))</f>
        <v/>
      </c>
      <c r="X33" s="15">
        <f>SUM(U33:W33)*68%</f>
        <v/>
      </c>
      <c r="Y33" s="15">
        <f>I33*L33</f>
        <v/>
      </c>
      <c r="Z33" s="15">
        <f>Y33 * 68%</f>
        <v/>
      </c>
      <c r="AA33" s="15">
        <f>I33*M33</f>
        <v/>
      </c>
      <c r="AB33" s="15">
        <f>AA33*68%</f>
        <v/>
      </c>
      <c r="AC33" s="16">
        <f>ROUND((T33+X33+Z33+AB33),0)</f>
        <v/>
      </c>
      <c r="AD33" s="16">
        <f>AG33</f>
        <v/>
      </c>
      <c r="AE33" s="16">
        <f>AI33</f>
        <v/>
      </c>
      <c r="AF33" s="16">
        <f>AC33+AD33+AE33</f>
        <v/>
      </c>
      <c r="AG33" s="16" t="n"/>
      <c r="AH33" s="17" t="n"/>
      <c r="AI33" s="17">
        <f>AH33*4</f>
        <v/>
      </c>
      <c r="AJ33" s="15">
        <f>AF33-AG33-AH33-AI33</f>
        <v/>
      </c>
      <c r="AK33" s="18" t="n">
        <v>26</v>
      </c>
      <c r="AL33" s="23" t="n"/>
    </row>
    <row r="34" ht="23.5" customHeight="1">
      <c r="A34" s="6" t="inlineStr">
        <is>
          <t>27</t>
        </is>
      </c>
      <c r="B34" s="28" t="n"/>
      <c r="C34" s="55" t="n"/>
      <c r="D34" s="19" t="n"/>
      <c r="E34" s="24" t="n"/>
      <c r="F34" s="25" t="n"/>
      <c r="G34" s="25" t="n"/>
      <c r="H34" s="24" t="n"/>
      <c r="I34" s="11" t="n"/>
      <c r="J34" s="57" t="n"/>
      <c r="K34" s="12" t="n"/>
      <c r="L34" s="13" t="n"/>
      <c r="M34" s="13" t="n"/>
      <c r="N34" s="14">
        <f>ROUND(I34*(SUM(J34:M34))*68%,0)</f>
        <v/>
      </c>
      <c r="O34" s="61" t="n"/>
      <c r="P34" s="59" t="n"/>
      <c r="Q34" s="59" t="n"/>
      <c r="R34" s="58" t="n"/>
      <c r="S34" s="15">
        <f>I34*J34</f>
        <v/>
      </c>
      <c r="T34" s="15">
        <f>SUM(S34:S34)*68%</f>
        <v/>
      </c>
      <c r="U34" s="15">
        <f>I34*K34*40%*O34</f>
        <v/>
      </c>
      <c r="V34" s="15">
        <f>IF(P34&gt;=6750,(I34*K34*40%),0)</f>
        <v/>
      </c>
      <c r="W34" s="15">
        <f>IF(P34&lt;6750,0,IF(Q34="",0,IF(OR(Q34="KURANG",Q34="SANGAT KURANG"),I34*K34*10%,I34*K34*20%)))</f>
        <v/>
      </c>
      <c r="X34" s="15">
        <f>SUM(U34:W34)*68%</f>
        <v/>
      </c>
      <c r="Y34" s="15">
        <f>I34*L34</f>
        <v/>
      </c>
      <c r="Z34" s="15">
        <f>Y34 * 68%</f>
        <v/>
      </c>
      <c r="AA34" s="15">
        <f>I34*M34</f>
        <v/>
      </c>
      <c r="AB34" s="15">
        <f>AA34*68%</f>
        <v/>
      </c>
      <c r="AC34" s="16">
        <f>ROUND((T34+X34+Z34+AB34),0)</f>
        <v/>
      </c>
      <c r="AD34" s="16">
        <f>AG34</f>
        <v/>
      </c>
      <c r="AE34" s="16">
        <f>AI34</f>
        <v/>
      </c>
      <c r="AF34" s="16">
        <f>AC34+AD34+AE34</f>
        <v/>
      </c>
      <c r="AG34" s="16" t="n"/>
      <c r="AH34" s="17" t="n"/>
      <c r="AI34" s="17">
        <f>AH34*4</f>
        <v/>
      </c>
      <c r="AJ34" s="15">
        <f>AF34-AG34-AH34-AI34</f>
        <v/>
      </c>
      <c r="AK34" s="18" t="n">
        <v>27</v>
      </c>
      <c r="AL34" s="40" t="n"/>
    </row>
    <row r="35" ht="23.5" customHeight="1">
      <c r="A35" s="6" t="inlineStr">
        <is>
          <t>28</t>
        </is>
      </c>
      <c r="B35" s="28" t="n"/>
      <c r="C35" s="55" t="n"/>
      <c r="D35" s="19" t="n"/>
      <c r="E35" s="24" t="n"/>
      <c r="F35" s="25" t="n"/>
      <c r="G35" s="25" t="n"/>
      <c r="H35" s="24" t="n"/>
      <c r="I35" s="11" t="n"/>
      <c r="J35" s="57" t="n"/>
      <c r="K35" s="12" t="n"/>
      <c r="L35" s="13" t="n"/>
      <c r="M35" s="13" t="n"/>
      <c r="N35" s="14">
        <f>ROUND(I35*(SUM(J35:M35))*68%,0)</f>
        <v/>
      </c>
      <c r="O35" s="61" t="n"/>
      <c r="P35" s="59" t="n"/>
      <c r="Q35" s="59" t="n"/>
      <c r="R35" s="58" t="n"/>
      <c r="S35" s="15">
        <f>I35*J35</f>
        <v/>
      </c>
      <c r="T35" s="15">
        <f>SUM(S35:S35)*68%</f>
        <v/>
      </c>
      <c r="U35" s="15">
        <f>I35*K35*40%*O35</f>
        <v/>
      </c>
      <c r="V35" s="15">
        <f>IF(P35&gt;=6750,(I35*K35*40%),0)</f>
        <v/>
      </c>
      <c r="W35" s="15">
        <f>IF(P35&lt;6750,0,IF(Q35="",0,IF(OR(Q35="KURANG",Q35="SANGAT KURANG"),I35*K35*10%,I35*K35*20%)))</f>
        <v/>
      </c>
      <c r="X35" s="15">
        <f>SUM(U35:W35)*68%</f>
        <v/>
      </c>
      <c r="Y35" s="15">
        <f>I35*L35</f>
        <v/>
      </c>
      <c r="Z35" s="15">
        <f>Y35 * 68%</f>
        <v/>
      </c>
      <c r="AA35" s="15">
        <f>I35*M35</f>
        <v/>
      </c>
      <c r="AB35" s="15">
        <f>AA35*68%</f>
        <v/>
      </c>
      <c r="AC35" s="16">
        <f>ROUND((T35+X35+Z35+AB35),0)</f>
        <v/>
      </c>
      <c r="AD35" s="16">
        <f>AG35</f>
        <v/>
      </c>
      <c r="AE35" s="16">
        <f>AI35</f>
        <v/>
      </c>
      <c r="AF35" s="16">
        <f>AC35+AD35+AE35</f>
        <v/>
      </c>
      <c r="AG35" s="16" t="n"/>
      <c r="AH35" s="17" t="n"/>
      <c r="AI35" s="17">
        <f>AH35*4</f>
        <v/>
      </c>
      <c r="AJ35" s="15">
        <f>AF35-AG35-AH35-AI35</f>
        <v/>
      </c>
      <c r="AK35" s="18" t="n">
        <v>28</v>
      </c>
      <c r="AL35" s="23" t="n"/>
    </row>
    <row r="36" ht="23.5" customHeight="1">
      <c r="A36" s="6" t="inlineStr">
        <is>
          <t>29</t>
        </is>
      </c>
      <c r="B36" s="28" t="n"/>
      <c r="C36" s="55" t="n"/>
      <c r="D36" s="19" t="n"/>
      <c r="E36" s="24" t="n"/>
      <c r="F36" s="25" t="n"/>
      <c r="G36" s="25" t="n"/>
      <c r="H36" s="24" t="n"/>
      <c r="I36" s="11" t="n"/>
      <c r="J36" s="57" t="n"/>
      <c r="K36" s="12" t="n"/>
      <c r="L36" s="13" t="n"/>
      <c r="M36" s="13" t="n"/>
      <c r="N36" s="14">
        <f>ROUND(I36*(SUM(J36:M36))*68%,0)</f>
        <v/>
      </c>
      <c r="O36" s="61" t="n"/>
      <c r="P36" s="59" t="n"/>
      <c r="Q36" s="59" t="n"/>
      <c r="R36" s="58" t="n"/>
      <c r="S36" s="15">
        <f>I36*J36</f>
        <v/>
      </c>
      <c r="T36" s="15">
        <f>SUM(S36:S36)*68%</f>
        <v/>
      </c>
      <c r="U36" s="15">
        <f>I36*K36*40%*O36</f>
        <v/>
      </c>
      <c r="V36" s="15">
        <f>IF(P36&gt;=6750,(I36*K36*40%),0)</f>
        <v/>
      </c>
      <c r="W36" s="15">
        <f>IF(P36&lt;6750,0,IF(Q36="",0,IF(OR(Q36="KURANG",Q36="SANGAT KURANG"),I36*K36*10%,I36*K36*20%)))</f>
        <v/>
      </c>
      <c r="X36" s="15">
        <f>SUM(U36:W36)*68%</f>
        <v/>
      </c>
      <c r="Y36" s="15">
        <f>I36*L36</f>
        <v/>
      </c>
      <c r="Z36" s="15">
        <f>Y36 * 68%</f>
        <v/>
      </c>
      <c r="AA36" s="15">
        <f>I36*M36</f>
        <v/>
      </c>
      <c r="AB36" s="15">
        <f>AA36*68%</f>
        <v/>
      </c>
      <c r="AC36" s="16">
        <f>ROUND((T36+X36+Z36+AB36),0)</f>
        <v/>
      </c>
      <c r="AD36" s="16">
        <f>AG36</f>
        <v/>
      </c>
      <c r="AE36" s="16">
        <f>AI36</f>
        <v/>
      </c>
      <c r="AF36" s="16">
        <f>AC36+AD36+AE36</f>
        <v/>
      </c>
      <c r="AG36" s="16" t="n"/>
      <c r="AH36" s="17" t="n"/>
      <c r="AI36" s="17">
        <f>AH36*4</f>
        <v/>
      </c>
      <c r="AJ36" s="15">
        <f>AF36-AG36-AH36-AI36</f>
        <v/>
      </c>
      <c r="AK36" s="18" t="n">
        <v>29</v>
      </c>
      <c r="AL36" s="40" t="n"/>
    </row>
    <row r="37" ht="23.5" customHeight="1">
      <c r="A37" s="6" t="inlineStr">
        <is>
          <t>30</t>
        </is>
      </c>
      <c r="B37" s="28" t="n"/>
      <c r="C37" s="55" t="n"/>
      <c r="D37" s="19" t="n"/>
      <c r="E37" s="24" t="n"/>
      <c r="F37" s="25" t="n"/>
      <c r="G37" s="25" t="n"/>
      <c r="H37" s="24" t="n"/>
      <c r="I37" s="11" t="n"/>
      <c r="J37" s="57" t="n"/>
      <c r="K37" s="12" t="n"/>
      <c r="L37" s="13" t="n"/>
      <c r="M37" s="13" t="n"/>
      <c r="N37" s="14">
        <f>ROUND(I37*(SUM(J37:M37))*68%,0)</f>
        <v/>
      </c>
      <c r="O37" s="61" t="n"/>
      <c r="P37" s="59" t="n"/>
      <c r="Q37" s="59" t="n"/>
      <c r="R37" s="58" t="n"/>
      <c r="S37" s="15">
        <f>I37*J37</f>
        <v/>
      </c>
      <c r="T37" s="15">
        <f>SUM(S37:S37)*68%</f>
        <v/>
      </c>
      <c r="U37" s="15">
        <f>I37*K37*40%*O37</f>
        <v/>
      </c>
      <c r="V37" s="15">
        <f>IF(P37&gt;=6750,(I37*K37*40%),0)</f>
        <v/>
      </c>
      <c r="W37" s="15">
        <f>IF(P37&lt;6750,0,IF(Q37="",0,IF(OR(Q37="KURANG",Q37="SANGAT KURANG"),I37*K37*10%,I37*K37*20%)))</f>
        <v/>
      </c>
      <c r="X37" s="15">
        <f>SUM(U37:W37)*68%</f>
        <v/>
      </c>
      <c r="Y37" s="15">
        <f>I37*L37</f>
        <v/>
      </c>
      <c r="Z37" s="15">
        <f>Y37 * 68%</f>
        <v/>
      </c>
      <c r="AA37" s="15">
        <f>I37*M37</f>
        <v/>
      </c>
      <c r="AB37" s="15">
        <f>AA37*68%</f>
        <v/>
      </c>
      <c r="AC37" s="16">
        <f>ROUND((T37+X37+Z37+AB37),0)</f>
        <v/>
      </c>
      <c r="AD37" s="16">
        <f>AG37</f>
        <v/>
      </c>
      <c r="AE37" s="16">
        <f>AI37</f>
        <v/>
      </c>
      <c r="AF37" s="16">
        <f>AC37+AD37+AE37</f>
        <v/>
      </c>
      <c r="AG37" s="16" t="n"/>
      <c r="AH37" s="17" t="n"/>
      <c r="AI37" s="17">
        <f>AH37*4</f>
        <v/>
      </c>
      <c r="AJ37" s="15">
        <f>AF37-AG37-AH37-AI37</f>
        <v/>
      </c>
      <c r="AK37" s="18" t="n">
        <v>30</v>
      </c>
      <c r="AL37" s="23" t="n"/>
    </row>
    <row r="38" ht="23.5" customHeight="1">
      <c r="A38" s="6" t="inlineStr">
        <is>
          <t>31</t>
        </is>
      </c>
      <c r="B38" s="28" t="n"/>
      <c r="C38" s="55" t="n"/>
      <c r="D38" s="19" t="n"/>
      <c r="E38" s="24" t="n"/>
      <c r="F38" s="25" t="n"/>
      <c r="G38" s="25" t="n"/>
      <c r="H38" s="24" t="n"/>
      <c r="I38" s="11" t="n"/>
      <c r="J38" s="57" t="n"/>
      <c r="K38" s="12" t="n"/>
      <c r="L38" s="13" t="n"/>
      <c r="M38" s="13" t="n"/>
      <c r="N38" s="14">
        <f>ROUND(I38*(SUM(J38:M38))*68%,0)</f>
        <v/>
      </c>
      <c r="O38" s="61" t="n"/>
      <c r="P38" s="59" t="n"/>
      <c r="Q38" s="59" t="n"/>
      <c r="R38" s="58" t="n"/>
      <c r="S38" s="15">
        <f>I38*J38</f>
        <v/>
      </c>
      <c r="T38" s="15">
        <f>SUM(S38:S38)*68%</f>
        <v/>
      </c>
      <c r="U38" s="15">
        <f>I38*K38*40%*O38</f>
        <v/>
      </c>
      <c r="V38" s="15">
        <f>IF(P38&gt;=6750,(I38*K38*40%),0)</f>
        <v/>
      </c>
      <c r="W38" s="15">
        <f>IF(P38&lt;6750,0,IF(Q38="",0,IF(OR(Q38="KURANG",Q38="SANGAT KURANG"),I38*K38*10%,I38*K38*20%)))</f>
        <v/>
      </c>
      <c r="X38" s="15">
        <f>SUM(U38:W38)*68%</f>
        <v/>
      </c>
      <c r="Y38" s="15">
        <f>I38*L38</f>
        <v/>
      </c>
      <c r="Z38" s="15">
        <f>Y38 * 68%</f>
        <v/>
      </c>
      <c r="AA38" s="15">
        <f>I38*M38</f>
        <v/>
      </c>
      <c r="AB38" s="15">
        <f>AA38*68%</f>
        <v/>
      </c>
      <c r="AC38" s="16">
        <f>ROUND((T38+X38+Z38+AB38),0)</f>
        <v/>
      </c>
      <c r="AD38" s="16">
        <f>AG38</f>
        <v/>
      </c>
      <c r="AE38" s="16">
        <f>AI38</f>
        <v/>
      </c>
      <c r="AF38" s="16">
        <f>AC38+AD38+AE38</f>
        <v/>
      </c>
      <c r="AG38" s="16" t="n"/>
      <c r="AH38" s="17" t="n"/>
      <c r="AI38" s="17">
        <f>AH38*4</f>
        <v/>
      </c>
      <c r="AJ38" s="15">
        <f>AF38-AG38-AH38-AI38</f>
        <v/>
      </c>
      <c r="AK38" s="18" t="n">
        <v>31</v>
      </c>
      <c r="AL38" s="23" t="n"/>
    </row>
    <row r="39" ht="23.5" customHeight="1">
      <c r="A39" s="6" t="inlineStr">
        <is>
          <t>32</t>
        </is>
      </c>
      <c r="B39" s="28" t="n"/>
      <c r="C39" s="55" t="n"/>
      <c r="D39" s="19" t="n"/>
      <c r="E39" s="24" t="n"/>
      <c r="F39" s="25" t="n"/>
      <c r="G39" s="25" t="n"/>
      <c r="H39" s="24" t="n"/>
      <c r="I39" s="11" t="n"/>
      <c r="J39" s="57" t="n"/>
      <c r="K39" s="12" t="n"/>
      <c r="L39" s="13" t="n"/>
      <c r="M39" s="13" t="n"/>
      <c r="N39" s="14">
        <f>ROUND(I39*(SUM(J39:M39))*68%,0)</f>
        <v/>
      </c>
      <c r="O39" s="61" t="n"/>
      <c r="P39" s="59" t="n"/>
      <c r="Q39" s="59" t="n"/>
      <c r="R39" s="58" t="n"/>
      <c r="S39" s="15">
        <f>I39*J39</f>
        <v/>
      </c>
      <c r="T39" s="15">
        <f>SUM(S39:S39)*68%</f>
        <v/>
      </c>
      <c r="U39" s="15">
        <f>I39*K39*40%*O39</f>
        <v/>
      </c>
      <c r="V39" s="15">
        <f>IF(P39&gt;=6750,(I39*K39*40%),0)</f>
        <v/>
      </c>
      <c r="W39" s="15">
        <f>IF(P39&lt;6750,0,IF(Q39="",0,IF(OR(Q39="KURANG",Q39="SANGAT KURANG"),I39*K39*10%,I39*K39*20%)))</f>
        <v/>
      </c>
      <c r="X39" s="15">
        <f>SUM(U39:W39)*68%</f>
        <v/>
      </c>
      <c r="Y39" s="15">
        <f>I39*L39</f>
        <v/>
      </c>
      <c r="Z39" s="15">
        <f>Y39 * 68%</f>
        <v/>
      </c>
      <c r="AA39" s="15">
        <f>I39*M39</f>
        <v/>
      </c>
      <c r="AB39" s="15">
        <f>AA39*68%</f>
        <v/>
      </c>
      <c r="AC39" s="16">
        <f>ROUND((T39+X39+Z39+AB39),0)</f>
        <v/>
      </c>
      <c r="AD39" s="16">
        <f>AG39</f>
        <v/>
      </c>
      <c r="AE39" s="16">
        <f>AI39</f>
        <v/>
      </c>
      <c r="AF39" s="16">
        <f>AC39+AD39+AE39</f>
        <v/>
      </c>
      <c r="AG39" s="16" t="n"/>
      <c r="AH39" s="17" t="n"/>
      <c r="AI39" s="17">
        <f>AH39*4</f>
        <v/>
      </c>
      <c r="AJ39" s="15">
        <f>AF39-AG39-AH39-AI39</f>
        <v/>
      </c>
      <c r="AK39" s="18" t="n">
        <v>32</v>
      </c>
      <c r="AL39" s="23" t="n"/>
    </row>
    <row r="40" ht="23.5" customHeight="1">
      <c r="A40" s="6" t="inlineStr">
        <is>
          <t>33</t>
        </is>
      </c>
      <c r="B40" s="28" t="n"/>
      <c r="C40" s="55" t="n"/>
      <c r="D40" s="19" t="n"/>
      <c r="E40" s="24" t="n"/>
      <c r="F40" s="25" t="n"/>
      <c r="G40" s="25" t="n"/>
      <c r="H40" s="24" t="n"/>
      <c r="I40" s="11" t="n"/>
      <c r="J40" s="57" t="n"/>
      <c r="K40" s="12" t="n"/>
      <c r="L40" s="13" t="n"/>
      <c r="M40" s="13" t="n"/>
      <c r="N40" s="14">
        <f>ROUND(I40*(SUM(J40:M40))*68%,0)</f>
        <v/>
      </c>
      <c r="O40" s="61" t="n"/>
      <c r="P40" s="59" t="n"/>
      <c r="Q40" s="59" t="n"/>
      <c r="R40" s="58" t="n"/>
      <c r="S40" s="15">
        <f>I40*J40</f>
        <v/>
      </c>
      <c r="T40" s="15">
        <f>SUM(S40:S40)*68%</f>
        <v/>
      </c>
      <c r="U40" s="15">
        <f>I40*K40*40%*O40</f>
        <v/>
      </c>
      <c r="V40" s="15">
        <f>IF(P40&gt;=6750,(I40*K40*40%),0)</f>
        <v/>
      </c>
      <c r="W40" s="15">
        <f>IF(P40&lt;6750,0,IF(Q40="",0,IF(OR(Q40="KURANG",Q40="SANGAT KURANG"),I40*K40*10%,I40*K40*20%)))</f>
        <v/>
      </c>
      <c r="X40" s="15">
        <f>SUM(U40:W40)*68%</f>
        <v/>
      </c>
      <c r="Y40" s="15">
        <f>I40*L40</f>
        <v/>
      </c>
      <c r="Z40" s="15">
        <f>Y40 * 68%</f>
        <v/>
      </c>
      <c r="AA40" s="15">
        <f>I40*M40</f>
        <v/>
      </c>
      <c r="AB40" s="15">
        <f>AA40*68%</f>
        <v/>
      </c>
      <c r="AC40" s="16">
        <f>ROUND((T40+X40+Z40+AB40),0)</f>
        <v/>
      </c>
      <c r="AD40" s="16">
        <f>AG40</f>
        <v/>
      </c>
      <c r="AE40" s="16">
        <f>AI40</f>
        <v/>
      </c>
      <c r="AF40" s="16">
        <f>AC40+AD40+AE40</f>
        <v/>
      </c>
      <c r="AG40" s="16" t="n"/>
      <c r="AH40" s="17" t="n"/>
      <c r="AI40" s="17">
        <f>AH40*4</f>
        <v/>
      </c>
      <c r="AJ40" s="15">
        <f>AF40-AG40-AH40-AI40</f>
        <v/>
      </c>
      <c r="AK40" s="18" t="n">
        <v>33</v>
      </c>
      <c r="AL40" s="23" t="n"/>
    </row>
    <row r="41" ht="23.5" customHeight="1">
      <c r="A41" s="6" t="inlineStr">
        <is>
          <t>34</t>
        </is>
      </c>
      <c r="B41" s="28" t="n"/>
      <c r="C41" s="55" t="n"/>
      <c r="D41" s="19" t="n"/>
      <c r="E41" s="24" t="n"/>
      <c r="F41" s="25" t="n"/>
      <c r="G41" s="25" t="n"/>
      <c r="H41" s="24" t="n"/>
      <c r="I41" s="11" t="n"/>
      <c r="J41" s="57" t="n"/>
      <c r="K41" s="12" t="n"/>
      <c r="L41" s="13" t="n"/>
      <c r="M41" s="13" t="n"/>
      <c r="N41" s="14">
        <f>ROUND(I41*(SUM(J41:M41))*68%,0)</f>
        <v/>
      </c>
      <c r="O41" s="61" t="n"/>
      <c r="P41" s="59" t="n"/>
      <c r="Q41" s="59" t="n"/>
      <c r="R41" s="58" t="n"/>
      <c r="S41" s="15">
        <f>I41*J41</f>
        <v/>
      </c>
      <c r="T41" s="15">
        <f>SUM(S41:S41)*68%</f>
        <v/>
      </c>
      <c r="U41" s="15">
        <f>I41*K41*40%*O41</f>
        <v/>
      </c>
      <c r="V41" s="15">
        <f>IF(P41&gt;=6750,(I41*K41*40%),0)</f>
        <v/>
      </c>
      <c r="W41" s="15">
        <f>IF(P41&lt;6750,0,IF(Q41="",0,IF(OR(Q41="KURANG",Q41="SANGAT KURANG"),I41*K41*10%,I41*K41*20%)))</f>
        <v/>
      </c>
      <c r="X41" s="15">
        <f>SUM(U41:W41)*68%</f>
        <v/>
      </c>
      <c r="Y41" s="15">
        <f>I41*L41</f>
        <v/>
      </c>
      <c r="Z41" s="15">
        <f>Y41 * 68%</f>
        <v/>
      </c>
      <c r="AA41" s="15">
        <f>I41*M41</f>
        <v/>
      </c>
      <c r="AB41" s="15">
        <f>AA41*68%</f>
        <v/>
      </c>
      <c r="AC41" s="16">
        <f>ROUND((T41+X41+Z41+AB41),0)</f>
        <v/>
      </c>
      <c r="AD41" s="16">
        <f>AG41</f>
        <v/>
      </c>
      <c r="AE41" s="16">
        <f>AI41</f>
        <v/>
      </c>
      <c r="AF41" s="16">
        <f>AC41+AD41+AE41</f>
        <v/>
      </c>
      <c r="AG41" s="16" t="n"/>
      <c r="AH41" s="17" t="n"/>
      <c r="AI41" s="17">
        <f>AH41*4</f>
        <v/>
      </c>
      <c r="AJ41" s="15">
        <f>AF41-AG41-AH41-AI41</f>
        <v/>
      </c>
      <c r="AK41" s="18" t="n">
        <v>34</v>
      </c>
      <c r="AL41" s="23" t="n"/>
    </row>
    <row r="42" ht="23.5" customHeight="1">
      <c r="A42" s="6" t="inlineStr">
        <is>
          <t>35</t>
        </is>
      </c>
      <c r="B42" s="28" t="n"/>
      <c r="C42" s="55" t="n"/>
      <c r="D42" s="19" t="n"/>
      <c r="E42" s="24" t="n"/>
      <c r="F42" s="25" t="n"/>
      <c r="G42" s="25" t="n"/>
      <c r="H42" s="24" t="n"/>
      <c r="I42" s="11" t="n"/>
      <c r="J42" s="57" t="n"/>
      <c r="K42" s="12" t="n"/>
      <c r="L42" s="13" t="n"/>
      <c r="M42" s="13" t="n"/>
      <c r="N42" s="14">
        <f>ROUND(I42*(SUM(J42:M42))*68%,0)</f>
        <v/>
      </c>
      <c r="O42" s="61" t="n"/>
      <c r="P42" s="59" t="n"/>
      <c r="Q42" s="59" t="n"/>
      <c r="R42" s="58" t="n"/>
      <c r="S42" s="15">
        <f>I42*J42</f>
        <v/>
      </c>
      <c r="T42" s="15">
        <f>SUM(S42:S42)*68%</f>
        <v/>
      </c>
      <c r="U42" s="15">
        <f>I42*K42*40%*O42</f>
        <v/>
      </c>
      <c r="V42" s="15">
        <f>IF(P42&gt;=6750,(I42*K42*40%),0)</f>
        <v/>
      </c>
      <c r="W42" s="15">
        <f>IF(P42&lt;6750,0,IF(Q42="",0,IF(OR(Q42="KURANG",Q42="SANGAT KURANG"),I42*K42*10%,I42*K42*20%)))</f>
        <v/>
      </c>
      <c r="X42" s="15">
        <f>SUM(U42:W42)*68%</f>
        <v/>
      </c>
      <c r="Y42" s="15">
        <f>I42*L42</f>
        <v/>
      </c>
      <c r="Z42" s="15">
        <f>Y42 * 68%</f>
        <v/>
      </c>
      <c r="AA42" s="15">
        <f>I42*M42</f>
        <v/>
      </c>
      <c r="AB42" s="15">
        <f>AA42*68%</f>
        <v/>
      </c>
      <c r="AC42" s="16">
        <f>ROUND((T42+X42+Z42+AB42),0)</f>
        <v/>
      </c>
      <c r="AD42" s="16">
        <f>AG42</f>
        <v/>
      </c>
      <c r="AE42" s="16">
        <f>AI42</f>
        <v/>
      </c>
      <c r="AF42" s="16">
        <f>AC42+AD42+AE42</f>
        <v/>
      </c>
      <c r="AG42" s="16" t="n"/>
      <c r="AH42" s="17" t="n"/>
      <c r="AI42" s="17">
        <f>AH42*4</f>
        <v/>
      </c>
      <c r="AJ42" s="15">
        <f>AF42-AG42-AH42-AI42</f>
        <v/>
      </c>
      <c r="AK42" s="18" t="n">
        <v>35</v>
      </c>
      <c r="AL42" s="23" t="n"/>
    </row>
    <row r="43" ht="23.5" customHeight="1">
      <c r="A43" s="6" t="inlineStr">
        <is>
          <t>36</t>
        </is>
      </c>
      <c r="B43" s="28" t="n"/>
      <c r="C43" s="55" t="n"/>
      <c r="D43" s="19" t="n"/>
      <c r="E43" s="24" t="n"/>
      <c r="F43" s="25" t="n"/>
      <c r="G43" s="25" t="n"/>
      <c r="H43" s="24" t="n"/>
      <c r="I43" s="11" t="n"/>
      <c r="J43" s="57" t="n"/>
      <c r="K43" s="12" t="n"/>
      <c r="L43" s="13" t="n"/>
      <c r="M43" s="13" t="n"/>
      <c r="N43" s="14">
        <f>ROUND(I43*(SUM(J43:M43))*68%,0)</f>
        <v/>
      </c>
      <c r="O43" s="61" t="n"/>
      <c r="P43" s="59" t="n"/>
      <c r="Q43" s="59" t="n"/>
      <c r="R43" s="58" t="n"/>
      <c r="S43" s="15">
        <f>I43*J43</f>
        <v/>
      </c>
      <c r="T43" s="15">
        <f>SUM(S43:S43)*68%</f>
        <v/>
      </c>
      <c r="U43" s="15">
        <f>I43*K43*40%*O43</f>
        <v/>
      </c>
      <c r="V43" s="15">
        <f>IF(P43&gt;=6750,(I43*K43*40%),0)</f>
        <v/>
      </c>
      <c r="W43" s="15">
        <f>IF(P43&lt;6750,0,IF(Q43="",0,IF(OR(Q43="KURANG",Q43="SANGAT KURANG"),I43*K43*10%,I43*K43*20%)))</f>
        <v/>
      </c>
      <c r="X43" s="15">
        <f>SUM(U43:W43)*68%</f>
        <v/>
      </c>
      <c r="Y43" s="15">
        <f>I43*L43</f>
        <v/>
      </c>
      <c r="Z43" s="15">
        <f>Y43 * 68%</f>
        <v/>
      </c>
      <c r="AA43" s="15">
        <f>I43*M43</f>
        <v/>
      </c>
      <c r="AB43" s="15">
        <f>AA43*68%</f>
        <v/>
      </c>
      <c r="AC43" s="16">
        <f>ROUND((T43+X43+Z43+AB43),0)</f>
        <v/>
      </c>
      <c r="AD43" s="16">
        <f>AG43</f>
        <v/>
      </c>
      <c r="AE43" s="16">
        <f>AI43</f>
        <v/>
      </c>
      <c r="AF43" s="16">
        <f>AC43+AD43+AE43</f>
        <v/>
      </c>
      <c r="AG43" s="16" t="n"/>
      <c r="AH43" s="17" t="n"/>
      <c r="AI43" s="17">
        <f>AH43*4</f>
        <v/>
      </c>
      <c r="AJ43" s="15">
        <f>AF43-AG43-AH43-AI43</f>
        <v/>
      </c>
      <c r="AK43" s="18" t="n">
        <v>36</v>
      </c>
      <c r="AL43" s="40" t="n"/>
    </row>
    <row r="44" ht="23.5" customHeight="1">
      <c r="A44" s="6" t="inlineStr">
        <is>
          <t>37</t>
        </is>
      </c>
      <c r="B44" s="28" t="n"/>
      <c r="C44" s="55" t="n"/>
      <c r="D44" s="19" t="n"/>
      <c r="E44" s="24" t="n"/>
      <c r="F44" s="25" t="n"/>
      <c r="G44" s="25" t="n"/>
      <c r="H44" s="24" t="n"/>
      <c r="I44" s="11" t="n"/>
      <c r="J44" s="57" t="n"/>
      <c r="K44" s="12" t="n"/>
      <c r="L44" s="13" t="n"/>
      <c r="M44" s="13" t="n"/>
      <c r="N44" s="14">
        <f>ROUND(I44*(SUM(J44:M44))*68%,0)</f>
        <v/>
      </c>
      <c r="O44" s="61" t="n"/>
      <c r="P44" s="59" t="n"/>
      <c r="Q44" s="59" t="n"/>
      <c r="R44" s="58" t="n"/>
      <c r="S44" s="15">
        <f>I44*J44</f>
        <v/>
      </c>
      <c r="T44" s="15">
        <f>SUM(S44:S44)*68%</f>
        <v/>
      </c>
      <c r="U44" s="15">
        <f>I44*K44*40%*O44</f>
        <v/>
      </c>
      <c r="V44" s="15">
        <f>IF(P44&gt;=6750,(I44*K44*40%),0)</f>
        <v/>
      </c>
      <c r="W44" s="15">
        <f>IF(P44&lt;6750,0,IF(Q44="",0,IF(OR(Q44="KURANG",Q44="SANGAT KURANG"),I44*K44*10%,I44*K44*20%)))</f>
        <v/>
      </c>
      <c r="X44" s="15">
        <f>SUM(U44:W44)*68%</f>
        <v/>
      </c>
      <c r="Y44" s="15">
        <f>I44*L44</f>
        <v/>
      </c>
      <c r="Z44" s="15">
        <f>Y44 * 68%</f>
        <v/>
      </c>
      <c r="AA44" s="15">
        <f>I44*M44</f>
        <v/>
      </c>
      <c r="AB44" s="15">
        <f>AA44*68%</f>
        <v/>
      </c>
      <c r="AC44" s="16">
        <f>ROUND((T44+X44+Z44+AB44),0)</f>
        <v/>
      </c>
      <c r="AD44" s="16">
        <f>AG44</f>
        <v/>
      </c>
      <c r="AE44" s="16">
        <f>AI44</f>
        <v/>
      </c>
      <c r="AF44" s="16">
        <f>AC44+AD44+AE44</f>
        <v/>
      </c>
      <c r="AG44" s="16" t="n"/>
      <c r="AH44" s="17" t="n"/>
      <c r="AI44" s="17">
        <f>AH44*4</f>
        <v/>
      </c>
      <c r="AJ44" s="15">
        <f>AF44-AG44-AH44-AI44</f>
        <v/>
      </c>
      <c r="AK44" s="18" t="n">
        <v>37</v>
      </c>
      <c r="AL44" s="23" t="n"/>
    </row>
    <row r="45" ht="23.5" customHeight="1">
      <c r="A45" s="6" t="inlineStr">
        <is>
          <t>38</t>
        </is>
      </c>
      <c r="B45" s="28" t="n"/>
      <c r="C45" s="55" t="n"/>
      <c r="D45" s="19" t="n"/>
      <c r="E45" s="24" t="n"/>
      <c r="F45" s="25" t="n"/>
      <c r="G45" s="25" t="n"/>
      <c r="H45" s="24" t="n"/>
      <c r="I45" s="11" t="n"/>
      <c r="J45" s="57" t="n"/>
      <c r="K45" s="12" t="n"/>
      <c r="L45" s="13" t="n"/>
      <c r="M45" s="13" t="n"/>
      <c r="N45" s="14">
        <f>ROUND(I45*(SUM(J45:M45))*68%,0)</f>
        <v/>
      </c>
      <c r="O45" s="61" t="n"/>
      <c r="P45" s="59" t="n"/>
      <c r="Q45" s="59" t="n"/>
      <c r="R45" s="58" t="n"/>
      <c r="S45" s="15">
        <f>I45*J45</f>
        <v/>
      </c>
      <c r="T45" s="15">
        <f>SUM(S45:S45)*68%</f>
        <v/>
      </c>
      <c r="U45" s="15">
        <f>I45*K45*40%*O45</f>
        <v/>
      </c>
      <c r="V45" s="15">
        <f>IF(P45&gt;=6750,(I45*K45*40%),0)</f>
        <v/>
      </c>
      <c r="W45" s="15">
        <f>IF(P45&lt;6750,0,IF(Q45="",0,IF(OR(Q45="KURANG",Q45="SANGAT KURANG"),I45*K45*10%,I45*K45*20%)))</f>
        <v/>
      </c>
      <c r="X45" s="15">
        <f>SUM(U45:W45)*68%</f>
        <v/>
      </c>
      <c r="Y45" s="15">
        <f>I45*L45</f>
        <v/>
      </c>
      <c r="Z45" s="15">
        <f>Y45 * 68%</f>
        <v/>
      </c>
      <c r="AA45" s="15">
        <f>I45*M45</f>
        <v/>
      </c>
      <c r="AB45" s="15">
        <f>AA45*68%</f>
        <v/>
      </c>
      <c r="AC45" s="16">
        <f>ROUND((T45+X45+Z45+AB45),0)</f>
        <v/>
      </c>
      <c r="AD45" s="16">
        <f>AG45</f>
        <v/>
      </c>
      <c r="AE45" s="16">
        <f>AI45</f>
        <v/>
      </c>
      <c r="AF45" s="16">
        <f>AC45+AD45+AE45</f>
        <v/>
      </c>
      <c r="AG45" s="16" t="n"/>
      <c r="AH45" s="17" t="n"/>
      <c r="AI45" s="17">
        <f>AH45*4</f>
        <v/>
      </c>
      <c r="AJ45" s="15">
        <f>AF45-AG45-AH45-AI45</f>
        <v/>
      </c>
      <c r="AK45" s="18" t="n">
        <v>38</v>
      </c>
      <c r="AL45" s="40" t="n"/>
    </row>
    <row r="46" ht="23.5" customHeight="1">
      <c r="A46" s="6" t="inlineStr">
        <is>
          <t>39</t>
        </is>
      </c>
      <c r="B46" s="24" t="n"/>
      <c r="C46" s="55" t="n"/>
      <c r="D46" s="19" t="n"/>
      <c r="E46" s="24" t="n"/>
      <c r="F46" s="25" t="n"/>
      <c r="G46" s="25" t="n"/>
      <c r="H46" s="24" t="n"/>
      <c r="I46" s="11" t="n"/>
      <c r="J46" s="57" t="n"/>
      <c r="K46" s="12" t="n"/>
      <c r="L46" s="13" t="n"/>
      <c r="M46" s="13" t="n"/>
      <c r="N46" s="14">
        <f>ROUND(I46*(SUM(J46:M46))*68%,0)</f>
        <v/>
      </c>
      <c r="O46" s="61" t="n"/>
      <c r="P46" s="59" t="n"/>
      <c r="Q46" s="59" t="n"/>
      <c r="R46" s="58" t="n"/>
      <c r="S46" s="15">
        <f>I46*J46</f>
        <v/>
      </c>
      <c r="T46" s="15">
        <f>SUM(S46:S46)*68%</f>
        <v/>
      </c>
      <c r="U46" s="15">
        <f>I46*K46*40%*O46</f>
        <v/>
      </c>
      <c r="V46" s="15">
        <f>IF(P46&gt;=6750,(I46*K46*40%),0)</f>
        <v/>
      </c>
      <c r="W46" s="15">
        <f>IF(P46&lt;6750,0,IF(Q46="",0,IF(OR(Q46="KURANG",Q46="SANGAT KURANG"),I46*K46*10%,I46*K46*20%)))</f>
        <v/>
      </c>
      <c r="X46" s="15">
        <f>SUM(U46:W46)*68%</f>
        <v/>
      </c>
      <c r="Y46" s="15">
        <f>I46*L46</f>
        <v/>
      </c>
      <c r="Z46" s="15">
        <f>Y46 * 68%</f>
        <v/>
      </c>
      <c r="AA46" s="15">
        <f>I46*M46</f>
        <v/>
      </c>
      <c r="AB46" s="15">
        <f>AA46*68%</f>
        <v/>
      </c>
      <c r="AC46" s="16">
        <f>ROUND((T46+X46+Z46+AB46),0)</f>
        <v/>
      </c>
      <c r="AD46" s="16">
        <f>AG46</f>
        <v/>
      </c>
      <c r="AE46" s="16">
        <f>AI46</f>
        <v/>
      </c>
      <c r="AF46" s="16">
        <f>AC46+AD46+AE46</f>
        <v/>
      </c>
      <c r="AG46" s="16" t="n"/>
      <c r="AH46" s="17" t="n"/>
      <c r="AI46" s="17">
        <f>AH46*4</f>
        <v/>
      </c>
      <c r="AJ46" s="15">
        <f>AF46-AG46-AH46-AI46</f>
        <v/>
      </c>
      <c r="AK46" s="18" t="n">
        <v>39</v>
      </c>
      <c r="AL46" s="23" t="n"/>
    </row>
    <row r="47" ht="23.5" customHeight="1">
      <c r="A47" s="6" t="inlineStr">
        <is>
          <t>40</t>
        </is>
      </c>
      <c r="B47" s="54" t="n"/>
      <c r="C47" s="55" t="n"/>
      <c r="D47" s="19" t="n"/>
      <c r="E47" s="26" t="n"/>
      <c r="F47" s="27" t="n"/>
      <c r="G47" s="25" t="n"/>
      <c r="H47" s="24" t="n"/>
      <c r="I47" s="11" t="n"/>
      <c r="J47" s="57" t="n"/>
      <c r="K47" s="12" t="n"/>
      <c r="L47" s="13" t="n"/>
      <c r="M47" s="13" t="n"/>
      <c r="N47" s="14">
        <f>ROUND(I47*(SUM(J47:M47))*68%,0)</f>
        <v/>
      </c>
      <c r="O47" s="61" t="n"/>
      <c r="P47" s="59" t="n"/>
      <c r="Q47" s="59" t="n"/>
      <c r="R47" s="58" t="n"/>
      <c r="S47" s="15">
        <f>I47*J47</f>
        <v/>
      </c>
      <c r="T47" s="15">
        <f>SUM(S47:S47)*68%</f>
        <v/>
      </c>
      <c r="U47" s="15">
        <f>I47*K47*40%*O47</f>
        <v/>
      </c>
      <c r="V47" s="15">
        <f>IF(P47&gt;=6750,(I47*K47*40%),0)</f>
        <v/>
      </c>
      <c r="W47" s="15">
        <f>IF(P47&lt;6750,0,IF(Q47="",0,IF(OR(Q47="KURANG",Q47="SANGAT KURANG"),I47*K47*10%,I47*K47*20%)))</f>
        <v/>
      </c>
      <c r="X47" s="15">
        <f>SUM(U47:W47)*68%</f>
        <v/>
      </c>
      <c r="Y47" s="15">
        <f>I47*L47</f>
        <v/>
      </c>
      <c r="Z47" s="15">
        <f>Y47 * 68%</f>
        <v/>
      </c>
      <c r="AA47" s="15">
        <f>I47*M47</f>
        <v/>
      </c>
      <c r="AB47" s="15">
        <f>AA47*68%</f>
        <v/>
      </c>
      <c r="AC47" s="16">
        <f>ROUND((T47+X47+Z47+AB47),0)</f>
        <v/>
      </c>
      <c r="AD47" s="16">
        <f>AG47</f>
        <v/>
      </c>
      <c r="AE47" s="16">
        <f>AI47</f>
        <v/>
      </c>
      <c r="AF47" s="16">
        <f>AC47+AD47+AE47</f>
        <v/>
      </c>
      <c r="AG47" s="16" t="n"/>
      <c r="AH47" s="17" t="n"/>
      <c r="AI47" s="17">
        <f>AH47*4</f>
        <v/>
      </c>
      <c r="AJ47" s="15">
        <f>AF47-AG47-AH47-AI47</f>
        <v/>
      </c>
      <c r="AK47" s="18" t="n">
        <v>40</v>
      </c>
      <c r="AL47" s="23" t="n"/>
    </row>
    <row r="48" ht="23.5" customHeight="1">
      <c r="A48" s="6" t="inlineStr">
        <is>
          <t>41</t>
        </is>
      </c>
      <c r="B48" s="28" t="n"/>
      <c r="C48" s="55" t="n"/>
      <c r="D48" s="19" t="n"/>
      <c r="E48" s="24" t="n"/>
      <c r="F48" s="27" t="n"/>
      <c r="G48" s="25" t="n"/>
      <c r="H48" s="24" t="n"/>
      <c r="I48" s="11" t="n"/>
      <c r="J48" s="57" t="n"/>
      <c r="K48" s="12" t="n"/>
      <c r="L48" s="13" t="n"/>
      <c r="M48" s="13" t="n"/>
      <c r="N48" s="14">
        <f>ROUND(I48*(SUM(J48:M48))*68%,0)</f>
        <v/>
      </c>
      <c r="O48" s="61" t="n"/>
      <c r="P48" s="59" t="n"/>
      <c r="Q48" s="59" t="n"/>
      <c r="R48" s="58" t="n"/>
      <c r="S48" s="15">
        <f>I48*J48</f>
        <v/>
      </c>
      <c r="T48" s="15">
        <f>SUM(S48:S48)*68%</f>
        <v/>
      </c>
      <c r="U48" s="15">
        <f>I48*K48*40%*O48</f>
        <v/>
      </c>
      <c r="V48" s="15">
        <f>IF(P48&gt;=6750,(I48*K48*40%),0)</f>
        <v/>
      </c>
      <c r="W48" s="15">
        <f>IF(P48&lt;6750,0,IF(Q48="",0,IF(OR(Q48="KURANG",Q48="SANGAT KURANG"),I48*K48*10%,I48*K48*20%)))</f>
        <v/>
      </c>
      <c r="X48" s="15">
        <f>SUM(U48:W48)*68%</f>
        <v/>
      </c>
      <c r="Y48" s="15">
        <f>I48*L48</f>
        <v/>
      </c>
      <c r="Z48" s="15">
        <f>Y48 * 68%</f>
        <v/>
      </c>
      <c r="AA48" s="15">
        <f>I48*M48</f>
        <v/>
      </c>
      <c r="AB48" s="15">
        <f>AA48*68%</f>
        <v/>
      </c>
      <c r="AC48" s="16">
        <f>ROUND((T48+X48+Z48+AB48),0)</f>
        <v/>
      </c>
      <c r="AD48" s="16">
        <f>AG48</f>
        <v/>
      </c>
      <c r="AE48" s="16">
        <f>AI48</f>
        <v/>
      </c>
      <c r="AF48" s="16">
        <f>AC48+AD48+AE48</f>
        <v/>
      </c>
      <c r="AG48" s="16" t="n"/>
      <c r="AH48" s="17" t="n"/>
      <c r="AI48" s="17">
        <f>AH48*4</f>
        <v/>
      </c>
      <c r="AJ48" s="15">
        <f>AF48-AG48-AH48-AI48</f>
        <v/>
      </c>
      <c r="AK48" s="18" t="n">
        <v>41</v>
      </c>
      <c r="AL48" s="23" t="n"/>
    </row>
    <row r="49" ht="23.5" customHeight="1">
      <c r="A49" s="6" t="inlineStr">
        <is>
          <t>42</t>
        </is>
      </c>
      <c r="B49" s="28" t="n"/>
      <c r="C49" s="55" t="n"/>
      <c r="D49" s="19" t="n"/>
      <c r="E49" s="24" t="n"/>
      <c r="F49" s="25" t="n"/>
      <c r="G49" s="10" t="n"/>
      <c r="H49" s="8" t="n"/>
      <c r="I49" s="11" t="n"/>
      <c r="J49" s="57" t="n"/>
      <c r="K49" s="12" t="n"/>
      <c r="L49" s="13" t="n"/>
      <c r="M49" s="13" t="n"/>
      <c r="N49" s="14">
        <f>ROUND(I49*(SUM(J49:M49))*68%,0)</f>
        <v/>
      </c>
      <c r="O49" s="61" t="n"/>
      <c r="P49" s="59" t="n"/>
      <c r="Q49" s="59" t="n"/>
      <c r="R49" s="58" t="n"/>
      <c r="S49" s="15">
        <f>I49*J49</f>
        <v/>
      </c>
      <c r="T49" s="15">
        <f>SUM(S49:S49)*68%</f>
        <v/>
      </c>
      <c r="U49" s="15">
        <f>I49*K49*40%*O49</f>
        <v/>
      </c>
      <c r="V49" s="15">
        <f>IF(P49&gt;=6750,(I49*K49*40%),0)</f>
        <v/>
      </c>
      <c r="W49" s="15">
        <f>IF(P49&lt;6750,0,IF(Q49="",0,IF(OR(Q49="KURANG",Q49="SANGAT KURANG"),I49*K49*10%,I49*K49*20%)))</f>
        <v/>
      </c>
      <c r="X49" s="15">
        <f>SUM(U49:W49)*68%</f>
        <v/>
      </c>
      <c r="Y49" s="15">
        <f>I49*L49</f>
        <v/>
      </c>
      <c r="Z49" s="15">
        <f>Y49 * 68%</f>
        <v/>
      </c>
      <c r="AA49" s="15">
        <f>I49*M49</f>
        <v/>
      </c>
      <c r="AB49" s="15">
        <f>AA49*68%</f>
        <v/>
      </c>
      <c r="AC49" s="16">
        <f>ROUND((T49+X49+Z49+AB49),0)</f>
        <v/>
      </c>
      <c r="AD49" s="16">
        <f>AG49</f>
        <v/>
      </c>
      <c r="AE49" s="16">
        <f>AI49</f>
        <v/>
      </c>
      <c r="AF49" s="16">
        <f>AC49+AD49+AE49</f>
        <v/>
      </c>
      <c r="AG49" s="16" t="n"/>
      <c r="AH49" s="17" t="n"/>
      <c r="AI49" s="17">
        <f>AH49*4</f>
        <v/>
      </c>
      <c r="AJ49" s="15">
        <f>AF49-AG49-AH49-AI49</f>
        <v/>
      </c>
      <c r="AK49" s="18" t="n">
        <v>42</v>
      </c>
      <c r="AL49" s="23" t="n"/>
    </row>
    <row r="50" ht="23.5" customHeight="1">
      <c r="A50" s="6" t="inlineStr">
        <is>
          <t>43</t>
        </is>
      </c>
      <c r="B50" s="24" t="n"/>
      <c r="C50" s="55" t="n"/>
      <c r="D50" s="19" t="n"/>
      <c r="E50" s="24" t="n"/>
      <c r="F50" s="25" t="n"/>
      <c r="G50" s="10" t="n"/>
      <c r="H50" s="8" t="n"/>
      <c r="I50" s="11" t="n"/>
      <c r="J50" s="57" t="n"/>
      <c r="K50" s="12" t="n"/>
      <c r="L50" s="13" t="n"/>
      <c r="M50" s="13" t="n"/>
      <c r="N50" s="14">
        <f>ROUND(I50*(SUM(J50:M50))*68%,0)</f>
        <v/>
      </c>
      <c r="O50" s="61" t="n"/>
      <c r="P50" s="59" t="n"/>
      <c r="Q50" s="59" t="n"/>
      <c r="R50" s="58" t="n"/>
      <c r="S50" s="15">
        <f>I50*J50</f>
        <v/>
      </c>
      <c r="T50" s="15">
        <f>SUM(S50:S50)*68%</f>
        <v/>
      </c>
      <c r="U50" s="15">
        <f>I50*K50*40%*O50</f>
        <v/>
      </c>
      <c r="V50" s="15">
        <f>IF(P50&gt;=6750,(I50*K50*40%),0)</f>
        <v/>
      </c>
      <c r="W50" s="15">
        <f>IF(P50&lt;6750,0,IF(Q50="",0,IF(OR(Q50="KURANG",Q50="SANGAT KURANG"),I50*K50*10%,I50*K50*20%)))</f>
        <v/>
      </c>
      <c r="X50" s="15">
        <f>SUM(U50:W50)*68%</f>
        <v/>
      </c>
      <c r="Y50" s="15">
        <f>I50*L50</f>
        <v/>
      </c>
      <c r="Z50" s="15">
        <f>Y50 * 68%</f>
        <v/>
      </c>
      <c r="AA50" s="15">
        <f>I50*M50</f>
        <v/>
      </c>
      <c r="AB50" s="15">
        <f>AA50*68%</f>
        <v/>
      </c>
      <c r="AC50" s="16">
        <f>ROUND((T50+X50+Z50+AB50),0)</f>
        <v/>
      </c>
      <c r="AD50" s="16">
        <f>AG50</f>
        <v/>
      </c>
      <c r="AE50" s="16">
        <f>AI50</f>
        <v/>
      </c>
      <c r="AF50" s="16">
        <f>AC50+AD50+AE50</f>
        <v/>
      </c>
      <c r="AG50" s="16" t="n"/>
      <c r="AH50" s="17" t="n"/>
      <c r="AI50" s="17">
        <f>AH50*4</f>
        <v/>
      </c>
      <c r="AJ50" s="15">
        <f>AF50-AG50-AH50-AI50</f>
        <v/>
      </c>
      <c r="AK50" s="18" t="n">
        <v>43</v>
      </c>
      <c r="AL50" s="23" t="n"/>
    </row>
    <row r="51" ht="23.5" customHeight="1">
      <c r="A51" s="6" t="inlineStr">
        <is>
          <t>44</t>
        </is>
      </c>
      <c r="B51" s="28" t="n"/>
      <c r="C51" s="55" t="n"/>
      <c r="D51" s="19" t="n"/>
      <c r="E51" s="24" t="n"/>
      <c r="F51" s="25" t="n"/>
      <c r="G51" s="10" t="n"/>
      <c r="H51" s="8" t="n"/>
      <c r="I51" s="11" t="n"/>
      <c r="J51" s="57" t="n"/>
      <c r="K51" s="12" t="n"/>
      <c r="L51" s="13" t="n"/>
      <c r="M51" s="13" t="n"/>
      <c r="N51" s="14">
        <f>ROUND(I51*(SUM(J51:M51))*68%,0)</f>
        <v/>
      </c>
      <c r="O51" s="61" t="n"/>
      <c r="P51" s="59" t="n"/>
      <c r="Q51" s="59" t="n"/>
      <c r="R51" s="58" t="n"/>
      <c r="S51" s="15">
        <f>I51*J51</f>
        <v/>
      </c>
      <c r="T51" s="15">
        <f>SUM(S51:S51)*68%</f>
        <v/>
      </c>
      <c r="U51" s="15">
        <f>I51*K51*40%*O51</f>
        <v/>
      </c>
      <c r="V51" s="15">
        <f>IF(P51&gt;=6750,(I51*K51*40%),0)</f>
        <v/>
      </c>
      <c r="W51" s="15">
        <f>IF(P51&lt;6750,0,IF(Q51="",0,IF(OR(Q51="KURANG",Q51="SANGAT KURANG"),I51*K51*10%,I51*K51*20%)))</f>
        <v/>
      </c>
      <c r="X51" s="15">
        <f>SUM(U51:W51)*68%</f>
        <v/>
      </c>
      <c r="Y51" s="15">
        <f>I51*L51</f>
        <v/>
      </c>
      <c r="Z51" s="15">
        <f>Y51 * 68%</f>
        <v/>
      </c>
      <c r="AA51" s="15">
        <f>I51*M51</f>
        <v/>
      </c>
      <c r="AB51" s="15">
        <f>AA51*68%</f>
        <v/>
      </c>
      <c r="AC51" s="16">
        <f>ROUND((T51+X51+Z51+AB51),0)</f>
        <v/>
      </c>
      <c r="AD51" s="16">
        <f>AG51</f>
        <v/>
      </c>
      <c r="AE51" s="16">
        <f>AI51</f>
        <v/>
      </c>
      <c r="AF51" s="16">
        <f>AC51+AD51+AE51</f>
        <v/>
      </c>
      <c r="AG51" s="16" t="n"/>
      <c r="AH51" s="17" t="n"/>
      <c r="AI51" s="17">
        <f>AH51*4</f>
        <v/>
      </c>
      <c r="AJ51" s="15">
        <f>AF51-AG51-AH51-AI51</f>
        <v/>
      </c>
      <c r="AK51" s="18" t="n">
        <v>44</v>
      </c>
      <c r="AL51" s="40" t="n"/>
    </row>
    <row r="52" ht="23.5" customHeight="1">
      <c r="A52" s="6" t="inlineStr">
        <is>
          <t>45</t>
        </is>
      </c>
      <c r="B52" s="28" t="n"/>
      <c r="C52" s="55" t="n"/>
      <c r="D52" s="19" t="n"/>
      <c r="E52" s="24" t="n"/>
      <c r="F52" s="25" t="n"/>
      <c r="G52" s="10" t="n"/>
      <c r="H52" s="8" t="n"/>
      <c r="I52" s="11" t="n"/>
      <c r="J52" s="57" t="n"/>
      <c r="K52" s="12" t="n"/>
      <c r="L52" s="13" t="n"/>
      <c r="M52" s="13" t="n"/>
      <c r="N52" s="14">
        <f>ROUND(I52*(SUM(J52:M52))*68%,0)</f>
        <v/>
      </c>
      <c r="O52" s="61" t="n"/>
      <c r="P52" s="59" t="n"/>
      <c r="Q52" s="59" t="n"/>
      <c r="R52" s="58" t="n"/>
      <c r="S52" s="15">
        <f>I52*J52</f>
        <v/>
      </c>
      <c r="T52" s="15">
        <f>SUM(S52:S52)*68%</f>
        <v/>
      </c>
      <c r="U52" s="15">
        <f>I52*K52*40%*O52</f>
        <v/>
      </c>
      <c r="V52" s="15">
        <f>IF(P52&gt;=6750,(I52*K52*40%),0)</f>
        <v/>
      </c>
      <c r="W52" s="15">
        <f>IF(P52&lt;6750,0,IF(Q52="",0,IF(OR(Q52="KURANG",Q52="SANGAT KURANG"),I52*K52*10%,I52*K52*20%)))</f>
        <v/>
      </c>
      <c r="X52" s="15">
        <f>SUM(U52:W52)*68%</f>
        <v/>
      </c>
      <c r="Y52" s="15">
        <f>I52*L52</f>
        <v/>
      </c>
      <c r="Z52" s="15">
        <f>Y52 * 68%</f>
        <v/>
      </c>
      <c r="AA52" s="15">
        <f>I52*M52</f>
        <v/>
      </c>
      <c r="AB52" s="15">
        <f>AA52*68%</f>
        <v/>
      </c>
      <c r="AC52" s="16">
        <f>ROUND((T52+X52+Z52+AB52),0)</f>
        <v/>
      </c>
      <c r="AD52" s="16">
        <f>AG52</f>
        <v/>
      </c>
      <c r="AE52" s="16">
        <f>AI52</f>
        <v/>
      </c>
      <c r="AF52" s="16">
        <f>AC52+AD52+AE52</f>
        <v/>
      </c>
      <c r="AG52" s="16" t="n"/>
      <c r="AH52" s="17" t="n"/>
      <c r="AI52" s="17">
        <f>AH52*4</f>
        <v/>
      </c>
      <c r="AJ52" s="15">
        <f>AF52-AG52-AH52-AI52</f>
        <v/>
      </c>
      <c r="AK52" s="18" t="n">
        <v>45</v>
      </c>
      <c r="AL52" s="23" t="n"/>
    </row>
    <row r="53" ht="23.5" customHeight="1">
      <c r="A53" s="6" t="inlineStr">
        <is>
          <t>46</t>
        </is>
      </c>
      <c r="B53" s="24" t="n"/>
      <c r="C53" s="55" t="n"/>
      <c r="D53" s="19" t="n"/>
      <c r="E53" s="24" t="n"/>
      <c r="F53" s="25" t="n"/>
      <c r="G53" s="10" t="n"/>
      <c r="H53" s="8" t="n"/>
      <c r="I53" s="11" t="n"/>
      <c r="J53" s="57" t="n"/>
      <c r="K53" s="12" t="n"/>
      <c r="L53" s="13" t="n"/>
      <c r="M53" s="13" t="n"/>
      <c r="N53" s="14">
        <f>ROUND(I53*(SUM(J53:M53))*68%,0)</f>
        <v/>
      </c>
      <c r="O53" s="61" t="n"/>
      <c r="P53" s="59" t="n"/>
      <c r="Q53" s="59" t="n"/>
      <c r="R53" s="58" t="n"/>
      <c r="S53" s="15">
        <f>I53*J53</f>
        <v/>
      </c>
      <c r="T53" s="15">
        <f>SUM(S53:S53)*68%</f>
        <v/>
      </c>
      <c r="U53" s="15">
        <f>I53*K53*40%*O53</f>
        <v/>
      </c>
      <c r="V53" s="15">
        <f>IF(P53&gt;=6750,(I53*K53*40%),0)</f>
        <v/>
      </c>
      <c r="W53" s="15">
        <f>IF(P53&lt;6750,0,IF(Q53="",0,IF(OR(Q53="KURANG",Q53="SANGAT KURANG"),I53*K53*10%,I53*K53*20%)))</f>
        <v/>
      </c>
      <c r="X53" s="15">
        <f>SUM(U53:W53)*68%</f>
        <v/>
      </c>
      <c r="Y53" s="15">
        <f>I53*L53</f>
        <v/>
      </c>
      <c r="Z53" s="15">
        <f>Y53 * 68%</f>
        <v/>
      </c>
      <c r="AA53" s="15">
        <f>I53*M53</f>
        <v/>
      </c>
      <c r="AB53" s="15">
        <f>AA53*68%</f>
        <v/>
      </c>
      <c r="AC53" s="16">
        <f>ROUND((T53+X53+Z53+AB53),0)</f>
        <v/>
      </c>
      <c r="AD53" s="16">
        <f>AG53</f>
        <v/>
      </c>
      <c r="AE53" s="16">
        <f>AI53</f>
        <v/>
      </c>
      <c r="AF53" s="16">
        <f>AC53+AD53+AE53</f>
        <v/>
      </c>
      <c r="AG53" s="16" t="n"/>
      <c r="AH53" s="17" t="n"/>
      <c r="AI53" s="17">
        <f>AH53*4</f>
        <v/>
      </c>
      <c r="AJ53" s="15">
        <f>AF53-AG53-AH53-AI53</f>
        <v/>
      </c>
      <c r="AK53" s="18" t="n">
        <v>46</v>
      </c>
      <c r="AL53" s="40" t="n"/>
    </row>
    <row r="54" ht="23.5" customHeight="1">
      <c r="A54" s="6" t="inlineStr">
        <is>
          <t>47</t>
        </is>
      </c>
      <c r="B54" s="24" t="n"/>
      <c r="C54" s="55" t="n"/>
      <c r="D54" s="19" t="n"/>
      <c r="E54" s="24" t="n"/>
      <c r="F54" s="25" t="n"/>
      <c r="G54" s="10" t="n"/>
      <c r="H54" s="8" t="n"/>
      <c r="I54" s="11" t="n"/>
      <c r="J54" s="57" t="n"/>
      <c r="K54" s="12" t="n"/>
      <c r="L54" s="13" t="n"/>
      <c r="M54" s="13" t="n"/>
      <c r="N54" s="14">
        <f>ROUND(I54*(SUM(J54:M54))*68%,0)</f>
        <v/>
      </c>
      <c r="O54" s="61" t="n"/>
      <c r="P54" s="59" t="n"/>
      <c r="Q54" s="59" t="n"/>
      <c r="R54" s="58" t="n"/>
      <c r="S54" s="15">
        <f>I54*J54</f>
        <v/>
      </c>
      <c r="T54" s="15">
        <f>SUM(S54:S54)*68%</f>
        <v/>
      </c>
      <c r="U54" s="15">
        <f>I54*K54*40%*O54</f>
        <v/>
      </c>
      <c r="V54" s="15">
        <f>IF(P54&gt;=6750,(I54*K54*40%),0)</f>
        <v/>
      </c>
      <c r="W54" s="15">
        <f>IF(P54&lt;6750,0,IF(Q54="",0,IF(OR(Q54="KURANG",Q54="SANGAT KURANG"),I54*K54*10%,I54*K54*20%)))</f>
        <v/>
      </c>
      <c r="X54" s="15">
        <f>SUM(U54:W54)*68%</f>
        <v/>
      </c>
      <c r="Y54" s="15">
        <f>I54*L54</f>
        <v/>
      </c>
      <c r="Z54" s="15">
        <f>Y54 * 68%</f>
        <v/>
      </c>
      <c r="AA54" s="15">
        <f>I54*M54</f>
        <v/>
      </c>
      <c r="AB54" s="15">
        <f>AA54*68%</f>
        <v/>
      </c>
      <c r="AC54" s="16">
        <f>ROUND((T54+X54+Z54+AB54),0)</f>
        <v/>
      </c>
      <c r="AD54" s="16">
        <f>AG54</f>
        <v/>
      </c>
      <c r="AE54" s="16">
        <f>AI54</f>
        <v/>
      </c>
      <c r="AF54" s="16">
        <f>AC54+AD54+AE54</f>
        <v/>
      </c>
      <c r="AG54" s="16" t="n"/>
      <c r="AH54" s="17" t="n"/>
      <c r="AI54" s="17">
        <f>AH54*4</f>
        <v/>
      </c>
      <c r="AJ54" s="15">
        <f>AF54-AG54-AH54-AI54</f>
        <v/>
      </c>
      <c r="AK54" s="18" t="n">
        <v>47</v>
      </c>
      <c r="AL54" s="23" t="n"/>
    </row>
    <row r="55" ht="23.5" customHeight="1">
      <c r="A55" s="6" t="inlineStr">
        <is>
          <t>48</t>
        </is>
      </c>
      <c r="B55" s="24" t="n"/>
      <c r="C55" s="55" t="n"/>
      <c r="D55" s="19" t="n"/>
      <c r="E55" s="24" t="n"/>
      <c r="F55" s="25" t="n"/>
      <c r="G55" s="10" t="n"/>
      <c r="H55" s="8" t="n"/>
      <c r="I55" s="11" t="n"/>
      <c r="J55" s="57" t="n"/>
      <c r="K55" s="12" t="n"/>
      <c r="L55" s="13" t="n"/>
      <c r="M55" s="13" t="n"/>
      <c r="N55" s="14">
        <f>ROUND(I55*(SUM(J55:M55))*68%,0)</f>
        <v/>
      </c>
      <c r="O55" s="61" t="n"/>
      <c r="P55" s="59" t="n"/>
      <c r="Q55" s="59" t="n"/>
      <c r="R55" s="58" t="n"/>
      <c r="S55" s="15">
        <f>I55*J55</f>
        <v/>
      </c>
      <c r="T55" s="15">
        <f>SUM(S55:S55)*68%</f>
        <v/>
      </c>
      <c r="U55" s="15">
        <f>I55*K55*40%*O55</f>
        <v/>
      </c>
      <c r="V55" s="15">
        <f>IF(P55&gt;=6750,(I55*K55*40%),0)</f>
        <v/>
      </c>
      <c r="W55" s="15">
        <f>IF(P55&lt;6750,0,IF(Q55="",0,IF(OR(Q55="KURANG",Q55="SANGAT KURANG"),I55*K55*10%,I55*K55*20%)))</f>
        <v/>
      </c>
      <c r="X55" s="15">
        <f>SUM(U55:W55)*68%</f>
        <v/>
      </c>
      <c r="Y55" s="15">
        <f>I55*L55</f>
        <v/>
      </c>
      <c r="Z55" s="15">
        <f>Y55 * 68%</f>
        <v/>
      </c>
      <c r="AA55" s="15">
        <f>I55*M55</f>
        <v/>
      </c>
      <c r="AB55" s="15">
        <f>AA55*68%</f>
        <v/>
      </c>
      <c r="AC55" s="16">
        <f>ROUND((T55+X55+Z55+AB55),0)</f>
        <v/>
      </c>
      <c r="AD55" s="16">
        <f>AG55</f>
        <v/>
      </c>
      <c r="AE55" s="16">
        <f>AI55</f>
        <v/>
      </c>
      <c r="AF55" s="16">
        <f>AC55+AD55+AE55</f>
        <v/>
      </c>
      <c r="AG55" s="16" t="n"/>
      <c r="AH55" s="17" t="n"/>
      <c r="AI55" s="17">
        <f>AH55*4</f>
        <v/>
      </c>
      <c r="AJ55" s="15">
        <f>AF55-AG55-AH55-AI55</f>
        <v/>
      </c>
      <c r="AK55" s="18" t="n">
        <v>48</v>
      </c>
      <c r="AL55" s="23" t="n"/>
    </row>
    <row r="56" ht="23.5" customHeight="1">
      <c r="A56" s="6" t="inlineStr">
        <is>
          <t>49</t>
        </is>
      </c>
      <c r="B56" s="28" t="n"/>
      <c r="C56" s="55" t="n"/>
      <c r="D56" s="19" t="n"/>
      <c r="E56" s="24" t="n"/>
      <c r="F56" s="25" t="n"/>
      <c r="G56" s="10" t="n"/>
      <c r="H56" s="8" t="n"/>
      <c r="I56" s="11" t="n"/>
      <c r="J56" s="57" t="n"/>
      <c r="K56" s="12" t="n"/>
      <c r="L56" s="13" t="n"/>
      <c r="M56" s="13" t="n"/>
      <c r="N56" s="14">
        <f>ROUND(I56*(SUM(J56:M56))*68%,0)</f>
        <v/>
      </c>
      <c r="O56" s="61" t="n"/>
      <c r="P56" s="59" t="n"/>
      <c r="Q56" s="59" t="n"/>
      <c r="R56" s="58" t="n"/>
      <c r="S56" s="15">
        <f>I56*J56</f>
        <v/>
      </c>
      <c r="T56" s="15">
        <f>SUM(S56:S56)*68%</f>
        <v/>
      </c>
      <c r="U56" s="15">
        <f>I56*K56*40%*O56</f>
        <v/>
      </c>
      <c r="V56" s="15">
        <f>IF(P56&gt;=6750,(I56*K56*40%),0)</f>
        <v/>
      </c>
      <c r="W56" s="15">
        <f>IF(P56&lt;6750,0,IF(Q56="",0,IF(OR(Q56="KURANG",Q56="SANGAT KURANG"),I56*K56*10%,I56*K56*20%)))</f>
        <v/>
      </c>
      <c r="X56" s="15">
        <f>SUM(U56:W56)*68%</f>
        <v/>
      </c>
      <c r="Y56" s="15">
        <f>I56*L56</f>
        <v/>
      </c>
      <c r="Z56" s="15">
        <f>Y56 * 68%</f>
        <v/>
      </c>
      <c r="AA56" s="15">
        <f>I56*M56</f>
        <v/>
      </c>
      <c r="AB56" s="15">
        <f>AA56*68%</f>
        <v/>
      </c>
      <c r="AC56" s="16">
        <f>ROUND((T56+X56+Z56+AB56),0)</f>
        <v/>
      </c>
      <c r="AD56" s="16">
        <f>AG56</f>
        <v/>
      </c>
      <c r="AE56" s="16">
        <f>AI56</f>
        <v/>
      </c>
      <c r="AF56" s="16">
        <f>AC56+AD56+AE56</f>
        <v/>
      </c>
      <c r="AG56" s="16" t="n"/>
      <c r="AH56" s="17" t="n"/>
      <c r="AI56" s="17">
        <f>AH56*4</f>
        <v/>
      </c>
      <c r="AJ56" s="15">
        <f>AF56-AG56-AH56-AI56</f>
        <v/>
      </c>
      <c r="AK56" s="18" t="n">
        <v>49</v>
      </c>
      <c r="AL56" s="23" t="n"/>
    </row>
    <row r="57" ht="23.5" customHeight="1">
      <c r="A57" s="6" t="inlineStr">
        <is>
          <t>50</t>
        </is>
      </c>
      <c r="B57" s="24" t="n"/>
      <c r="C57" s="55" t="n"/>
      <c r="D57" s="19" t="n"/>
      <c r="E57" s="24" t="n"/>
      <c r="F57" s="25" t="n"/>
      <c r="G57" s="10" t="n"/>
      <c r="H57" s="8" t="n"/>
      <c r="I57" s="11" t="n"/>
      <c r="J57" s="57" t="n"/>
      <c r="K57" s="12" t="n"/>
      <c r="L57" s="22" t="n"/>
      <c r="M57" s="13" t="n"/>
      <c r="N57" s="14">
        <f>ROUND(I57*(SUM(J57:M57))*68%,0)</f>
        <v/>
      </c>
      <c r="O57" s="61" t="n"/>
      <c r="P57" s="59" t="n"/>
      <c r="Q57" s="59" t="n"/>
      <c r="R57" s="58" t="n"/>
      <c r="S57" s="15">
        <f>I57*J57</f>
        <v/>
      </c>
      <c r="T57" s="15">
        <f>SUM(S57:S57)*68%</f>
        <v/>
      </c>
      <c r="U57" s="15">
        <f>I57*K57*40%*O57</f>
        <v/>
      </c>
      <c r="V57" s="15">
        <f>IF(P57&gt;=6750,(I57*K57*40%),0)</f>
        <v/>
      </c>
      <c r="W57" s="15">
        <f>IF(P57&lt;6750,0,IF(Q57="",0,IF(OR(Q57="KURANG",Q57="SANGAT KURANG"),I57*K57*10%,I57*K57*20%)))</f>
        <v/>
      </c>
      <c r="X57" s="15">
        <f>SUM(U57:W57)*68%</f>
        <v/>
      </c>
      <c r="Y57" s="15">
        <f>I57*L57</f>
        <v/>
      </c>
      <c r="Z57" s="15">
        <f>Y57 * 68%</f>
        <v/>
      </c>
      <c r="AA57" s="15">
        <f>I57*M57</f>
        <v/>
      </c>
      <c r="AB57" s="15">
        <f>AA57*68%</f>
        <v/>
      </c>
      <c r="AC57" s="16">
        <f>ROUND((T57+X57+Z57+AB57),0)</f>
        <v/>
      </c>
      <c r="AD57" s="16">
        <f>AG57</f>
        <v/>
      </c>
      <c r="AE57" s="16">
        <f>AI57</f>
        <v/>
      </c>
      <c r="AF57" s="16">
        <f>AC57+AD57+AE57</f>
        <v/>
      </c>
      <c r="AG57" s="16" t="n"/>
      <c r="AH57" s="17" t="n"/>
      <c r="AI57" s="17">
        <f>AH57*4</f>
        <v/>
      </c>
      <c r="AJ57" s="15">
        <f>AF57-AG57-AH57-AI57</f>
        <v/>
      </c>
      <c r="AK57" s="18" t="n">
        <v>50</v>
      </c>
      <c r="AL57" s="23" t="n"/>
    </row>
    <row r="58" ht="23.5" customHeight="1">
      <c r="A58" s="6" t="inlineStr">
        <is>
          <t>51</t>
        </is>
      </c>
      <c r="B58" s="28" t="n"/>
      <c r="C58" s="55" t="n"/>
      <c r="D58" s="19" t="n"/>
      <c r="E58" s="24" t="n"/>
      <c r="F58" s="25" t="n"/>
      <c r="G58" s="10" t="n"/>
      <c r="H58" s="8" t="n"/>
      <c r="I58" s="11" t="n"/>
      <c r="J58" s="57" t="n"/>
      <c r="K58" s="12" t="n"/>
      <c r="L58" s="22" t="n"/>
      <c r="M58" s="13" t="n"/>
      <c r="N58" s="14">
        <f>ROUND(I58*(SUM(J58:M58))*68%,0)</f>
        <v/>
      </c>
      <c r="O58" s="61" t="n"/>
      <c r="P58" s="59" t="n"/>
      <c r="Q58" s="59" t="n"/>
      <c r="R58" s="58" t="n"/>
      <c r="S58" s="15">
        <f>I58*J58</f>
        <v/>
      </c>
      <c r="T58" s="15">
        <f>SUM(S58:S58)*68%</f>
        <v/>
      </c>
      <c r="U58" s="15">
        <f>I58*K58*40%*O58</f>
        <v/>
      </c>
      <c r="V58" s="15">
        <f>IF(P58&gt;=6750,(I58*K58*40%),0)</f>
        <v/>
      </c>
      <c r="W58" s="15">
        <f>IF(P58&lt;6750,0,IF(Q58="",0,IF(OR(Q58="KURANG",Q58="SANGAT KURANG"),I58*K58*10%,I58*K58*20%)))</f>
        <v/>
      </c>
      <c r="X58" s="15">
        <f>SUM(U58:W58)*68%</f>
        <v/>
      </c>
      <c r="Y58" s="15">
        <f>I58*L58</f>
        <v/>
      </c>
      <c r="Z58" s="15">
        <f>Y58 * 68%</f>
        <v/>
      </c>
      <c r="AA58" s="15">
        <f>I58*M58</f>
        <v/>
      </c>
      <c r="AB58" s="15">
        <f>AA58*68%</f>
        <v/>
      </c>
      <c r="AC58" s="16">
        <f>ROUND((T58+X58+Z58+AB58),0)</f>
        <v/>
      </c>
      <c r="AD58" s="16">
        <f>AG58</f>
        <v/>
      </c>
      <c r="AE58" s="16">
        <f>AI58</f>
        <v/>
      </c>
      <c r="AF58" s="16">
        <f>AC58+AD58+AE58</f>
        <v/>
      </c>
      <c r="AG58" s="16" t="n"/>
      <c r="AH58" s="17" t="n"/>
      <c r="AI58" s="17">
        <f>AH58*4</f>
        <v/>
      </c>
      <c r="AJ58" s="15">
        <f>AF58-AG58-AH58-AI58</f>
        <v/>
      </c>
      <c r="AK58" s="18" t="n">
        <v>51</v>
      </c>
      <c r="AL58" s="23" t="n"/>
    </row>
    <row r="59" ht="23.5" customHeight="1">
      <c r="A59" s="6" t="inlineStr">
        <is>
          <t>52</t>
        </is>
      </c>
      <c r="B59" s="24" t="n"/>
      <c r="C59" s="55" t="n"/>
      <c r="D59" s="19" t="n"/>
      <c r="E59" s="24" t="n"/>
      <c r="F59" s="25" t="n"/>
      <c r="G59" s="10" t="n"/>
      <c r="H59" s="8" t="n"/>
      <c r="I59" s="11" t="n"/>
      <c r="J59" s="57" t="n"/>
      <c r="K59" s="12" t="n"/>
      <c r="L59" s="22" t="n"/>
      <c r="M59" s="13" t="n"/>
      <c r="N59" s="14">
        <f>ROUND(I59*(SUM(J59:M59))*68%,0)</f>
        <v/>
      </c>
      <c r="O59" s="61" t="n"/>
      <c r="P59" s="59" t="n"/>
      <c r="Q59" s="59" t="n"/>
      <c r="R59" s="58" t="n"/>
      <c r="S59" s="15">
        <f>I59*J59</f>
        <v/>
      </c>
      <c r="T59" s="15">
        <f>SUM(S59:S59)*68%</f>
        <v/>
      </c>
      <c r="U59" s="15">
        <f>I59*K59*40%*O59</f>
        <v/>
      </c>
      <c r="V59" s="15">
        <f>IF(P59&gt;=6750,(I59*K59*40%),0)</f>
        <v/>
      </c>
      <c r="W59" s="15">
        <f>IF(P59&lt;6750,0,IF(Q59="",0,IF(OR(Q59="KURANG",Q59="SANGAT KURANG"),I59*K59*10%,I59*K59*20%)))</f>
        <v/>
      </c>
      <c r="X59" s="15">
        <f>SUM(U59:W59)*68%</f>
        <v/>
      </c>
      <c r="Y59" s="15">
        <f>I59*L59</f>
        <v/>
      </c>
      <c r="Z59" s="15">
        <f>Y59 * 68%</f>
        <v/>
      </c>
      <c r="AA59" s="15">
        <f>I59*M59</f>
        <v/>
      </c>
      <c r="AB59" s="15">
        <f>AA59*68%</f>
        <v/>
      </c>
      <c r="AC59" s="16">
        <f>ROUND((T59+X59+Z59+AB59),0)</f>
        <v/>
      </c>
      <c r="AD59" s="16">
        <f>AG59</f>
        <v/>
      </c>
      <c r="AE59" s="16">
        <f>AI59</f>
        <v/>
      </c>
      <c r="AF59" s="16">
        <f>AC59+AD59+AE59</f>
        <v/>
      </c>
      <c r="AG59" s="16" t="n"/>
      <c r="AH59" s="17" t="n"/>
      <c r="AI59" s="17">
        <f>AH59*4</f>
        <v/>
      </c>
      <c r="AJ59" s="15">
        <f>AF59-AG59-AH59-AI59</f>
        <v/>
      </c>
      <c r="AK59" s="18" t="n">
        <v>52</v>
      </c>
      <c r="AL59" s="23" t="n"/>
    </row>
    <row r="60" ht="23.5" customHeight="1">
      <c r="A60" s="6" t="inlineStr">
        <is>
          <t>53</t>
        </is>
      </c>
      <c r="B60" s="24" t="n"/>
      <c r="C60" s="55" t="n"/>
      <c r="D60" s="19" t="n"/>
      <c r="E60" s="24" t="n"/>
      <c r="F60" s="25" t="n"/>
      <c r="G60" s="10" t="n"/>
      <c r="H60" s="8" t="n"/>
      <c r="I60" s="11" t="n"/>
      <c r="J60" s="57" t="n"/>
      <c r="K60" s="12" t="n"/>
      <c r="L60" s="22" t="n"/>
      <c r="M60" s="13" t="n"/>
      <c r="N60" s="14">
        <f>ROUND(I60*(SUM(J60:M60))*68%,0)</f>
        <v/>
      </c>
      <c r="O60" s="61" t="n"/>
      <c r="P60" s="59" t="n"/>
      <c r="Q60" s="59" t="n"/>
      <c r="R60" s="58" t="n"/>
      <c r="S60" s="15">
        <f>I60*J60</f>
        <v/>
      </c>
      <c r="T60" s="15">
        <f>SUM(S60:S60)*68%</f>
        <v/>
      </c>
      <c r="U60" s="15">
        <f>I60*K60*40%*O60</f>
        <v/>
      </c>
      <c r="V60" s="15">
        <f>IF(P60&gt;=6750,(I60*K60*40%),0)</f>
        <v/>
      </c>
      <c r="W60" s="15">
        <f>IF(P60&lt;6750,0,IF(Q60="",0,IF(OR(Q60="KURANG",Q60="SANGAT KURANG"),I60*K60*10%,I60*K60*20%)))</f>
        <v/>
      </c>
      <c r="X60" s="15">
        <f>SUM(U60:W60)*68%</f>
        <v/>
      </c>
      <c r="Y60" s="15">
        <f>I60*L60</f>
        <v/>
      </c>
      <c r="Z60" s="15">
        <f>Y60 * 68%</f>
        <v/>
      </c>
      <c r="AA60" s="15">
        <f>I60*M60</f>
        <v/>
      </c>
      <c r="AB60" s="15">
        <f>AA60*68%</f>
        <v/>
      </c>
      <c r="AC60" s="16">
        <f>ROUND((T60+X60+Z60+AB60),0)</f>
        <v/>
      </c>
      <c r="AD60" s="16">
        <f>AG60</f>
        <v/>
      </c>
      <c r="AE60" s="16">
        <f>AI60</f>
        <v/>
      </c>
      <c r="AF60" s="16">
        <f>AC60+AD60+AE60</f>
        <v/>
      </c>
      <c r="AG60" s="16" t="n"/>
      <c r="AH60" s="17" t="n"/>
      <c r="AI60" s="17">
        <f>AH60*4</f>
        <v/>
      </c>
      <c r="AJ60" s="15">
        <f>AF60-AG60-AH60-AI60</f>
        <v/>
      </c>
      <c r="AK60" s="18" t="n">
        <v>53</v>
      </c>
      <c r="AL60" s="40" t="n"/>
    </row>
    <row r="61" ht="23.5" customHeight="1">
      <c r="A61" s="6" t="inlineStr">
        <is>
          <t>54</t>
        </is>
      </c>
      <c r="B61" s="24" t="n"/>
      <c r="C61" s="55" t="n"/>
      <c r="D61" s="19" t="n"/>
      <c r="E61" s="24" t="n"/>
      <c r="F61" s="25" t="n"/>
      <c r="G61" s="10" t="n"/>
      <c r="H61" s="8" t="n"/>
      <c r="I61" s="11" t="n"/>
      <c r="J61" s="57" t="n"/>
      <c r="K61" s="12" t="n"/>
      <c r="L61" s="22" t="n"/>
      <c r="M61" s="13" t="n"/>
      <c r="N61" s="14">
        <f>ROUND(I61*(SUM(J61:M61))*68%,0)</f>
        <v/>
      </c>
      <c r="O61" s="61" t="n"/>
      <c r="P61" s="59" t="n"/>
      <c r="Q61" s="59" t="n"/>
      <c r="R61" s="58" t="n"/>
      <c r="S61" s="15">
        <f>I61*J61</f>
        <v/>
      </c>
      <c r="T61" s="15">
        <f>SUM(S61:S61)*68%</f>
        <v/>
      </c>
      <c r="U61" s="15">
        <f>I61*K61*40%*O61</f>
        <v/>
      </c>
      <c r="V61" s="15">
        <f>IF(P61&gt;=6750,(I61*K61*40%),0)</f>
        <v/>
      </c>
      <c r="W61" s="15">
        <f>IF(P61&lt;6750,0,IF(Q61="",0,IF(OR(Q61="KURANG",Q61="SANGAT KURANG"),I61*K61*10%,I61*K61*20%)))</f>
        <v/>
      </c>
      <c r="X61" s="15">
        <f>SUM(U61:W61)*68%</f>
        <v/>
      </c>
      <c r="Y61" s="15">
        <f>I61*L61</f>
        <v/>
      </c>
      <c r="Z61" s="15">
        <f>Y61 * 68%</f>
        <v/>
      </c>
      <c r="AA61" s="15">
        <f>I61*M61</f>
        <v/>
      </c>
      <c r="AB61" s="15">
        <f>AA61*68%</f>
        <v/>
      </c>
      <c r="AC61" s="16">
        <f>ROUND((T61+X61+Z61+AB61),0)</f>
        <v/>
      </c>
      <c r="AD61" s="16">
        <f>AG61</f>
        <v/>
      </c>
      <c r="AE61" s="16">
        <f>AI61</f>
        <v/>
      </c>
      <c r="AF61" s="16">
        <f>AC61+AD61+AE61</f>
        <v/>
      </c>
      <c r="AG61" s="16" t="n"/>
      <c r="AH61" s="17" t="n"/>
      <c r="AI61" s="17">
        <f>AH61*4</f>
        <v/>
      </c>
      <c r="AJ61" s="15">
        <f>AF61-AG61-AH61-AI61</f>
        <v/>
      </c>
      <c r="AK61" s="18" t="n">
        <v>54</v>
      </c>
      <c r="AL61" s="23" t="n"/>
    </row>
    <row r="62" ht="23.5" customHeight="1">
      <c r="A62" s="6" t="inlineStr">
        <is>
          <t>55</t>
        </is>
      </c>
      <c r="B62" s="24" t="n"/>
      <c r="C62" s="55" t="n"/>
      <c r="D62" s="19" t="n"/>
      <c r="E62" s="24" t="n"/>
      <c r="F62" s="25" t="n"/>
      <c r="G62" s="10" t="n"/>
      <c r="H62" s="8" t="n"/>
      <c r="I62" s="11" t="n"/>
      <c r="J62" s="57" t="n"/>
      <c r="K62" s="12" t="n"/>
      <c r="L62" s="22" t="n"/>
      <c r="M62" s="13" t="n"/>
      <c r="N62" s="14">
        <f>ROUND(I62*(SUM(J62:M62))*68%,0)</f>
        <v/>
      </c>
      <c r="O62" s="61" t="n"/>
      <c r="P62" s="59" t="n"/>
      <c r="Q62" s="59" t="n"/>
      <c r="R62" s="58" t="n"/>
      <c r="S62" s="15">
        <f>I62*J62</f>
        <v/>
      </c>
      <c r="T62" s="15">
        <f>SUM(S62:S62)*68%</f>
        <v/>
      </c>
      <c r="U62" s="15">
        <f>I62*K62*40%*O62</f>
        <v/>
      </c>
      <c r="V62" s="15">
        <f>IF(P62&gt;=6750,(I62*K62*40%),0)</f>
        <v/>
      </c>
      <c r="W62" s="15">
        <f>IF(P62&lt;6750,0,IF(Q62="",0,IF(OR(Q62="KURANG",Q62="SANGAT KURANG"),I62*K62*10%,I62*K62*20%)))</f>
        <v/>
      </c>
      <c r="X62" s="15">
        <f>SUM(U62:W62)*68%</f>
        <v/>
      </c>
      <c r="Y62" s="15">
        <f>I62*L62</f>
        <v/>
      </c>
      <c r="Z62" s="15">
        <f>Y62 * 68%</f>
        <v/>
      </c>
      <c r="AA62" s="15">
        <f>I62*M62</f>
        <v/>
      </c>
      <c r="AB62" s="15">
        <f>AA62*68%</f>
        <v/>
      </c>
      <c r="AC62" s="16">
        <f>ROUND((T62+X62+Z62+AB62),0)</f>
        <v/>
      </c>
      <c r="AD62" s="16">
        <f>AG62</f>
        <v/>
      </c>
      <c r="AE62" s="16">
        <f>AI62</f>
        <v/>
      </c>
      <c r="AF62" s="16">
        <f>AC62+AD62+AE62</f>
        <v/>
      </c>
      <c r="AG62" s="16" t="n"/>
      <c r="AH62" s="17" t="n"/>
      <c r="AI62" s="17">
        <f>AH62*4</f>
        <v/>
      </c>
      <c r="AJ62" s="15">
        <f>AF62-AG62-AH62-AI62</f>
        <v/>
      </c>
      <c r="AK62" s="18" t="n">
        <v>55</v>
      </c>
      <c r="AL62" s="40" t="n"/>
    </row>
    <row r="63" ht="23.5" customHeight="1">
      <c r="A63" s="6" t="inlineStr">
        <is>
          <t>56</t>
        </is>
      </c>
      <c r="B63" s="24" t="n"/>
      <c r="C63" s="55" t="n"/>
      <c r="D63" s="19" t="n"/>
      <c r="E63" s="24" t="n"/>
      <c r="F63" s="25" t="n"/>
      <c r="G63" s="10" t="n"/>
      <c r="H63" s="8" t="n"/>
      <c r="I63" s="11" t="n"/>
      <c r="J63" s="57" t="n"/>
      <c r="K63" s="12" t="n"/>
      <c r="L63" s="22" t="n"/>
      <c r="M63" s="13" t="n"/>
      <c r="N63" s="14">
        <f>ROUND(I63*(SUM(J63:M63))*68%,0)</f>
        <v/>
      </c>
      <c r="O63" s="61" t="n"/>
      <c r="P63" s="59" t="n"/>
      <c r="Q63" s="59" t="n"/>
      <c r="R63" s="58" t="n"/>
      <c r="S63" s="15">
        <f>I63*J63</f>
        <v/>
      </c>
      <c r="T63" s="15">
        <f>SUM(S63:S63)*68%</f>
        <v/>
      </c>
      <c r="U63" s="15">
        <f>I63*K63*40%*O63</f>
        <v/>
      </c>
      <c r="V63" s="15">
        <f>IF(P63&gt;=6750,(I63*K63*40%),0)</f>
        <v/>
      </c>
      <c r="W63" s="15">
        <f>IF(P63&lt;6750,0,IF(Q63="",0,IF(OR(Q63="KURANG",Q63="SANGAT KURANG"),I63*K63*10%,I63*K63*20%)))</f>
        <v/>
      </c>
      <c r="X63" s="15">
        <f>SUM(U63:W63)*68%</f>
        <v/>
      </c>
      <c r="Y63" s="15">
        <f>I63*L63</f>
        <v/>
      </c>
      <c r="Z63" s="15">
        <f>Y63 * 68%</f>
        <v/>
      </c>
      <c r="AA63" s="15">
        <f>I63*M63</f>
        <v/>
      </c>
      <c r="AB63" s="15">
        <f>AA63*68%</f>
        <v/>
      </c>
      <c r="AC63" s="16">
        <f>ROUND((T63+X63+Z63+AB63),0)</f>
        <v/>
      </c>
      <c r="AD63" s="16">
        <f>AG63</f>
        <v/>
      </c>
      <c r="AE63" s="16">
        <f>AI63</f>
        <v/>
      </c>
      <c r="AF63" s="16">
        <f>AC63+AD63+AE63</f>
        <v/>
      </c>
      <c r="AG63" s="16" t="n"/>
      <c r="AH63" s="17" t="n"/>
      <c r="AI63" s="17">
        <f>AH63*4</f>
        <v/>
      </c>
      <c r="AJ63" s="15">
        <f>AF63-AG63-AH63-AI63</f>
        <v/>
      </c>
      <c r="AK63" s="18" t="n">
        <v>56</v>
      </c>
      <c r="AL63" s="23" t="n"/>
    </row>
    <row r="64" ht="23.5" customHeight="1">
      <c r="A64" s="6" t="inlineStr">
        <is>
          <t>57</t>
        </is>
      </c>
      <c r="B64" s="28" t="n"/>
      <c r="C64" s="55" t="n"/>
      <c r="D64" s="19" t="n"/>
      <c r="E64" s="24" t="n"/>
      <c r="F64" s="25" t="n"/>
      <c r="G64" s="10" t="n"/>
      <c r="H64" s="8" t="n"/>
      <c r="I64" s="11" t="n"/>
      <c r="J64" s="57" t="n"/>
      <c r="K64" s="12" t="n"/>
      <c r="L64" s="22" t="n"/>
      <c r="M64" s="13" t="n"/>
      <c r="N64" s="14">
        <f>ROUND(I64*(SUM(J64:M64))*68%,0)</f>
        <v/>
      </c>
      <c r="O64" s="61" t="n"/>
      <c r="P64" s="59" t="n"/>
      <c r="Q64" s="59" t="n"/>
      <c r="R64" s="58" t="n"/>
      <c r="S64" s="15">
        <f>I64*J64</f>
        <v/>
      </c>
      <c r="T64" s="15">
        <f>SUM(S64:S64)*68%</f>
        <v/>
      </c>
      <c r="U64" s="15">
        <f>I64*K64*40%*O64</f>
        <v/>
      </c>
      <c r="V64" s="15">
        <f>IF(P64&gt;=6750,(I64*K64*40%),0)</f>
        <v/>
      </c>
      <c r="W64" s="15">
        <f>IF(P64&lt;6750,0,IF(Q64="",0,IF(OR(Q64="KURANG",Q64="SANGAT KURANG"),I64*K64*10%,I64*K64*20%)))</f>
        <v/>
      </c>
      <c r="X64" s="15">
        <f>SUM(U64:W64)*68%</f>
        <v/>
      </c>
      <c r="Y64" s="15">
        <f>I64*L64</f>
        <v/>
      </c>
      <c r="Z64" s="15">
        <f>Y64 * 68%</f>
        <v/>
      </c>
      <c r="AA64" s="15">
        <f>I64*M64</f>
        <v/>
      </c>
      <c r="AB64" s="15">
        <f>AA64*68%</f>
        <v/>
      </c>
      <c r="AC64" s="16">
        <f>ROUND((T64+X64+Z64+AB64),0)</f>
        <v/>
      </c>
      <c r="AD64" s="16">
        <f>AG64</f>
        <v/>
      </c>
      <c r="AE64" s="16">
        <f>AI64</f>
        <v/>
      </c>
      <c r="AF64" s="16">
        <f>AC64+AD64+AE64</f>
        <v/>
      </c>
      <c r="AG64" s="16" t="n"/>
      <c r="AH64" s="17" t="n"/>
      <c r="AI64" s="17">
        <f>AH64*4</f>
        <v/>
      </c>
      <c r="AJ64" s="15">
        <f>AF64-AG64-AH64-AI64</f>
        <v/>
      </c>
      <c r="AK64" s="18" t="n">
        <v>57</v>
      </c>
      <c r="AL64" s="23" t="n"/>
    </row>
    <row r="65" ht="23.5" customHeight="1">
      <c r="A65" s="6" t="inlineStr">
        <is>
          <t>58</t>
        </is>
      </c>
      <c r="B65" s="30" t="n"/>
      <c r="C65" s="55" t="n"/>
      <c r="D65" s="29" t="n"/>
      <c r="E65" s="30" t="n"/>
      <c r="F65" s="31" t="n"/>
      <c r="G65" s="32" t="n"/>
      <c r="H65" s="33" t="n"/>
      <c r="I65" s="11" t="n"/>
      <c r="J65" s="57" t="n"/>
      <c r="K65" s="12" t="n"/>
      <c r="L65" s="22" t="n"/>
      <c r="M65" s="13" t="n"/>
      <c r="N65" s="14">
        <f>ROUND(I65*(SUM(J65:M65))*68%,0)</f>
        <v/>
      </c>
      <c r="O65" s="61" t="n"/>
      <c r="P65" s="59" t="n"/>
      <c r="Q65" s="59" t="n"/>
      <c r="R65" s="58" t="n"/>
      <c r="S65" s="15">
        <f>I65*J65</f>
        <v/>
      </c>
      <c r="T65" s="15">
        <f>SUM(S65:S65)*68%</f>
        <v/>
      </c>
      <c r="U65" s="15">
        <f>I65*K65*40%*O65</f>
        <v/>
      </c>
      <c r="V65" s="15">
        <f>IF(P65&gt;=6750,(I65*K65*40%),0)</f>
        <v/>
      </c>
      <c r="W65" s="15">
        <f>IF(P65&lt;6750,0,IF(Q65="",0,IF(OR(Q65="KURANG",Q65="SANGAT KURANG"),I65*K65*10%,I65*K65*20%)))</f>
        <v/>
      </c>
      <c r="X65" s="15">
        <f>SUM(U65:W65)*68%</f>
        <v/>
      </c>
      <c r="Y65" s="15">
        <f>I65*L65</f>
        <v/>
      </c>
      <c r="Z65" s="15">
        <f>Y65 * 68%</f>
        <v/>
      </c>
      <c r="AA65" s="15">
        <f>I65*M65</f>
        <v/>
      </c>
      <c r="AB65" s="15">
        <f>AA65*68%</f>
        <v/>
      </c>
      <c r="AC65" s="16">
        <f>ROUND((T65+X65+Z65+AB65),0)</f>
        <v/>
      </c>
      <c r="AD65" s="16">
        <f>AG65</f>
        <v/>
      </c>
      <c r="AE65" s="16">
        <f>AI65</f>
        <v/>
      </c>
      <c r="AF65" s="16">
        <f>AC65+AD65+AE65</f>
        <v/>
      </c>
      <c r="AG65" s="16" t="n"/>
      <c r="AH65" s="17" t="n"/>
      <c r="AI65" s="17">
        <f>AH65*4</f>
        <v/>
      </c>
      <c r="AJ65" s="15">
        <f>AF65-AG65-AH65-AI65</f>
        <v/>
      </c>
      <c r="AK65" s="18" t="n">
        <v>58</v>
      </c>
      <c r="AL65" s="23" t="n"/>
    </row>
    <row r="66" ht="23.5" customHeight="1">
      <c r="A66" s="6" t="inlineStr">
        <is>
          <t>59</t>
        </is>
      </c>
      <c r="B66" s="24" t="n"/>
      <c r="C66" s="55" t="n"/>
      <c r="D66" s="19" t="n"/>
      <c r="E66" s="24" t="n"/>
      <c r="F66" s="25" t="n"/>
      <c r="G66" s="25" t="n"/>
      <c r="H66" s="24" t="n"/>
      <c r="I66" s="11" t="n"/>
      <c r="J66" s="57" t="n"/>
      <c r="K66" s="12" t="n"/>
      <c r="L66" s="22" t="n"/>
      <c r="M66" s="13" t="n"/>
      <c r="N66" s="14">
        <f>ROUND(I66*(SUM(J66:M66))*68%,0)</f>
        <v/>
      </c>
      <c r="O66" s="61" t="n"/>
      <c r="P66" s="59" t="n"/>
      <c r="Q66" s="59" t="n"/>
      <c r="R66" s="58" t="n"/>
      <c r="S66" s="15">
        <f>I66*J66</f>
        <v/>
      </c>
      <c r="T66" s="15">
        <f>SUM(S66:S66)*68%</f>
        <v/>
      </c>
      <c r="U66" s="15">
        <f>I66*K66*40%*O66</f>
        <v/>
      </c>
      <c r="V66" s="15">
        <f>IF(P66&gt;=6750,(I66*K66*40%),0)</f>
        <v/>
      </c>
      <c r="W66" s="15">
        <f>IF(P66&lt;6750,0,IF(Q66="",0,IF(OR(Q66="KURANG",Q66="SANGAT KURANG"),I66*K66*10%,I66*K66*20%)))</f>
        <v/>
      </c>
      <c r="X66" s="15">
        <f>SUM(U66:W66)*68%</f>
        <v/>
      </c>
      <c r="Y66" s="15">
        <f>I66*L66</f>
        <v/>
      </c>
      <c r="Z66" s="15">
        <f>Y66 * 68%</f>
        <v/>
      </c>
      <c r="AA66" s="15">
        <f>I66*M66</f>
        <v/>
      </c>
      <c r="AB66" s="15">
        <f>AA66*68%</f>
        <v/>
      </c>
      <c r="AC66" s="16">
        <f>ROUND((T66+X66+Z66+AB66),0)</f>
        <v/>
      </c>
      <c r="AD66" s="16">
        <f>AG66</f>
        <v/>
      </c>
      <c r="AE66" s="16">
        <f>AI66</f>
        <v/>
      </c>
      <c r="AF66" s="16">
        <f>AC66+AD66+AE66</f>
        <v/>
      </c>
      <c r="AG66" s="16" t="n"/>
      <c r="AH66" s="17" t="n"/>
      <c r="AI66" s="17">
        <f>AH66*4</f>
        <v/>
      </c>
      <c r="AJ66" s="15">
        <f>AF66-AG66-AH66-AI66</f>
        <v/>
      </c>
      <c r="AK66" s="18" t="n">
        <v>59</v>
      </c>
      <c r="AL66" s="23" t="n"/>
    </row>
    <row r="67" ht="23.5" customHeight="1">
      <c r="A67" s="6" t="inlineStr">
        <is>
          <t>60</t>
        </is>
      </c>
      <c r="B67" s="24" t="n"/>
      <c r="C67" s="55" t="n"/>
      <c r="D67" s="19" t="n"/>
      <c r="E67" s="24" t="n"/>
      <c r="F67" s="25" t="n"/>
      <c r="G67" s="25" t="n"/>
      <c r="H67" s="24" t="n"/>
      <c r="I67" s="11" t="n"/>
      <c r="J67" s="57" t="n"/>
      <c r="K67" s="12" t="n"/>
      <c r="L67" s="22" t="n"/>
      <c r="M67" s="13" t="n"/>
      <c r="N67" s="14">
        <f>ROUND(I67*(SUM(J67:M67))*68%,0)</f>
        <v/>
      </c>
      <c r="O67" s="61" t="n"/>
      <c r="P67" s="59" t="n"/>
      <c r="Q67" s="59" t="n"/>
      <c r="R67" s="58" t="n"/>
      <c r="S67" s="15">
        <f>I67*J67</f>
        <v/>
      </c>
      <c r="T67" s="15">
        <f>SUM(S67:S67)*68%</f>
        <v/>
      </c>
      <c r="U67" s="15">
        <f>I67*K67*40%*O67</f>
        <v/>
      </c>
      <c r="V67" s="15">
        <f>IF(P67&gt;=6750,(I67*K67*40%),0)</f>
        <v/>
      </c>
      <c r="W67" s="15">
        <f>IF(P67&lt;6750,0,IF(Q67="",0,IF(OR(Q67="KURANG",Q67="SANGAT KURANG"),I67*K67*10%,I67*K67*20%)))</f>
        <v/>
      </c>
      <c r="X67" s="15">
        <f>SUM(U67:W67)*68%</f>
        <v/>
      </c>
      <c r="Y67" s="15">
        <f>I67*L67</f>
        <v/>
      </c>
      <c r="Z67" s="15">
        <f>Y67 * 68%</f>
        <v/>
      </c>
      <c r="AA67" s="15">
        <f>I67*M67</f>
        <v/>
      </c>
      <c r="AB67" s="15">
        <f>AA67*68%</f>
        <v/>
      </c>
      <c r="AC67" s="16">
        <f>ROUND((T67+X67+Z67+AB67),0)</f>
        <v/>
      </c>
      <c r="AD67" s="16">
        <f>AG67</f>
        <v/>
      </c>
      <c r="AE67" s="16">
        <f>AI67</f>
        <v/>
      </c>
      <c r="AF67" s="16">
        <f>AC67+AD67+AE67</f>
        <v/>
      </c>
      <c r="AG67" s="16" t="n"/>
      <c r="AH67" s="17" t="n"/>
      <c r="AI67" s="17">
        <f>AH67*4</f>
        <v/>
      </c>
      <c r="AJ67" s="15">
        <f>AF67-AG67-AH67-AI67</f>
        <v/>
      </c>
      <c r="AK67" s="18" t="n">
        <v>60</v>
      </c>
      <c r="AL67" s="23" t="n"/>
    </row>
    <row r="68" ht="23.5" customHeight="1">
      <c r="A68" s="6" t="inlineStr">
        <is>
          <t>61</t>
        </is>
      </c>
      <c r="B68" s="24" t="n"/>
      <c r="C68" s="55" t="n"/>
      <c r="D68" s="19" t="n"/>
      <c r="E68" s="24" t="n"/>
      <c r="F68" s="25" t="n"/>
      <c r="G68" s="25" t="n"/>
      <c r="H68" s="24" t="n"/>
      <c r="I68" s="11" t="n"/>
      <c r="J68" s="57" t="n"/>
      <c r="K68" s="12" t="n"/>
      <c r="L68" s="22" t="n"/>
      <c r="M68" s="13" t="n"/>
      <c r="N68" s="14">
        <f>ROUND(I68*(SUM(J68:M68))*68%,0)</f>
        <v/>
      </c>
      <c r="O68" s="61" t="n"/>
      <c r="P68" s="59" t="n"/>
      <c r="Q68" s="59" t="n"/>
      <c r="R68" s="58" t="n"/>
      <c r="S68" s="15">
        <f>I68*J68</f>
        <v/>
      </c>
      <c r="T68" s="15">
        <f>SUM(S68:S68)*68%</f>
        <v/>
      </c>
      <c r="U68" s="15">
        <f>I68*K68*40%*O68</f>
        <v/>
      </c>
      <c r="V68" s="15">
        <f>IF(P68&gt;=6750,(I68*K68*40%),0)</f>
        <v/>
      </c>
      <c r="W68" s="15">
        <f>IF(P68&lt;6750,0,IF(Q68="",0,IF(OR(Q68="KURANG",Q68="SANGAT KURANG"),I68*K68*10%,I68*K68*20%)))</f>
        <v/>
      </c>
      <c r="X68" s="15">
        <f>SUM(U68:W68)*68%</f>
        <v/>
      </c>
      <c r="Y68" s="15">
        <f>I68*L68</f>
        <v/>
      </c>
      <c r="Z68" s="15">
        <f>Y68 * 68%</f>
        <v/>
      </c>
      <c r="AA68" s="15">
        <f>I68*M68</f>
        <v/>
      </c>
      <c r="AB68" s="15">
        <f>AA68*68%</f>
        <v/>
      </c>
      <c r="AC68" s="16">
        <f>ROUND((T68+X68+Z68+AB68),0)</f>
        <v/>
      </c>
      <c r="AD68" s="16">
        <f>AG68</f>
        <v/>
      </c>
      <c r="AE68" s="16">
        <f>AI68</f>
        <v/>
      </c>
      <c r="AF68" s="16">
        <f>AC68+AD68+AE68</f>
        <v/>
      </c>
      <c r="AG68" s="16" t="n"/>
      <c r="AH68" s="17" t="n"/>
      <c r="AI68" s="17">
        <f>AH68*4</f>
        <v/>
      </c>
      <c r="AJ68" s="15">
        <f>AF68-AG68-AH68-AI68</f>
        <v/>
      </c>
      <c r="AK68" s="18" t="n">
        <v>61</v>
      </c>
      <c r="AL68" s="40" t="n"/>
    </row>
    <row r="69" ht="23.5" customHeight="1">
      <c r="A69" s="6" t="inlineStr">
        <is>
          <t>62</t>
        </is>
      </c>
      <c r="B69" s="28" t="n"/>
      <c r="C69" s="55" t="n"/>
      <c r="D69" s="19" t="n"/>
      <c r="E69" s="24" t="n"/>
      <c r="F69" s="25" t="n"/>
      <c r="G69" s="25" t="n"/>
      <c r="H69" s="25" t="n"/>
      <c r="I69" s="11" t="n"/>
      <c r="J69" s="57" t="n"/>
      <c r="K69" s="12" t="n"/>
      <c r="L69" s="22" t="n"/>
      <c r="M69" s="13" t="n"/>
      <c r="N69" s="14">
        <f>ROUND(I69*(SUM(J69:M69))*68%,0)</f>
        <v/>
      </c>
      <c r="O69" s="61" t="n"/>
      <c r="P69" s="59" t="n"/>
      <c r="Q69" s="59" t="n"/>
      <c r="R69" s="58" t="n"/>
      <c r="S69" s="15">
        <f>I69*J69</f>
        <v/>
      </c>
      <c r="T69" s="15">
        <f>SUM(S69:S69)*68%</f>
        <v/>
      </c>
      <c r="U69" s="15">
        <f>I69*K69*40%*O69</f>
        <v/>
      </c>
      <c r="V69" s="15">
        <f>IF(P69&gt;=6750,(I69*K69*40%),0)</f>
        <v/>
      </c>
      <c r="W69" s="15">
        <f>IF(P69&lt;6750,0,IF(Q69="",0,IF(OR(Q69="KURANG",Q69="SANGAT KURANG"),I69*K69*10%,I69*K69*20%)))</f>
        <v/>
      </c>
      <c r="X69" s="15">
        <f>SUM(U69:W69)*68%</f>
        <v/>
      </c>
      <c r="Y69" s="15">
        <f>I69*L69</f>
        <v/>
      </c>
      <c r="Z69" s="15">
        <f>Y69 * 68%</f>
        <v/>
      </c>
      <c r="AA69" s="15">
        <f>I69*M69</f>
        <v/>
      </c>
      <c r="AB69" s="15">
        <f>AA69*68%</f>
        <v/>
      </c>
      <c r="AC69" s="16">
        <f>ROUND((T69+X69+Z69+AB69),0)</f>
        <v/>
      </c>
      <c r="AD69" s="16">
        <f>AG69</f>
        <v/>
      </c>
      <c r="AE69" s="16">
        <f>AI69</f>
        <v/>
      </c>
      <c r="AF69" s="16">
        <f>AC69+AD69+AE69</f>
        <v/>
      </c>
      <c r="AG69" s="16" t="n"/>
      <c r="AH69" s="17" t="n"/>
      <c r="AI69" s="17">
        <f>AH69*4</f>
        <v/>
      </c>
      <c r="AJ69" s="15">
        <f>AF69-AG69-AH69-AI69</f>
        <v/>
      </c>
      <c r="AK69" s="18" t="n">
        <v>62</v>
      </c>
      <c r="AL69" s="23" t="n"/>
    </row>
    <row r="70" ht="23.5" customHeight="1">
      <c r="A70" s="6" t="inlineStr">
        <is>
          <t>63</t>
        </is>
      </c>
      <c r="B70" s="28" t="n"/>
      <c r="C70" s="55" t="n"/>
      <c r="D70" s="19" t="n"/>
      <c r="E70" s="24" t="n"/>
      <c r="F70" s="25" t="n"/>
      <c r="G70" s="25" t="n"/>
      <c r="H70" s="25" t="n"/>
      <c r="I70" s="11" t="n"/>
      <c r="J70" s="57" t="n"/>
      <c r="K70" s="12" t="n"/>
      <c r="L70" s="22" t="n"/>
      <c r="M70" s="13" t="n"/>
      <c r="N70" s="14">
        <f>ROUND(I70*(SUM(J70:M70))*68%,0)</f>
        <v/>
      </c>
      <c r="O70" s="61" t="n"/>
      <c r="P70" s="59" t="n"/>
      <c r="Q70" s="59" t="n"/>
      <c r="R70" s="58" t="n"/>
      <c r="S70" s="15">
        <f>I70*J70</f>
        <v/>
      </c>
      <c r="T70" s="15">
        <f>SUM(S70:S70)*68%</f>
        <v/>
      </c>
      <c r="U70" s="15">
        <f>I70*K70*40%*O70</f>
        <v/>
      </c>
      <c r="V70" s="15">
        <f>IF(P70&gt;=6750,(I70*K70*40%),0)</f>
        <v/>
      </c>
      <c r="W70" s="15">
        <f>IF(P70&lt;6750,0,IF(Q70="",0,IF(OR(Q70="KURANG",Q70="SANGAT KURANG"),I70*K70*10%,I70*K70*20%)))</f>
        <v/>
      </c>
      <c r="X70" s="15">
        <f>SUM(U70:W70)*68%</f>
        <v/>
      </c>
      <c r="Y70" s="15">
        <f>I70*L70</f>
        <v/>
      </c>
      <c r="Z70" s="15">
        <f>Y70 * 68%</f>
        <v/>
      </c>
      <c r="AA70" s="15">
        <f>I70*M70</f>
        <v/>
      </c>
      <c r="AB70" s="15">
        <f>AA70*68%</f>
        <v/>
      </c>
      <c r="AC70" s="16">
        <f>ROUND((T70+X70+Z70+AB70),0)</f>
        <v/>
      </c>
      <c r="AD70" s="16">
        <f>AG70</f>
        <v/>
      </c>
      <c r="AE70" s="16">
        <f>AI70</f>
        <v/>
      </c>
      <c r="AF70" s="16">
        <f>AC70+AD70+AE70</f>
        <v/>
      </c>
      <c r="AG70" s="16" t="n"/>
      <c r="AH70" s="17" t="n"/>
      <c r="AI70" s="17">
        <f>AH70*4</f>
        <v/>
      </c>
      <c r="AJ70" s="15">
        <f>AF70-AG70-AH70-AI70</f>
        <v/>
      </c>
      <c r="AK70" s="18" t="n">
        <v>63</v>
      </c>
      <c r="AL70" s="40" t="n"/>
    </row>
    <row r="71" ht="23.5" customHeight="1">
      <c r="A71" s="6" t="inlineStr">
        <is>
          <t>64</t>
        </is>
      </c>
      <c r="B71" s="28" t="n"/>
      <c r="C71" s="55" t="n"/>
      <c r="D71" s="19" t="n"/>
      <c r="E71" s="24" t="n"/>
      <c r="F71" s="25" t="n"/>
      <c r="G71" s="25" t="n"/>
      <c r="H71" s="25" t="n"/>
      <c r="I71" s="11" t="n"/>
      <c r="J71" s="57" t="n"/>
      <c r="K71" s="12" t="n"/>
      <c r="L71" s="22" t="n"/>
      <c r="M71" s="13" t="n"/>
      <c r="N71" s="14">
        <f>ROUND(I71*(SUM(J71:M71))*68%,0)</f>
        <v/>
      </c>
      <c r="O71" s="61" t="n"/>
      <c r="P71" s="59" t="n"/>
      <c r="Q71" s="59" t="n"/>
      <c r="R71" s="58" t="n"/>
      <c r="S71" s="15">
        <f>I71*J71</f>
        <v/>
      </c>
      <c r="T71" s="15">
        <f>SUM(S71:S71)*68%</f>
        <v/>
      </c>
      <c r="U71" s="15">
        <f>I71*K71*40%*O71</f>
        <v/>
      </c>
      <c r="V71" s="15">
        <f>IF(P71&gt;=6750,(I71*K71*40%),0)</f>
        <v/>
      </c>
      <c r="W71" s="15">
        <f>IF(P71&lt;6750,0,IF(Q71="",0,IF(OR(Q71="KURANG",Q71="SANGAT KURANG"),I71*K71*10%,I71*K71*20%)))</f>
        <v/>
      </c>
      <c r="X71" s="15">
        <f>SUM(U71:W71)*68%</f>
        <v/>
      </c>
      <c r="Y71" s="15">
        <f>I71*L71</f>
        <v/>
      </c>
      <c r="Z71" s="15">
        <f>Y71 * 68%</f>
        <v/>
      </c>
      <c r="AA71" s="15">
        <f>I71*M71</f>
        <v/>
      </c>
      <c r="AB71" s="15">
        <f>AA71*68%</f>
        <v/>
      </c>
      <c r="AC71" s="16">
        <f>ROUND((T71+X71+Z71+AB71),0)</f>
        <v/>
      </c>
      <c r="AD71" s="16">
        <f>AG71</f>
        <v/>
      </c>
      <c r="AE71" s="16">
        <f>AI71</f>
        <v/>
      </c>
      <c r="AF71" s="16">
        <f>AC71+AD71+AE71</f>
        <v/>
      </c>
      <c r="AG71" s="16" t="n"/>
      <c r="AH71" s="17" t="n"/>
      <c r="AI71" s="17">
        <f>AH71*4</f>
        <v/>
      </c>
      <c r="AJ71" s="15">
        <f>AF71-AG71-AH71-AI71</f>
        <v/>
      </c>
      <c r="AK71" s="18" t="n">
        <v>64</v>
      </c>
      <c r="AL71" s="23" t="n"/>
    </row>
    <row r="72" ht="23.5" customHeight="1">
      <c r="A72" s="6" t="inlineStr">
        <is>
          <t>65</t>
        </is>
      </c>
      <c r="B72" s="24" t="n"/>
      <c r="C72" s="55" t="n"/>
      <c r="D72" s="19" t="n"/>
      <c r="E72" s="24" t="n"/>
      <c r="F72" s="25" t="n"/>
      <c r="G72" s="25" t="n"/>
      <c r="H72" s="25" t="n"/>
      <c r="I72" s="11" t="n"/>
      <c r="J72" s="57" t="n"/>
      <c r="K72" s="12" t="n"/>
      <c r="L72" s="22" t="n"/>
      <c r="M72" s="13" t="n"/>
      <c r="N72" s="14">
        <f>ROUND(I72*(SUM(J72:M72))*68%,0)</f>
        <v/>
      </c>
      <c r="O72" s="61" t="n"/>
      <c r="P72" s="59" t="n"/>
      <c r="Q72" s="59" t="n"/>
      <c r="R72" s="58" t="n"/>
      <c r="S72" s="15">
        <f>I72*J72</f>
        <v/>
      </c>
      <c r="T72" s="15">
        <f>SUM(S72:S72)*68%</f>
        <v/>
      </c>
      <c r="U72" s="15">
        <f>I72*K72*40%*O72</f>
        <v/>
      </c>
      <c r="V72" s="15">
        <f>IF(P72&gt;=6750,(I72*K72*40%),0)</f>
        <v/>
      </c>
      <c r="W72" s="15">
        <f>IF(P72&lt;6750,0,IF(Q72="",0,IF(OR(Q72="KURANG",Q72="SANGAT KURANG"),I72*K72*10%,I72*K72*20%)))</f>
        <v/>
      </c>
      <c r="X72" s="15">
        <f>SUM(U72:W72)*68%</f>
        <v/>
      </c>
      <c r="Y72" s="15">
        <f>I72*L72</f>
        <v/>
      </c>
      <c r="Z72" s="15">
        <f>Y72 * 68%</f>
        <v/>
      </c>
      <c r="AA72" s="15">
        <f>I72*M72</f>
        <v/>
      </c>
      <c r="AB72" s="15">
        <f>AA72*68%</f>
        <v/>
      </c>
      <c r="AC72" s="16">
        <f>ROUND((T72+X72+Z72+AB72),0)</f>
        <v/>
      </c>
      <c r="AD72" s="16">
        <f>AG72</f>
        <v/>
      </c>
      <c r="AE72" s="16">
        <f>AI72</f>
        <v/>
      </c>
      <c r="AF72" s="16">
        <f>AC72+AD72+AE72</f>
        <v/>
      </c>
      <c r="AG72" s="16" t="n"/>
      <c r="AH72" s="17" t="n"/>
      <c r="AI72" s="17">
        <f>AH72*4</f>
        <v/>
      </c>
      <c r="AJ72" s="15">
        <f>AF72-AG72-AH72-AI72</f>
        <v/>
      </c>
      <c r="AK72" s="18" t="n">
        <v>65</v>
      </c>
      <c r="AL72" s="23" t="n"/>
    </row>
    <row r="73" ht="23.5" customHeight="1">
      <c r="A73" s="6" t="inlineStr">
        <is>
          <t>66</t>
        </is>
      </c>
      <c r="B73" s="24" t="n"/>
      <c r="C73" s="55" t="n"/>
      <c r="D73" s="19" t="n"/>
      <c r="E73" s="24" t="n"/>
      <c r="F73" s="25" t="n"/>
      <c r="G73" s="25" t="n"/>
      <c r="H73" s="25" t="n"/>
      <c r="I73" s="11" t="n"/>
      <c r="J73" s="57" t="n"/>
      <c r="K73" s="12" t="n"/>
      <c r="L73" s="22" t="n"/>
      <c r="M73" s="13" t="n"/>
      <c r="N73" s="14">
        <f>ROUND(I73*(SUM(J73:M73))*68%,0)</f>
        <v/>
      </c>
      <c r="O73" s="61" t="n"/>
      <c r="P73" s="59" t="n"/>
      <c r="Q73" s="59" t="n"/>
      <c r="R73" s="58" t="n"/>
      <c r="S73" s="15">
        <f>I73*J73</f>
        <v/>
      </c>
      <c r="T73" s="15">
        <f>SUM(S73:S73)*68%</f>
        <v/>
      </c>
      <c r="U73" s="15">
        <f>I73*K73*40%*O73</f>
        <v/>
      </c>
      <c r="V73" s="15">
        <f>IF(P73&gt;=6750,(I73*K73*40%),0)</f>
        <v/>
      </c>
      <c r="W73" s="15">
        <f>IF(P73&lt;6750,0,IF(Q73="",0,IF(OR(Q73="KURANG",Q73="SANGAT KURANG"),I73*K73*10%,I73*K73*20%)))</f>
        <v/>
      </c>
      <c r="X73" s="15">
        <f>SUM(U73:W73)*68%</f>
        <v/>
      </c>
      <c r="Y73" s="15">
        <f>I73*L73</f>
        <v/>
      </c>
      <c r="Z73" s="15">
        <f>Y73 * 68%</f>
        <v/>
      </c>
      <c r="AA73" s="15">
        <f>I73*M73</f>
        <v/>
      </c>
      <c r="AB73" s="15">
        <f>AA73*68%</f>
        <v/>
      </c>
      <c r="AC73" s="16">
        <f>ROUND((T73+X73+Z73+AB73),0)</f>
        <v/>
      </c>
      <c r="AD73" s="16">
        <f>AG73</f>
        <v/>
      </c>
      <c r="AE73" s="16">
        <f>AI73</f>
        <v/>
      </c>
      <c r="AF73" s="16">
        <f>AC73+AD73+AE73</f>
        <v/>
      </c>
      <c r="AG73" s="16" t="n"/>
      <c r="AH73" s="17" t="n"/>
      <c r="AI73" s="17">
        <f>AH73*4</f>
        <v/>
      </c>
      <c r="AJ73" s="15">
        <f>AF73-AG73-AH73-AI73</f>
        <v/>
      </c>
      <c r="AK73" s="18" t="n">
        <v>66</v>
      </c>
      <c r="AL73" s="23" t="n"/>
    </row>
    <row r="74" ht="23.5" customHeight="1">
      <c r="A74" s="6" t="inlineStr">
        <is>
          <t>67</t>
        </is>
      </c>
      <c r="B74" s="28" t="n"/>
      <c r="C74" s="55" t="n"/>
      <c r="D74" s="19" t="n"/>
      <c r="E74" s="24" t="n"/>
      <c r="F74" s="25" t="n"/>
      <c r="G74" s="25" t="n"/>
      <c r="H74" s="25" t="n"/>
      <c r="I74" s="11" t="n"/>
      <c r="J74" s="57" t="n"/>
      <c r="K74" s="12" t="n"/>
      <c r="L74" s="22" t="n"/>
      <c r="M74" s="13" t="n"/>
      <c r="N74" s="14">
        <f>ROUND(I74*(SUM(J74:M74))*68%,0)</f>
        <v/>
      </c>
      <c r="O74" s="61" t="n"/>
      <c r="P74" s="59" t="n"/>
      <c r="Q74" s="59" t="n"/>
      <c r="R74" s="58" t="n"/>
      <c r="S74" s="15">
        <f>I74*J74</f>
        <v/>
      </c>
      <c r="T74" s="15">
        <f>SUM(S74:S74)*68%</f>
        <v/>
      </c>
      <c r="U74" s="15">
        <f>I74*K74*40%*O74</f>
        <v/>
      </c>
      <c r="V74" s="15">
        <f>IF(P74&gt;=6750,(I74*K74*40%),0)</f>
        <v/>
      </c>
      <c r="W74" s="15">
        <f>IF(P74&lt;6750,0,IF(Q74="",0,IF(OR(Q74="KURANG",Q74="SANGAT KURANG"),I74*K74*10%,I74*K74*20%)))</f>
        <v/>
      </c>
      <c r="X74" s="15">
        <f>SUM(U74:W74)*68%</f>
        <v/>
      </c>
      <c r="Y74" s="15">
        <f>I74*L74</f>
        <v/>
      </c>
      <c r="Z74" s="15">
        <f>Y74 * 68%</f>
        <v/>
      </c>
      <c r="AA74" s="15">
        <f>I74*M74</f>
        <v/>
      </c>
      <c r="AB74" s="15">
        <f>AA74*68%</f>
        <v/>
      </c>
      <c r="AC74" s="16">
        <f>ROUND((T74+X74+Z74+AB74),0)</f>
        <v/>
      </c>
      <c r="AD74" s="16">
        <f>AG74</f>
        <v/>
      </c>
      <c r="AE74" s="16">
        <f>AI74</f>
        <v/>
      </c>
      <c r="AF74" s="16">
        <f>AC74+AD74+AE74</f>
        <v/>
      </c>
      <c r="AG74" s="16" t="n"/>
      <c r="AH74" s="17" t="n"/>
      <c r="AI74" s="17">
        <f>AH74*4</f>
        <v/>
      </c>
      <c r="AJ74" s="15">
        <f>AF74-AG74-AH74-AI74</f>
        <v/>
      </c>
      <c r="AK74" s="18" t="n">
        <v>67</v>
      </c>
      <c r="AL74" s="23" t="n"/>
    </row>
    <row r="75" ht="23.5" customHeight="1">
      <c r="A75" s="6" t="inlineStr">
        <is>
          <t>68</t>
        </is>
      </c>
      <c r="B75" s="28" t="n"/>
      <c r="C75" s="55" t="n"/>
      <c r="D75" s="19" t="n"/>
      <c r="E75" s="24" t="n"/>
      <c r="F75" s="25" t="n"/>
      <c r="G75" s="25" t="n"/>
      <c r="H75" s="25" t="n"/>
      <c r="I75" s="11" t="n"/>
      <c r="J75" s="57" t="n"/>
      <c r="K75" s="12" t="n"/>
      <c r="L75" s="22" t="n"/>
      <c r="M75" s="13" t="n"/>
      <c r="N75" s="14">
        <f>ROUND(I75*(SUM(J75:M75))*68%,0)</f>
        <v/>
      </c>
      <c r="O75" s="61" t="n"/>
      <c r="P75" s="59" t="n"/>
      <c r="Q75" s="59" t="n"/>
      <c r="R75" s="58" t="n"/>
      <c r="S75" s="15">
        <f>I75*J75</f>
        <v/>
      </c>
      <c r="T75" s="15">
        <f>SUM(S75:S75)*68%</f>
        <v/>
      </c>
      <c r="U75" s="15">
        <f>I75*K75*40%*O75</f>
        <v/>
      </c>
      <c r="V75" s="15">
        <f>IF(P75&gt;=6750,(I75*K75*40%),0)</f>
        <v/>
      </c>
      <c r="W75" s="15">
        <f>IF(P75&lt;6750,0,IF(Q75="",0,IF(OR(Q75="KURANG",Q75="SANGAT KURANG"),I75*K75*10%,I75*K75*20%)))</f>
        <v/>
      </c>
      <c r="X75" s="15">
        <f>SUM(U75:W75)*68%</f>
        <v/>
      </c>
      <c r="Y75" s="15">
        <f>I75*L75</f>
        <v/>
      </c>
      <c r="Z75" s="15">
        <f>Y75 * 68%</f>
        <v/>
      </c>
      <c r="AA75" s="15">
        <f>I75*M75</f>
        <v/>
      </c>
      <c r="AB75" s="15">
        <f>AA75*68%</f>
        <v/>
      </c>
      <c r="AC75" s="16">
        <f>ROUND((T75+X75+Z75+AB75),0)</f>
        <v/>
      </c>
      <c r="AD75" s="16">
        <f>AG75</f>
        <v/>
      </c>
      <c r="AE75" s="16">
        <f>AI75</f>
        <v/>
      </c>
      <c r="AF75" s="16">
        <f>AC75+AD75+AE75</f>
        <v/>
      </c>
      <c r="AG75" s="16" t="n"/>
      <c r="AH75" s="17" t="n"/>
      <c r="AI75" s="17">
        <f>AH75*4</f>
        <v/>
      </c>
      <c r="AJ75" s="15">
        <f>AF75-AG75-AH75-AI75</f>
        <v/>
      </c>
      <c r="AK75" s="18" t="n">
        <v>68</v>
      </c>
      <c r="AL75" s="23" t="n"/>
    </row>
    <row r="76" ht="23.5" customHeight="1">
      <c r="A76" s="6" t="inlineStr">
        <is>
          <t>69</t>
        </is>
      </c>
      <c r="B76" s="24" t="n"/>
      <c r="C76" s="55" t="n"/>
      <c r="D76" s="19" t="n"/>
      <c r="E76" s="24" t="n"/>
      <c r="F76" s="25" t="n"/>
      <c r="G76" s="25" t="n"/>
      <c r="H76" s="25" t="n"/>
      <c r="I76" s="11" t="n"/>
      <c r="J76" s="57" t="n"/>
      <c r="K76" s="12" t="n"/>
      <c r="L76" s="22" t="n"/>
      <c r="M76" s="13" t="n"/>
      <c r="N76" s="14">
        <f>ROUND(I76*(SUM(J76:M76))*68%,0)</f>
        <v/>
      </c>
      <c r="O76" s="61" t="n"/>
      <c r="P76" s="59" t="n"/>
      <c r="Q76" s="59" t="n"/>
      <c r="R76" s="58" t="n"/>
      <c r="S76" s="15">
        <f>I76*J76</f>
        <v/>
      </c>
      <c r="T76" s="15">
        <f>SUM(S76:S76)*68%</f>
        <v/>
      </c>
      <c r="U76" s="15">
        <f>I76*K76*40%*O76</f>
        <v/>
      </c>
      <c r="V76" s="15">
        <f>IF(P76&gt;=6750,(I76*K76*40%),0)</f>
        <v/>
      </c>
      <c r="W76" s="15">
        <f>IF(P76&lt;6750,0,IF(Q76="",0,IF(OR(Q76="KURANG",Q76="SANGAT KURANG"),I76*K76*10%,I76*K76*20%)))</f>
        <v/>
      </c>
      <c r="X76" s="15">
        <f>SUM(U76:W76)*68%</f>
        <v/>
      </c>
      <c r="Y76" s="15">
        <f>I76*L76</f>
        <v/>
      </c>
      <c r="Z76" s="15">
        <f>Y76 * 68%</f>
        <v/>
      </c>
      <c r="AA76" s="15">
        <f>I76*M76</f>
        <v/>
      </c>
      <c r="AB76" s="15">
        <f>AA76*68%</f>
        <v/>
      </c>
      <c r="AC76" s="16">
        <f>ROUND((T76+X76+Z76+AB76),0)</f>
        <v/>
      </c>
      <c r="AD76" s="16">
        <f>AG76</f>
        <v/>
      </c>
      <c r="AE76" s="16">
        <f>AI76</f>
        <v/>
      </c>
      <c r="AF76" s="16">
        <f>AC76+AD76+AE76</f>
        <v/>
      </c>
      <c r="AG76" s="16" t="n"/>
      <c r="AH76" s="17" t="n"/>
      <c r="AI76" s="17">
        <f>AH76*4</f>
        <v/>
      </c>
      <c r="AJ76" s="15">
        <f>AF76-AG76-AH76-AI76</f>
        <v/>
      </c>
      <c r="AK76" s="18" t="n">
        <v>69</v>
      </c>
      <c r="AL76" s="23" t="n"/>
    </row>
    <row r="77" ht="23.5" customHeight="1">
      <c r="A77" s="6" t="inlineStr">
        <is>
          <t>70</t>
        </is>
      </c>
      <c r="B77" s="24" t="n"/>
      <c r="C77" s="55" t="n"/>
      <c r="D77" s="19" t="n"/>
      <c r="E77" s="24" t="n"/>
      <c r="F77" s="25" t="n"/>
      <c r="G77" s="25" t="n"/>
      <c r="H77" s="25" t="n"/>
      <c r="I77" s="11" t="n"/>
      <c r="J77" s="57" t="n"/>
      <c r="K77" s="12" t="n"/>
      <c r="L77" s="22" t="n"/>
      <c r="M77" s="13" t="n"/>
      <c r="N77" s="14">
        <f>ROUND(I77*(SUM(J77:M77))*68%,0)</f>
        <v/>
      </c>
      <c r="O77" s="61" t="n"/>
      <c r="P77" s="59" t="n"/>
      <c r="Q77" s="59" t="n"/>
      <c r="R77" s="58" t="n"/>
      <c r="S77" s="15">
        <f>I77*J77</f>
        <v/>
      </c>
      <c r="T77" s="15">
        <f>SUM(S77:S77)*68%</f>
        <v/>
      </c>
      <c r="U77" s="15">
        <f>I77*K77*40%*O77</f>
        <v/>
      </c>
      <c r="V77" s="15">
        <f>IF(P77&gt;=6750,(I77*K77*40%),0)</f>
        <v/>
      </c>
      <c r="W77" s="15">
        <f>IF(P77&lt;6750,0,IF(Q77="",0,IF(OR(Q77="KURANG",Q77="SANGAT KURANG"),I77*K77*10%,I77*K77*20%)))</f>
        <v/>
      </c>
      <c r="X77" s="15">
        <f>SUM(U77:W77)*68%</f>
        <v/>
      </c>
      <c r="Y77" s="15">
        <f>I77*L77</f>
        <v/>
      </c>
      <c r="Z77" s="15">
        <f>Y77 * 68%</f>
        <v/>
      </c>
      <c r="AA77" s="15">
        <f>I77*M77</f>
        <v/>
      </c>
      <c r="AB77" s="15">
        <f>AA77*68%</f>
        <v/>
      </c>
      <c r="AC77" s="16">
        <f>ROUND((T77+X77+Z77+AB77),0)</f>
        <v/>
      </c>
      <c r="AD77" s="16">
        <f>AG77</f>
        <v/>
      </c>
      <c r="AE77" s="16">
        <f>AI77</f>
        <v/>
      </c>
      <c r="AF77" s="16">
        <f>AC77+AD77+AE77</f>
        <v/>
      </c>
      <c r="AG77" s="16" t="n"/>
      <c r="AH77" s="17" t="n"/>
      <c r="AI77" s="17">
        <f>AH77*4</f>
        <v/>
      </c>
      <c r="AJ77" s="15">
        <f>AF77-AG77-AH77-AI77</f>
        <v/>
      </c>
      <c r="AK77" s="18" t="n">
        <v>70</v>
      </c>
      <c r="AL77" s="40" t="n"/>
    </row>
    <row r="78" ht="23.5" customHeight="1">
      <c r="A78" s="6" t="inlineStr">
        <is>
          <t>71</t>
        </is>
      </c>
      <c r="B78" s="24" t="n"/>
      <c r="C78" s="55" t="n"/>
      <c r="D78" s="19" t="n"/>
      <c r="E78" s="24" t="n"/>
      <c r="F78" s="25" t="n"/>
      <c r="G78" s="25" t="n"/>
      <c r="H78" s="25" t="n"/>
      <c r="I78" s="11" t="n"/>
      <c r="J78" s="57" t="n"/>
      <c r="K78" s="12" t="n"/>
      <c r="L78" s="22" t="n"/>
      <c r="M78" s="13" t="n"/>
      <c r="N78" s="14">
        <f>ROUND(I78*(SUM(J78:M78))*68%,0)</f>
        <v/>
      </c>
      <c r="O78" s="61" t="n"/>
      <c r="P78" s="59" t="n"/>
      <c r="Q78" s="59" t="n"/>
      <c r="R78" s="58" t="n"/>
      <c r="S78" s="15">
        <f>I78*J78</f>
        <v/>
      </c>
      <c r="T78" s="15">
        <f>SUM(S78:S78)*68%</f>
        <v/>
      </c>
      <c r="U78" s="15">
        <f>I78*K78*40%*O78</f>
        <v/>
      </c>
      <c r="V78" s="15">
        <f>IF(P78&gt;=6750,(I78*K78*40%),0)</f>
        <v/>
      </c>
      <c r="W78" s="15">
        <f>IF(P78&lt;6750,0,IF(Q78="",0,IF(OR(Q78="KURANG",Q78="SANGAT KURANG"),I78*K78*10%,I78*K78*20%)))</f>
        <v/>
      </c>
      <c r="X78" s="15">
        <f>SUM(U78:W78)*68%</f>
        <v/>
      </c>
      <c r="Y78" s="15">
        <f>I78*L78</f>
        <v/>
      </c>
      <c r="Z78" s="15">
        <f>Y78 * 68%</f>
        <v/>
      </c>
      <c r="AA78" s="15">
        <f>I78*M78</f>
        <v/>
      </c>
      <c r="AB78" s="15">
        <f>AA78*68%</f>
        <v/>
      </c>
      <c r="AC78" s="16">
        <f>ROUND((T78+X78+Z78+AB78),0)</f>
        <v/>
      </c>
      <c r="AD78" s="16">
        <f>AG78</f>
        <v/>
      </c>
      <c r="AE78" s="16">
        <f>AI78</f>
        <v/>
      </c>
      <c r="AF78" s="16">
        <f>AC78+AD78+AE78</f>
        <v/>
      </c>
      <c r="AG78" s="16" t="n"/>
      <c r="AH78" s="17" t="n"/>
      <c r="AI78" s="17">
        <f>AH78*4</f>
        <v/>
      </c>
      <c r="AJ78" s="15">
        <f>AF78-AG78-AH78-AI78</f>
        <v/>
      </c>
      <c r="AK78" s="18" t="n">
        <v>71</v>
      </c>
      <c r="AL78" s="23" t="n"/>
    </row>
    <row r="79" ht="23.5" customHeight="1">
      <c r="A79" s="6" t="inlineStr">
        <is>
          <t>72</t>
        </is>
      </c>
      <c r="B79" s="24" t="n"/>
      <c r="C79" s="55" t="n"/>
      <c r="D79" s="19" t="n"/>
      <c r="E79" s="24" t="n"/>
      <c r="F79" s="25" t="n"/>
      <c r="G79" s="25" t="n"/>
      <c r="H79" s="25" t="n"/>
      <c r="I79" s="11" t="n"/>
      <c r="J79" s="57" t="n"/>
      <c r="K79" s="12" t="n"/>
      <c r="L79" s="22" t="n"/>
      <c r="M79" s="13" t="n"/>
      <c r="N79" s="14">
        <f>ROUND(I79*(SUM(J79:M79))*68%,0)</f>
        <v/>
      </c>
      <c r="O79" s="61" t="n"/>
      <c r="P79" s="59" t="n"/>
      <c r="Q79" s="59" t="n"/>
      <c r="R79" s="58" t="n"/>
      <c r="S79" s="15">
        <f>I79*J79</f>
        <v/>
      </c>
      <c r="T79" s="15">
        <f>SUM(S79:S79)*68%</f>
        <v/>
      </c>
      <c r="U79" s="15">
        <f>I79*K79*40%*O79</f>
        <v/>
      </c>
      <c r="V79" s="15">
        <f>IF(P79&gt;=6750,(I79*K79*40%),0)</f>
        <v/>
      </c>
      <c r="W79" s="15">
        <f>IF(P79&lt;6750,0,IF(Q79="",0,IF(OR(Q79="KURANG",Q79="SANGAT KURANG"),I79*K79*10%,I79*K79*20%)))</f>
        <v/>
      </c>
      <c r="X79" s="15">
        <f>SUM(U79:W79)*68%</f>
        <v/>
      </c>
      <c r="Y79" s="15">
        <f>I79*L79</f>
        <v/>
      </c>
      <c r="Z79" s="15">
        <f>Y79 * 68%</f>
        <v/>
      </c>
      <c r="AA79" s="15">
        <f>I79*M79</f>
        <v/>
      </c>
      <c r="AB79" s="15">
        <f>AA79*68%</f>
        <v/>
      </c>
      <c r="AC79" s="16">
        <f>ROUND((T79+X79+Z79+AB79),0)</f>
        <v/>
      </c>
      <c r="AD79" s="16">
        <f>AG79</f>
        <v/>
      </c>
      <c r="AE79" s="16">
        <f>AI79</f>
        <v/>
      </c>
      <c r="AF79" s="16">
        <f>AC79+AD79+AE79</f>
        <v/>
      </c>
      <c r="AG79" s="16" t="n"/>
      <c r="AH79" s="17" t="n"/>
      <c r="AI79" s="17">
        <f>AH79*4</f>
        <v/>
      </c>
      <c r="AJ79" s="15">
        <f>AF79-AG79-AH79-AI79</f>
        <v/>
      </c>
      <c r="AK79" s="18" t="n">
        <v>72</v>
      </c>
      <c r="AL79" s="40" t="n"/>
    </row>
    <row r="80" ht="23.5" customHeight="1">
      <c r="A80" s="6" t="inlineStr">
        <is>
          <t>73</t>
        </is>
      </c>
      <c r="B80" s="24" t="n"/>
      <c r="C80" s="55" t="n"/>
      <c r="D80" s="19" t="n"/>
      <c r="E80" s="24" t="n"/>
      <c r="F80" s="25" t="n"/>
      <c r="G80" s="25" t="n"/>
      <c r="H80" s="25" t="n"/>
      <c r="I80" s="11" t="n"/>
      <c r="J80" s="57" t="n"/>
      <c r="K80" s="12" t="n"/>
      <c r="L80" s="22" t="n"/>
      <c r="M80" s="13" t="n"/>
      <c r="N80" s="14">
        <f>ROUND(I80*(SUM(J80:M80))*68%,0)</f>
        <v/>
      </c>
      <c r="O80" s="61" t="n"/>
      <c r="P80" s="59" t="n"/>
      <c r="Q80" s="59" t="n"/>
      <c r="R80" s="58" t="n"/>
      <c r="S80" s="15">
        <f>I80*J80</f>
        <v/>
      </c>
      <c r="T80" s="15">
        <f>SUM(S80:S80)*68%</f>
        <v/>
      </c>
      <c r="U80" s="15">
        <f>I80*K80*40%*O80</f>
        <v/>
      </c>
      <c r="V80" s="15">
        <f>IF(P80&gt;=6750,(I80*K80*40%),0)</f>
        <v/>
      </c>
      <c r="W80" s="15">
        <f>IF(P80&lt;6750,0,IF(Q80="",0,IF(OR(Q80="KURANG",Q80="SANGAT KURANG"),I80*K80*10%,I80*K80*20%)))</f>
        <v/>
      </c>
      <c r="X80" s="15">
        <f>SUM(U80:W80)*68%</f>
        <v/>
      </c>
      <c r="Y80" s="15">
        <f>I80*L80</f>
        <v/>
      </c>
      <c r="Z80" s="15">
        <f>Y80 * 68%</f>
        <v/>
      </c>
      <c r="AA80" s="15">
        <f>I80*M80</f>
        <v/>
      </c>
      <c r="AB80" s="15">
        <f>AA80*68%</f>
        <v/>
      </c>
      <c r="AC80" s="16">
        <f>ROUND((T80+X80+Z80+AB80),0)</f>
        <v/>
      </c>
      <c r="AD80" s="16">
        <f>AG80</f>
        <v/>
      </c>
      <c r="AE80" s="16">
        <f>AI80</f>
        <v/>
      </c>
      <c r="AF80" s="16">
        <f>AC80+AD80+AE80</f>
        <v/>
      </c>
      <c r="AG80" s="16" t="n"/>
      <c r="AH80" s="17" t="n"/>
      <c r="AI80" s="17">
        <f>AH80*4</f>
        <v/>
      </c>
      <c r="AJ80" s="15">
        <f>AF80-AG80-AH80-AI80</f>
        <v/>
      </c>
      <c r="AK80" s="18" t="n">
        <v>73</v>
      </c>
      <c r="AL80" s="23" t="n"/>
    </row>
    <row r="81" ht="23.5" customHeight="1">
      <c r="A81" s="6" t="inlineStr">
        <is>
          <t>74</t>
        </is>
      </c>
      <c r="B81" s="24" t="n"/>
      <c r="C81" s="55" t="n"/>
      <c r="D81" s="19" t="n"/>
      <c r="E81" s="24" t="n"/>
      <c r="F81" s="25" t="n"/>
      <c r="G81" s="25" t="n"/>
      <c r="H81" s="25" t="n"/>
      <c r="I81" s="11" t="n"/>
      <c r="J81" s="57" t="n"/>
      <c r="K81" s="12" t="n"/>
      <c r="L81" s="22" t="n"/>
      <c r="M81" s="13" t="n"/>
      <c r="N81" s="14">
        <f>ROUND(I81*(SUM(J81:M81))*68%,0)</f>
        <v/>
      </c>
      <c r="O81" s="61" t="n"/>
      <c r="P81" s="59" t="n"/>
      <c r="Q81" s="59" t="n"/>
      <c r="R81" s="58" t="n"/>
      <c r="S81" s="15">
        <f>I81*J81</f>
        <v/>
      </c>
      <c r="T81" s="15">
        <f>SUM(S81:S81)*68%</f>
        <v/>
      </c>
      <c r="U81" s="15">
        <f>I81*K81*40%*O81</f>
        <v/>
      </c>
      <c r="V81" s="15">
        <f>IF(P81&gt;=6750,(I81*K81*40%),0)</f>
        <v/>
      </c>
      <c r="W81" s="15">
        <f>IF(P81&lt;6750,0,IF(Q81="",0,IF(OR(Q81="KURANG",Q81="SANGAT KURANG"),I81*K81*10%,I81*K81*20%)))</f>
        <v/>
      </c>
      <c r="X81" s="15">
        <f>SUM(U81:W81)*68%</f>
        <v/>
      </c>
      <c r="Y81" s="15">
        <f>I81*L81</f>
        <v/>
      </c>
      <c r="Z81" s="15">
        <f>Y81 * 68%</f>
        <v/>
      </c>
      <c r="AA81" s="15">
        <f>I81*M81</f>
        <v/>
      </c>
      <c r="AB81" s="15">
        <f>AA81*68%</f>
        <v/>
      </c>
      <c r="AC81" s="16">
        <f>ROUND((T81+X81+Z81+AB81),0)</f>
        <v/>
      </c>
      <c r="AD81" s="16">
        <f>AG81</f>
        <v/>
      </c>
      <c r="AE81" s="16">
        <f>AI81</f>
        <v/>
      </c>
      <c r="AF81" s="16">
        <f>AC81+AD81+AE81</f>
        <v/>
      </c>
      <c r="AG81" s="16" t="n"/>
      <c r="AH81" s="17" t="n"/>
      <c r="AI81" s="17">
        <f>AH81*4</f>
        <v/>
      </c>
      <c r="AJ81" s="15">
        <f>AF81-AG81-AH81-AI81</f>
        <v/>
      </c>
      <c r="AK81" s="18" t="n">
        <v>74</v>
      </c>
      <c r="AL81" s="23" t="n"/>
    </row>
    <row r="82" ht="23.5" customHeight="1">
      <c r="A82" s="6" t="inlineStr">
        <is>
          <t>75</t>
        </is>
      </c>
      <c r="B82" s="28" t="n"/>
      <c r="C82" s="55" t="n"/>
      <c r="D82" s="19" t="n"/>
      <c r="E82" s="24" t="n"/>
      <c r="F82" s="25" t="n"/>
      <c r="G82" s="25" t="n"/>
      <c r="H82" s="25" t="n"/>
      <c r="I82" s="11" t="n"/>
      <c r="J82" s="57" t="n"/>
      <c r="K82" s="12" t="n"/>
      <c r="L82" s="22" t="n"/>
      <c r="M82" s="13" t="n"/>
      <c r="N82" s="14">
        <f>ROUND(I82*(SUM(J82:M82))*68%,0)</f>
        <v/>
      </c>
      <c r="O82" s="61" t="n"/>
      <c r="P82" s="59" t="n"/>
      <c r="Q82" s="59" t="n"/>
      <c r="R82" s="58" t="n"/>
      <c r="S82" s="15">
        <f>I82*J82</f>
        <v/>
      </c>
      <c r="T82" s="15">
        <f>SUM(S82:S82)*68%</f>
        <v/>
      </c>
      <c r="U82" s="15">
        <f>I82*K82*40%*O82</f>
        <v/>
      </c>
      <c r="V82" s="15">
        <f>IF(P82&gt;=6750,(I82*K82*40%),0)</f>
        <v/>
      </c>
      <c r="W82" s="15">
        <f>IF(P82&lt;6750,0,IF(Q82="",0,IF(OR(Q82="KURANG",Q82="SANGAT KURANG"),I82*K82*10%,I82*K82*20%)))</f>
        <v/>
      </c>
      <c r="X82" s="15">
        <f>SUM(U82:W82)*68%</f>
        <v/>
      </c>
      <c r="Y82" s="15">
        <f>I82*L82</f>
        <v/>
      </c>
      <c r="Z82" s="15">
        <f>Y82 * 68%</f>
        <v/>
      </c>
      <c r="AA82" s="15">
        <f>I82*M82</f>
        <v/>
      </c>
      <c r="AB82" s="15">
        <f>AA82*68%</f>
        <v/>
      </c>
      <c r="AC82" s="16">
        <f>ROUND((T82+X82+Z82+AB82),0)</f>
        <v/>
      </c>
      <c r="AD82" s="16">
        <f>AG82</f>
        <v/>
      </c>
      <c r="AE82" s="16">
        <f>AI82</f>
        <v/>
      </c>
      <c r="AF82" s="16">
        <f>AC82+AD82+AE82</f>
        <v/>
      </c>
      <c r="AG82" s="16" t="n"/>
      <c r="AH82" s="17" t="n"/>
      <c r="AI82" s="17">
        <f>AH82*4</f>
        <v/>
      </c>
      <c r="AJ82" s="15">
        <f>AF82-AG82-AH82-AI82</f>
        <v/>
      </c>
      <c r="AK82" s="18" t="n">
        <v>75</v>
      </c>
      <c r="AL82" s="23" t="n"/>
    </row>
    <row r="83" ht="23.5" customHeight="1">
      <c r="A83" s="6" t="inlineStr">
        <is>
          <t>76</t>
        </is>
      </c>
      <c r="B83" s="28" t="n"/>
      <c r="C83" s="55" t="n"/>
      <c r="D83" s="19" t="n"/>
      <c r="E83" s="24" t="n"/>
      <c r="F83" s="25" t="n"/>
      <c r="G83" s="25" t="n"/>
      <c r="H83" s="25" t="n"/>
      <c r="I83" s="11" t="n"/>
      <c r="J83" s="57" t="n"/>
      <c r="K83" s="12" t="n"/>
      <c r="L83" s="22" t="n"/>
      <c r="M83" s="13" t="n"/>
      <c r="N83" s="14">
        <f>ROUND(I83*(SUM(J83:M83))*68%,0)</f>
        <v/>
      </c>
      <c r="O83" s="61" t="n"/>
      <c r="P83" s="59" t="n"/>
      <c r="Q83" s="59" t="n"/>
      <c r="R83" s="58" t="n"/>
      <c r="S83" s="15">
        <f>I83*J83</f>
        <v/>
      </c>
      <c r="T83" s="15">
        <f>SUM(S83:S83)*68%</f>
        <v/>
      </c>
      <c r="U83" s="15">
        <f>I83*K83*40%*O83</f>
        <v/>
      </c>
      <c r="V83" s="15">
        <f>IF(P83&gt;=6750,(I83*K83*40%),0)</f>
        <v/>
      </c>
      <c r="W83" s="15">
        <f>IF(P83&lt;6750,0,IF(Q83="",0,IF(OR(Q83="KURANG",Q83="SANGAT KURANG"),I83*K83*10%,I83*K83*20%)))</f>
        <v/>
      </c>
      <c r="X83" s="15">
        <f>SUM(U83:W83)*68%</f>
        <v/>
      </c>
      <c r="Y83" s="15">
        <f>I83*L83</f>
        <v/>
      </c>
      <c r="Z83" s="15">
        <f>Y83 * 68%</f>
        <v/>
      </c>
      <c r="AA83" s="15">
        <f>I83*M83</f>
        <v/>
      </c>
      <c r="AB83" s="15">
        <f>AA83*68%</f>
        <v/>
      </c>
      <c r="AC83" s="16">
        <f>ROUND((T83+X83+Z83+AB83),0)</f>
        <v/>
      </c>
      <c r="AD83" s="16">
        <f>AG83</f>
        <v/>
      </c>
      <c r="AE83" s="16">
        <f>AI83</f>
        <v/>
      </c>
      <c r="AF83" s="16">
        <f>AC83+AD83+AE83</f>
        <v/>
      </c>
      <c r="AG83" s="16" t="n"/>
      <c r="AH83" s="17" t="n"/>
      <c r="AI83" s="17">
        <f>AH83*4</f>
        <v/>
      </c>
      <c r="AJ83" s="15">
        <f>AF83-AG83-AH83-AI83</f>
        <v/>
      </c>
      <c r="AK83" s="18" t="n">
        <v>76</v>
      </c>
      <c r="AL83" s="23" t="n"/>
    </row>
    <row r="84" ht="23.5" customHeight="1">
      <c r="A84" s="6" t="inlineStr">
        <is>
          <t>77</t>
        </is>
      </c>
      <c r="B84" s="24" t="n"/>
      <c r="C84" s="55" t="n"/>
      <c r="D84" s="19" t="n"/>
      <c r="E84" s="24" t="n"/>
      <c r="F84" s="25" t="n"/>
      <c r="G84" s="25" t="n"/>
      <c r="H84" s="25" t="n"/>
      <c r="I84" s="11" t="n"/>
      <c r="J84" s="57" t="n"/>
      <c r="K84" s="12" t="n"/>
      <c r="L84" s="22" t="n"/>
      <c r="M84" s="13" t="n"/>
      <c r="N84" s="14">
        <f>ROUND(I84*(SUM(J84:M84))*68%,0)</f>
        <v/>
      </c>
      <c r="O84" s="61" t="n"/>
      <c r="P84" s="59" t="n"/>
      <c r="Q84" s="59" t="n"/>
      <c r="R84" s="58" t="n"/>
      <c r="S84" s="15">
        <f>I84*J84</f>
        <v/>
      </c>
      <c r="T84" s="15">
        <f>SUM(S84:S84)*68%</f>
        <v/>
      </c>
      <c r="U84" s="15">
        <f>I84*K84*40%*O84</f>
        <v/>
      </c>
      <c r="V84" s="15">
        <f>IF(P84&gt;=6750,(I84*K84*40%),0)</f>
        <v/>
      </c>
      <c r="W84" s="15">
        <f>IF(P84&lt;6750,0,IF(Q84="",0,IF(OR(Q84="KURANG",Q84="SANGAT KURANG"),I84*K84*10%,I84*K84*20%)))</f>
        <v/>
      </c>
      <c r="X84" s="15">
        <f>SUM(U84:W84)*68%</f>
        <v/>
      </c>
      <c r="Y84" s="15">
        <f>I84*L84</f>
        <v/>
      </c>
      <c r="Z84" s="15">
        <f>Y84 * 68%</f>
        <v/>
      </c>
      <c r="AA84" s="15">
        <f>I84*M84</f>
        <v/>
      </c>
      <c r="AB84" s="15">
        <f>AA84*68%</f>
        <v/>
      </c>
      <c r="AC84" s="16">
        <f>ROUND((T84+X84+Z84+AB84),0)</f>
        <v/>
      </c>
      <c r="AD84" s="16">
        <f>AG84</f>
        <v/>
      </c>
      <c r="AE84" s="16">
        <f>AI84</f>
        <v/>
      </c>
      <c r="AF84" s="16">
        <f>AC84+AD84+AE84</f>
        <v/>
      </c>
      <c r="AG84" s="16" t="n"/>
      <c r="AH84" s="17" t="n"/>
      <c r="AI84" s="17">
        <f>AH84*4</f>
        <v/>
      </c>
      <c r="AJ84" s="15">
        <f>AF84-AG84-AH84-AI84</f>
        <v/>
      </c>
      <c r="AK84" s="18" t="n">
        <v>77</v>
      </c>
      <c r="AL84" s="23" t="n"/>
    </row>
    <row r="85" ht="23.5" customHeight="1">
      <c r="A85" s="6" t="inlineStr">
        <is>
          <t>78</t>
        </is>
      </c>
      <c r="B85" s="24" t="n"/>
      <c r="C85" s="55" t="n"/>
      <c r="D85" s="19" t="n"/>
      <c r="E85" s="24" t="n"/>
      <c r="F85" s="25" t="n"/>
      <c r="G85" s="25" t="n"/>
      <c r="H85" s="25" t="n"/>
      <c r="I85" s="11" t="n"/>
      <c r="J85" s="57" t="n"/>
      <c r="K85" s="12" t="n"/>
      <c r="L85" s="22" t="n"/>
      <c r="M85" s="13" t="n"/>
      <c r="N85" s="14">
        <f>ROUND(I85*(SUM(J85:M85))*68%,0)</f>
        <v/>
      </c>
      <c r="O85" s="61" t="n"/>
      <c r="P85" s="59" t="n"/>
      <c r="Q85" s="59" t="n"/>
      <c r="R85" s="58" t="n"/>
      <c r="S85" s="15">
        <f>I85*J85</f>
        <v/>
      </c>
      <c r="T85" s="15">
        <f>SUM(S85:S85)*68%</f>
        <v/>
      </c>
      <c r="U85" s="15">
        <f>I85*K85*40%*O85</f>
        <v/>
      </c>
      <c r="V85" s="15">
        <f>IF(P85&gt;=6750,(I85*K85*40%),0)</f>
        <v/>
      </c>
      <c r="W85" s="15">
        <f>IF(P85&lt;6750,0,IF(Q85="",0,IF(OR(Q85="KURANG",Q85="SANGAT KURANG"),I85*K85*10%,I85*K85*20%)))</f>
        <v/>
      </c>
      <c r="X85" s="15">
        <f>SUM(U85:W85)*68%</f>
        <v/>
      </c>
      <c r="Y85" s="15">
        <f>I85*L85</f>
        <v/>
      </c>
      <c r="Z85" s="15">
        <f>Y85 * 68%</f>
        <v/>
      </c>
      <c r="AA85" s="15">
        <f>I85*M85</f>
        <v/>
      </c>
      <c r="AB85" s="15">
        <f>AA85*68%</f>
        <v/>
      </c>
      <c r="AC85" s="16">
        <f>ROUND((T85+X85+Z85+AB85),0)</f>
        <v/>
      </c>
      <c r="AD85" s="16">
        <f>AG85</f>
        <v/>
      </c>
      <c r="AE85" s="16">
        <f>AI85</f>
        <v/>
      </c>
      <c r="AF85" s="16">
        <f>AC85+AD85+AE85</f>
        <v/>
      </c>
      <c r="AG85" s="16" t="n"/>
      <c r="AH85" s="17" t="n"/>
      <c r="AI85" s="17">
        <f>AH85*4</f>
        <v/>
      </c>
      <c r="AJ85" s="15">
        <f>AF85-AG85-AH85-AI85</f>
        <v/>
      </c>
      <c r="AK85" s="18" t="n">
        <v>78</v>
      </c>
      <c r="AL85" s="40" t="n"/>
    </row>
    <row r="86" ht="23.5" customHeight="1">
      <c r="A86" s="6" t="inlineStr">
        <is>
          <t>79</t>
        </is>
      </c>
      <c r="B86" s="24" t="n"/>
      <c r="C86" s="55" t="n"/>
      <c r="D86" s="19" t="n"/>
      <c r="E86" s="24" t="n"/>
      <c r="F86" s="25" t="n"/>
      <c r="G86" s="25" t="n"/>
      <c r="H86" s="25" t="n"/>
      <c r="I86" s="11" t="n"/>
      <c r="J86" s="57" t="n"/>
      <c r="K86" s="12" t="n"/>
      <c r="L86" s="22" t="n"/>
      <c r="M86" s="13" t="n"/>
      <c r="N86" s="14">
        <f>ROUND(I86*(SUM(J86:M86))*68%,0)</f>
        <v/>
      </c>
      <c r="O86" s="61" t="n"/>
      <c r="P86" s="59" t="n"/>
      <c r="Q86" s="59" t="n"/>
      <c r="R86" s="58" t="n"/>
      <c r="S86" s="15">
        <f>I86*J86</f>
        <v/>
      </c>
      <c r="T86" s="15">
        <f>SUM(S86:S86)*68%</f>
        <v/>
      </c>
      <c r="U86" s="15">
        <f>I86*K86*40%*O86</f>
        <v/>
      </c>
      <c r="V86" s="15">
        <f>IF(P86&gt;=6750,(I86*K86*40%),0)</f>
        <v/>
      </c>
      <c r="W86" s="15">
        <f>IF(P86&lt;6750,0,IF(Q86="",0,IF(OR(Q86="KURANG",Q86="SANGAT KURANG"),I86*K86*10%,I86*K86*20%)))</f>
        <v/>
      </c>
      <c r="X86" s="15">
        <f>SUM(U86:W86)*68%</f>
        <v/>
      </c>
      <c r="Y86" s="15">
        <f>I86*L86</f>
        <v/>
      </c>
      <c r="Z86" s="15">
        <f>Y86 * 68%</f>
        <v/>
      </c>
      <c r="AA86" s="15">
        <f>I86*M86</f>
        <v/>
      </c>
      <c r="AB86" s="15">
        <f>AA86*68%</f>
        <v/>
      </c>
      <c r="AC86" s="16">
        <f>ROUND((T86+X86+Z86+AB86),0)</f>
        <v/>
      </c>
      <c r="AD86" s="16">
        <f>AG86</f>
        <v/>
      </c>
      <c r="AE86" s="16">
        <f>AI86</f>
        <v/>
      </c>
      <c r="AF86" s="16">
        <f>AC86+AD86+AE86</f>
        <v/>
      </c>
      <c r="AG86" s="16" t="n"/>
      <c r="AH86" s="17" t="n"/>
      <c r="AI86" s="17">
        <f>AH86*4</f>
        <v/>
      </c>
      <c r="AJ86" s="15">
        <f>AF86-AG86-AH86-AI86</f>
        <v/>
      </c>
      <c r="AK86" s="18" t="n">
        <v>79</v>
      </c>
      <c r="AL86" s="23" t="n"/>
    </row>
    <row r="87" ht="23.5" customHeight="1">
      <c r="A87" s="6" t="inlineStr">
        <is>
          <t>80</t>
        </is>
      </c>
      <c r="B87" s="24" t="n"/>
      <c r="C87" s="55" t="n"/>
      <c r="D87" s="19" t="n"/>
      <c r="E87" s="24" t="n"/>
      <c r="F87" s="25" t="n"/>
      <c r="G87" s="25" t="n"/>
      <c r="H87" s="25" t="n"/>
      <c r="I87" s="11" t="n"/>
      <c r="J87" s="57" t="n"/>
      <c r="K87" s="12" t="n"/>
      <c r="L87" s="22" t="n"/>
      <c r="M87" s="13" t="n"/>
      <c r="N87" s="14">
        <f>ROUND(I87*(SUM(J87:M87))*68%,0)</f>
        <v/>
      </c>
      <c r="O87" s="61" t="n"/>
      <c r="P87" s="59" t="n"/>
      <c r="Q87" s="59" t="n"/>
      <c r="R87" s="58" t="n"/>
      <c r="S87" s="15">
        <f>I87*J87</f>
        <v/>
      </c>
      <c r="T87" s="15">
        <f>SUM(S87:S87)*68%</f>
        <v/>
      </c>
      <c r="U87" s="15">
        <f>I87*K87*40%*O87</f>
        <v/>
      </c>
      <c r="V87" s="15">
        <f>IF(P87&gt;=6750,(I87*K87*40%),0)</f>
        <v/>
      </c>
      <c r="W87" s="15">
        <f>IF(P87&lt;6750,0,IF(Q87="",0,IF(OR(Q87="KURANG",Q87="SANGAT KURANG"),I87*K87*10%,I87*K87*20%)))</f>
        <v/>
      </c>
      <c r="X87" s="15">
        <f>SUM(U87:W87)*68%</f>
        <v/>
      </c>
      <c r="Y87" s="15">
        <f>I87*L87</f>
        <v/>
      </c>
      <c r="Z87" s="15">
        <f>Y87 * 68%</f>
        <v/>
      </c>
      <c r="AA87" s="15">
        <f>I87*M87</f>
        <v/>
      </c>
      <c r="AB87" s="15">
        <f>AA87*68%</f>
        <v/>
      </c>
      <c r="AC87" s="16">
        <f>ROUND((T87+X87+Z87+AB87),0)</f>
        <v/>
      </c>
      <c r="AD87" s="16">
        <f>AG87</f>
        <v/>
      </c>
      <c r="AE87" s="16">
        <f>AI87</f>
        <v/>
      </c>
      <c r="AF87" s="16">
        <f>AC87+AD87+AE87</f>
        <v/>
      </c>
      <c r="AG87" s="16" t="n"/>
      <c r="AH87" s="17" t="n"/>
      <c r="AI87" s="17">
        <f>AH87*4</f>
        <v/>
      </c>
      <c r="AJ87" s="15">
        <f>AF87-AG87-AH87-AI87</f>
        <v/>
      </c>
      <c r="AK87" s="18" t="n">
        <v>80</v>
      </c>
      <c r="AL87" s="40" t="n"/>
    </row>
    <row r="88" ht="23.5" customHeight="1">
      <c r="A88" s="6" t="inlineStr">
        <is>
          <t>81</t>
        </is>
      </c>
      <c r="B88" s="24" t="n"/>
      <c r="C88" s="55" t="n"/>
      <c r="D88" s="19" t="n"/>
      <c r="E88" s="24" t="n"/>
      <c r="F88" s="25" t="n"/>
      <c r="G88" s="25" t="n"/>
      <c r="H88" s="25" t="n"/>
      <c r="I88" s="11" t="n"/>
      <c r="J88" s="57" t="n"/>
      <c r="K88" s="12" t="n"/>
      <c r="L88" s="22" t="n"/>
      <c r="M88" s="13" t="n"/>
      <c r="N88" s="14">
        <f>ROUND(I88*(SUM(J88:M88))*68%,0)</f>
        <v/>
      </c>
      <c r="O88" s="61" t="n"/>
      <c r="P88" s="59" t="n"/>
      <c r="Q88" s="59" t="n"/>
      <c r="R88" s="58" t="n"/>
      <c r="S88" s="15">
        <f>I88*J88</f>
        <v/>
      </c>
      <c r="T88" s="15">
        <f>SUM(S88:S88)*68%</f>
        <v/>
      </c>
      <c r="U88" s="15">
        <f>I88*K88*40%*O88</f>
        <v/>
      </c>
      <c r="V88" s="15">
        <f>IF(P88&gt;=6750,(I88*K88*40%),0)</f>
        <v/>
      </c>
      <c r="W88" s="15">
        <f>IF(P88&lt;6750,0,IF(Q88="",0,IF(OR(Q88="KURANG",Q88="SANGAT KURANG"),I88*K88*10%,I88*K88*20%)))</f>
        <v/>
      </c>
      <c r="X88" s="15">
        <f>SUM(U88:W88)*68%</f>
        <v/>
      </c>
      <c r="Y88" s="15">
        <f>I88*L88</f>
        <v/>
      </c>
      <c r="Z88" s="15">
        <f>Y88 * 68%</f>
        <v/>
      </c>
      <c r="AA88" s="15">
        <f>I88*M88</f>
        <v/>
      </c>
      <c r="AB88" s="15">
        <f>AA88*68%</f>
        <v/>
      </c>
      <c r="AC88" s="16">
        <f>ROUND((T88+X88+Z88+AB88),0)</f>
        <v/>
      </c>
      <c r="AD88" s="16">
        <f>AG88</f>
        <v/>
      </c>
      <c r="AE88" s="16">
        <f>AI88</f>
        <v/>
      </c>
      <c r="AF88" s="16">
        <f>AC88+AD88+AE88</f>
        <v/>
      </c>
      <c r="AG88" s="16" t="n"/>
      <c r="AH88" s="17" t="n"/>
      <c r="AI88" s="17">
        <f>AH88*4</f>
        <v/>
      </c>
      <c r="AJ88" s="15">
        <f>AF88-AG88-AH88-AI88</f>
        <v/>
      </c>
      <c r="AK88" s="18" t="n">
        <v>81</v>
      </c>
      <c r="AL88" s="23" t="n"/>
    </row>
    <row r="89" ht="23.5" customHeight="1">
      <c r="A89" s="6" t="inlineStr">
        <is>
          <t>82</t>
        </is>
      </c>
      <c r="B89" s="24" t="n"/>
      <c r="C89" s="55" t="n"/>
      <c r="D89" s="19" t="n"/>
      <c r="E89" s="24" t="n"/>
      <c r="F89" s="25" t="n"/>
      <c r="G89" s="25" t="n"/>
      <c r="H89" s="25" t="n"/>
      <c r="I89" s="11" t="n"/>
      <c r="J89" s="57" t="n"/>
      <c r="K89" s="12" t="n"/>
      <c r="L89" s="22" t="n"/>
      <c r="M89" s="13" t="n"/>
      <c r="N89" s="14">
        <f>ROUND(I89*(SUM(J89:M89))*68%,0)</f>
        <v/>
      </c>
      <c r="O89" s="61" t="n"/>
      <c r="P89" s="59" t="n"/>
      <c r="Q89" s="59" t="n"/>
      <c r="R89" s="58" t="n"/>
      <c r="S89" s="15">
        <f>I89*J89</f>
        <v/>
      </c>
      <c r="T89" s="15">
        <f>SUM(S89:S89)*68%</f>
        <v/>
      </c>
      <c r="U89" s="15">
        <f>I89*K89*40%*O89</f>
        <v/>
      </c>
      <c r="V89" s="15">
        <f>IF(P89&gt;=6750,(I89*K89*40%),0)</f>
        <v/>
      </c>
      <c r="W89" s="15">
        <f>IF(P89&lt;6750,0,IF(Q89="",0,IF(OR(Q89="KURANG",Q89="SANGAT KURANG"),I89*K89*10%,I89*K89*20%)))</f>
        <v/>
      </c>
      <c r="X89" s="15">
        <f>SUM(U89:W89)*68%</f>
        <v/>
      </c>
      <c r="Y89" s="15">
        <f>I89*L89</f>
        <v/>
      </c>
      <c r="Z89" s="15">
        <f>Y89 * 68%</f>
        <v/>
      </c>
      <c r="AA89" s="15">
        <f>I89*M89</f>
        <v/>
      </c>
      <c r="AB89" s="15">
        <f>AA89*68%</f>
        <v/>
      </c>
      <c r="AC89" s="16">
        <f>ROUND((T89+X89+Z89+AB89),0)</f>
        <v/>
      </c>
      <c r="AD89" s="16">
        <f>AG89</f>
        <v/>
      </c>
      <c r="AE89" s="16">
        <f>AI89</f>
        <v/>
      </c>
      <c r="AF89" s="16">
        <f>AC89+AD89+AE89</f>
        <v/>
      </c>
      <c r="AG89" s="16" t="n"/>
      <c r="AH89" s="17" t="n"/>
      <c r="AI89" s="17">
        <f>AH89*4</f>
        <v/>
      </c>
      <c r="AJ89" s="15">
        <f>AF89-AG89-AH89-AI89</f>
        <v/>
      </c>
      <c r="AK89" s="18" t="n">
        <v>82</v>
      </c>
      <c r="AL89" s="23" t="n"/>
    </row>
    <row r="90" ht="23.5" customHeight="1">
      <c r="A90" s="6" t="inlineStr">
        <is>
          <t>83</t>
        </is>
      </c>
      <c r="B90" s="28" t="n"/>
      <c r="C90" s="55" t="n"/>
      <c r="D90" s="19" t="n"/>
      <c r="E90" s="24" t="n"/>
      <c r="F90" s="25" t="n"/>
      <c r="G90" s="25" t="n"/>
      <c r="H90" s="25" t="n"/>
      <c r="I90" s="11" t="n"/>
      <c r="J90" s="57" t="n"/>
      <c r="K90" s="12" t="n"/>
      <c r="L90" s="22" t="n"/>
      <c r="M90" s="13" t="n"/>
      <c r="N90" s="14">
        <f>ROUND(I90*(SUM(J90:M90))*68%,0)</f>
        <v/>
      </c>
      <c r="O90" s="61" t="n"/>
      <c r="P90" s="59" t="n"/>
      <c r="Q90" s="59" t="n"/>
      <c r="R90" s="58" t="n"/>
      <c r="S90" s="15">
        <f>I90*J90</f>
        <v/>
      </c>
      <c r="T90" s="15">
        <f>SUM(S90:S90)*68%</f>
        <v/>
      </c>
      <c r="U90" s="15">
        <f>I90*K90*40%*O90</f>
        <v/>
      </c>
      <c r="V90" s="15">
        <f>IF(P90&gt;=6750,(I90*K90*40%),0)</f>
        <v/>
      </c>
      <c r="W90" s="15">
        <f>IF(P90&lt;6750,0,IF(Q90="",0,IF(OR(Q90="KURANG",Q90="SANGAT KURANG"),I90*K90*10%,I90*K90*20%)))</f>
        <v/>
      </c>
      <c r="X90" s="15">
        <f>SUM(U90:W90)*68%</f>
        <v/>
      </c>
      <c r="Y90" s="15">
        <f>I90*L90</f>
        <v/>
      </c>
      <c r="Z90" s="15">
        <f>Y90 * 68%</f>
        <v/>
      </c>
      <c r="AA90" s="15">
        <f>I90*M90</f>
        <v/>
      </c>
      <c r="AB90" s="15">
        <f>AA90*68%</f>
        <v/>
      </c>
      <c r="AC90" s="16">
        <f>ROUND((T90+X90+Z90+AB90),0)</f>
        <v/>
      </c>
      <c r="AD90" s="16">
        <f>AG90</f>
        <v/>
      </c>
      <c r="AE90" s="16">
        <f>AI90</f>
        <v/>
      </c>
      <c r="AF90" s="16">
        <f>AC90+AD90+AE90</f>
        <v/>
      </c>
      <c r="AG90" s="16" t="n"/>
      <c r="AH90" s="17" t="n"/>
      <c r="AI90" s="17">
        <f>AH90*4</f>
        <v/>
      </c>
      <c r="AJ90" s="15">
        <f>AF90-AG90-AH90-AI90</f>
        <v/>
      </c>
      <c r="AK90" s="18" t="n">
        <v>83</v>
      </c>
      <c r="AL90" s="23" t="n"/>
    </row>
    <row r="91" ht="23.5" customHeight="1">
      <c r="A91" s="6" t="inlineStr">
        <is>
          <t>84</t>
        </is>
      </c>
      <c r="B91" s="28" t="n"/>
      <c r="C91" s="55" t="n"/>
      <c r="D91" s="19" t="n"/>
      <c r="E91" s="24" t="n"/>
      <c r="F91" s="25" t="n"/>
      <c r="G91" s="25" t="n"/>
      <c r="H91" s="25" t="n"/>
      <c r="I91" s="11" t="n"/>
      <c r="J91" s="57" t="n"/>
      <c r="K91" s="12" t="n"/>
      <c r="L91" s="22" t="n"/>
      <c r="M91" s="13" t="n"/>
      <c r="N91" s="14">
        <f>ROUND(I91*(SUM(J91:M91))*68%,0)</f>
        <v/>
      </c>
      <c r="O91" s="61" t="n"/>
      <c r="P91" s="59" t="n"/>
      <c r="Q91" s="59" t="n"/>
      <c r="R91" s="58" t="n"/>
      <c r="S91" s="15">
        <f>I91*J91</f>
        <v/>
      </c>
      <c r="T91" s="15">
        <f>SUM(S91:S91)*68%</f>
        <v/>
      </c>
      <c r="U91" s="15">
        <f>I91*K91*40%*O91</f>
        <v/>
      </c>
      <c r="V91" s="15">
        <f>IF(P91&gt;=6750,(I91*K91*40%),0)</f>
        <v/>
      </c>
      <c r="W91" s="15">
        <f>IF(P91&lt;6750,0,IF(Q91="",0,IF(OR(Q91="KURANG",Q91="SANGAT KURANG"),I91*K91*10%,I91*K91*20%)))</f>
        <v/>
      </c>
      <c r="X91" s="15">
        <f>SUM(U91:W91)*68%</f>
        <v/>
      </c>
      <c r="Y91" s="15">
        <f>I91*L91</f>
        <v/>
      </c>
      <c r="Z91" s="15">
        <f>Y91 * 68%</f>
        <v/>
      </c>
      <c r="AA91" s="15">
        <f>I91*M91</f>
        <v/>
      </c>
      <c r="AB91" s="15">
        <f>AA91*68%</f>
        <v/>
      </c>
      <c r="AC91" s="16">
        <f>ROUND((T91+X91+Z91+AB91),0)</f>
        <v/>
      </c>
      <c r="AD91" s="16">
        <f>AG91</f>
        <v/>
      </c>
      <c r="AE91" s="16">
        <f>AI91</f>
        <v/>
      </c>
      <c r="AF91" s="16">
        <f>AC91+AD91+AE91</f>
        <v/>
      </c>
      <c r="AG91" s="16" t="n"/>
      <c r="AH91" s="17" t="n"/>
      <c r="AI91" s="17">
        <f>AH91*4</f>
        <v/>
      </c>
      <c r="AJ91" s="15">
        <f>AF91-AG91-AH91-AI91</f>
        <v/>
      </c>
      <c r="AK91" s="18" t="n">
        <v>84</v>
      </c>
      <c r="AL91" s="23" t="n"/>
    </row>
    <row r="92" ht="23.5" customHeight="1">
      <c r="A92" s="6" t="inlineStr">
        <is>
          <t>85</t>
        </is>
      </c>
      <c r="B92" s="24" t="n"/>
      <c r="C92" s="55" t="n"/>
      <c r="D92" s="19" t="n"/>
      <c r="E92" s="24" t="n"/>
      <c r="F92" s="25" t="n"/>
      <c r="G92" s="25" t="n"/>
      <c r="H92" s="25" t="n"/>
      <c r="I92" s="11" t="n"/>
      <c r="J92" s="57" t="n"/>
      <c r="K92" s="12" t="n"/>
      <c r="L92" s="22" t="n"/>
      <c r="M92" s="13" t="n"/>
      <c r="N92" s="14">
        <f>ROUND(I92*(SUM(J92:M92))*68%,0)</f>
        <v/>
      </c>
      <c r="O92" s="61" t="n"/>
      <c r="P92" s="59" t="n"/>
      <c r="Q92" s="59" t="n"/>
      <c r="R92" s="58" t="n"/>
      <c r="S92" s="15">
        <f>I92*J92</f>
        <v/>
      </c>
      <c r="T92" s="15">
        <f>SUM(S92:S92)*68%</f>
        <v/>
      </c>
      <c r="U92" s="15">
        <f>I92*K92*40%*O92</f>
        <v/>
      </c>
      <c r="V92" s="15">
        <f>IF(P92&gt;=6750,(I92*K92*40%),0)</f>
        <v/>
      </c>
      <c r="W92" s="15">
        <f>IF(P92&lt;6750,0,IF(Q92="",0,IF(OR(Q92="KURANG",Q92="SANGAT KURANG"),I92*K92*10%,I92*K92*20%)))</f>
        <v/>
      </c>
      <c r="X92" s="15">
        <f>SUM(U92:W92)*68%</f>
        <v/>
      </c>
      <c r="Y92" s="15">
        <f>I92*L92</f>
        <v/>
      </c>
      <c r="Z92" s="15">
        <f>Y92 * 68%</f>
        <v/>
      </c>
      <c r="AA92" s="15">
        <f>I92*M92</f>
        <v/>
      </c>
      <c r="AB92" s="15">
        <f>AA92*68%</f>
        <v/>
      </c>
      <c r="AC92" s="16">
        <f>ROUND((T92+X92+Z92+AB92),0)</f>
        <v/>
      </c>
      <c r="AD92" s="16">
        <f>AG92</f>
        <v/>
      </c>
      <c r="AE92" s="16">
        <f>AI92</f>
        <v/>
      </c>
      <c r="AF92" s="16">
        <f>AC92+AD92+AE92</f>
        <v/>
      </c>
      <c r="AG92" s="16" t="n"/>
      <c r="AH92" s="17" t="n"/>
      <c r="AI92" s="17">
        <f>AH92*4</f>
        <v/>
      </c>
      <c r="AJ92" s="15">
        <f>AF92-AG92-AH92-AI92</f>
        <v/>
      </c>
      <c r="AK92" s="18" t="n">
        <v>85</v>
      </c>
      <c r="AL92" s="23" t="n"/>
    </row>
    <row r="93" ht="23.5" customHeight="1">
      <c r="A93" s="6" t="inlineStr">
        <is>
          <t>86</t>
        </is>
      </c>
      <c r="B93" s="24" t="n"/>
      <c r="C93" s="55" t="n"/>
      <c r="D93" s="19" t="n"/>
      <c r="E93" s="24" t="n"/>
      <c r="F93" s="25" t="n"/>
      <c r="G93" s="25" t="n"/>
      <c r="H93" s="25" t="n"/>
      <c r="I93" s="11" t="n"/>
      <c r="J93" s="57" t="n"/>
      <c r="K93" s="12" t="n"/>
      <c r="L93" s="22" t="n"/>
      <c r="M93" s="13" t="n"/>
      <c r="N93" s="14">
        <f>ROUND(I93*(SUM(J93:M93))*68%,0)</f>
        <v/>
      </c>
      <c r="O93" s="61" t="n"/>
      <c r="P93" s="59" t="n"/>
      <c r="Q93" s="59" t="n"/>
      <c r="R93" s="58" t="n"/>
      <c r="S93" s="15">
        <f>I93*J93</f>
        <v/>
      </c>
      <c r="T93" s="15">
        <f>SUM(S93:S93)*68%</f>
        <v/>
      </c>
      <c r="U93" s="15">
        <f>I93*K93*40%*O93</f>
        <v/>
      </c>
      <c r="V93" s="15">
        <f>IF(P93&gt;=6750,(I93*K93*40%),0)</f>
        <v/>
      </c>
      <c r="W93" s="15">
        <f>IF(P93&lt;6750,0,IF(Q93="",0,IF(OR(Q93="KURANG",Q93="SANGAT KURANG"),I93*K93*10%,I93*K93*20%)))</f>
        <v/>
      </c>
      <c r="X93" s="15">
        <f>SUM(U93:W93)*68%</f>
        <v/>
      </c>
      <c r="Y93" s="15">
        <f>I93*L93</f>
        <v/>
      </c>
      <c r="Z93" s="15">
        <f>Y93 * 68%</f>
        <v/>
      </c>
      <c r="AA93" s="15">
        <f>I93*M93</f>
        <v/>
      </c>
      <c r="AB93" s="15">
        <f>AA93*68%</f>
        <v/>
      </c>
      <c r="AC93" s="16">
        <f>ROUND((T93+X93+Z93+AB93),0)</f>
        <v/>
      </c>
      <c r="AD93" s="16">
        <f>AG93</f>
        <v/>
      </c>
      <c r="AE93" s="16">
        <f>AI93</f>
        <v/>
      </c>
      <c r="AF93" s="16">
        <f>AC93+AD93+AE93</f>
        <v/>
      </c>
      <c r="AG93" s="16" t="n"/>
      <c r="AH93" s="17" t="n"/>
      <c r="AI93" s="17">
        <f>AH93*4</f>
        <v/>
      </c>
      <c r="AJ93" s="15">
        <f>AF93-AG93-AH93-AI93</f>
        <v/>
      </c>
      <c r="AK93" s="18" t="n">
        <v>86</v>
      </c>
      <c r="AL93" s="23" t="n"/>
    </row>
    <row r="94" ht="23.5" customHeight="1">
      <c r="A94" s="6" t="inlineStr">
        <is>
          <t>87</t>
        </is>
      </c>
      <c r="B94" s="24" t="n"/>
      <c r="C94" s="55" t="n"/>
      <c r="D94" s="19" t="n"/>
      <c r="E94" s="24" t="n"/>
      <c r="F94" s="25" t="n"/>
      <c r="G94" s="25" t="n"/>
      <c r="H94" s="25" t="n"/>
      <c r="I94" s="11" t="n"/>
      <c r="J94" s="57" t="n"/>
      <c r="K94" s="12" t="n"/>
      <c r="L94" s="22" t="n"/>
      <c r="M94" s="13" t="n"/>
      <c r="N94" s="14">
        <f>ROUND(I94*(SUM(J94:M94))*68%,0)</f>
        <v/>
      </c>
      <c r="O94" s="61" t="n"/>
      <c r="P94" s="59" t="n"/>
      <c r="Q94" s="59" t="n"/>
      <c r="R94" s="58" t="n"/>
      <c r="S94" s="15">
        <f>I94*J94</f>
        <v/>
      </c>
      <c r="T94" s="15">
        <f>SUM(S94:S94)*68%</f>
        <v/>
      </c>
      <c r="U94" s="15">
        <f>I94*K94*40%*O94</f>
        <v/>
      </c>
      <c r="V94" s="15">
        <f>IF(P94&gt;=6750,(I94*K94*40%),0)</f>
        <v/>
      </c>
      <c r="W94" s="15">
        <f>IF(P94&lt;6750,0,IF(Q94="",0,IF(OR(Q94="KURANG",Q94="SANGAT KURANG"),I94*K94*10%,I94*K94*20%)))</f>
        <v/>
      </c>
      <c r="X94" s="15">
        <f>SUM(U94:W94)*68%</f>
        <v/>
      </c>
      <c r="Y94" s="15">
        <f>I94*L94</f>
        <v/>
      </c>
      <c r="Z94" s="15">
        <f>Y94 * 68%</f>
        <v/>
      </c>
      <c r="AA94" s="15">
        <f>I94*M94</f>
        <v/>
      </c>
      <c r="AB94" s="15">
        <f>AA94*68%</f>
        <v/>
      </c>
      <c r="AC94" s="16">
        <f>ROUND((T94+X94+Z94+AB94),0)</f>
        <v/>
      </c>
      <c r="AD94" s="16">
        <f>AG94</f>
        <v/>
      </c>
      <c r="AE94" s="16">
        <f>AI94</f>
        <v/>
      </c>
      <c r="AF94" s="16">
        <f>AC94+AD94+AE94</f>
        <v/>
      </c>
      <c r="AG94" s="16" t="n"/>
      <c r="AH94" s="17" t="n"/>
      <c r="AI94" s="17">
        <f>AH94*4</f>
        <v/>
      </c>
      <c r="AJ94" s="15">
        <f>AF94-AG94-AH94-AI94</f>
        <v/>
      </c>
      <c r="AK94" s="18" t="n">
        <v>87</v>
      </c>
      <c r="AL94" s="40" t="n"/>
    </row>
    <row r="95" ht="23.5" customHeight="1">
      <c r="A95" s="6" t="inlineStr">
        <is>
          <t>88</t>
        </is>
      </c>
      <c r="B95" s="24" t="n"/>
      <c r="C95" s="55" t="n"/>
      <c r="D95" s="19" t="n"/>
      <c r="E95" s="24" t="n"/>
      <c r="F95" s="25" t="n"/>
      <c r="G95" s="25" t="n"/>
      <c r="H95" s="25" t="n"/>
      <c r="I95" s="11" t="n"/>
      <c r="J95" s="57" t="n"/>
      <c r="K95" s="12" t="n"/>
      <c r="L95" s="22" t="n"/>
      <c r="M95" s="13" t="n"/>
      <c r="N95" s="14">
        <f>ROUND(I95*(SUM(J95:M95))*68%,0)</f>
        <v/>
      </c>
      <c r="O95" s="61" t="n"/>
      <c r="P95" s="59" t="n"/>
      <c r="Q95" s="59" t="n"/>
      <c r="R95" s="58" t="n"/>
      <c r="S95" s="15">
        <f>I95*J95</f>
        <v/>
      </c>
      <c r="T95" s="15">
        <f>SUM(S95:S95)*68%</f>
        <v/>
      </c>
      <c r="U95" s="15">
        <f>I95*K95*40%*O95</f>
        <v/>
      </c>
      <c r="V95" s="15">
        <f>IF(P95&gt;=6750,(I95*K95*40%),0)</f>
        <v/>
      </c>
      <c r="W95" s="15">
        <f>IF(P95&lt;6750,0,IF(Q95="",0,IF(OR(Q95="KURANG",Q95="SANGAT KURANG"),I95*K95*10%,I95*K95*20%)))</f>
        <v/>
      </c>
      <c r="X95" s="15">
        <f>SUM(U95:W95)*68%</f>
        <v/>
      </c>
      <c r="Y95" s="15">
        <f>I95*L95</f>
        <v/>
      </c>
      <c r="Z95" s="15">
        <f>Y95 * 68%</f>
        <v/>
      </c>
      <c r="AA95" s="15">
        <f>I95*M95</f>
        <v/>
      </c>
      <c r="AB95" s="15">
        <f>AA95*68%</f>
        <v/>
      </c>
      <c r="AC95" s="16">
        <f>ROUND((T95+X95+Z95+AB95),0)</f>
        <v/>
      </c>
      <c r="AD95" s="16">
        <f>AG95</f>
        <v/>
      </c>
      <c r="AE95" s="16">
        <f>AI95</f>
        <v/>
      </c>
      <c r="AF95" s="16">
        <f>AC95+AD95+AE95</f>
        <v/>
      </c>
      <c r="AG95" s="16" t="n"/>
      <c r="AH95" s="17" t="n"/>
      <c r="AI95" s="17">
        <f>AH95*4</f>
        <v/>
      </c>
      <c r="AJ95" s="15">
        <f>AF95-AG95-AH95-AI95</f>
        <v/>
      </c>
      <c r="AK95" s="18" t="n">
        <v>88</v>
      </c>
      <c r="AL95" s="23" t="n"/>
    </row>
    <row r="96" ht="23.5" customHeight="1">
      <c r="A96" s="6" t="inlineStr">
        <is>
          <t>89</t>
        </is>
      </c>
      <c r="B96" s="24" t="n"/>
      <c r="C96" s="55" t="n"/>
      <c r="D96" s="19" t="n"/>
      <c r="E96" s="24" t="n"/>
      <c r="F96" s="25" t="n"/>
      <c r="G96" s="25" t="n"/>
      <c r="H96" s="25" t="n"/>
      <c r="I96" s="11" t="n"/>
      <c r="J96" s="57" t="n"/>
      <c r="K96" s="12" t="n"/>
      <c r="L96" s="22" t="n"/>
      <c r="M96" s="13" t="n"/>
      <c r="N96" s="14">
        <f>ROUND(I96*(SUM(J96:M96))*68%,0)</f>
        <v/>
      </c>
      <c r="O96" s="61" t="n"/>
      <c r="P96" s="59" t="n"/>
      <c r="Q96" s="59" t="n"/>
      <c r="R96" s="58" t="n"/>
      <c r="S96" s="15">
        <f>I96*J96</f>
        <v/>
      </c>
      <c r="T96" s="15">
        <f>SUM(S96:S96)*68%</f>
        <v/>
      </c>
      <c r="U96" s="15">
        <f>I96*K96*40%*O96</f>
        <v/>
      </c>
      <c r="V96" s="15">
        <f>IF(P96&gt;=6750,(I96*K96*40%),0)</f>
        <v/>
      </c>
      <c r="W96" s="15">
        <f>IF(P96&lt;6750,0,IF(Q96="",0,IF(OR(Q96="KURANG",Q96="SANGAT KURANG"),I96*K96*10%,I96*K96*20%)))</f>
        <v/>
      </c>
      <c r="X96" s="15">
        <f>SUM(U96:W96)*68%</f>
        <v/>
      </c>
      <c r="Y96" s="15">
        <f>I96*L96</f>
        <v/>
      </c>
      <c r="Z96" s="15">
        <f>Y96 * 68%</f>
        <v/>
      </c>
      <c r="AA96" s="15">
        <f>I96*M96</f>
        <v/>
      </c>
      <c r="AB96" s="15">
        <f>AA96*68%</f>
        <v/>
      </c>
      <c r="AC96" s="16">
        <f>ROUND((T96+X96+Z96+AB96),0)</f>
        <v/>
      </c>
      <c r="AD96" s="16">
        <f>AG96</f>
        <v/>
      </c>
      <c r="AE96" s="16">
        <f>AI96</f>
        <v/>
      </c>
      <c r="AF96" s="16">
        <f>AC96+AD96+AE96</f>
        <v/>
      </c>
      <c r="AG96" s="16" t="n"/>
      <c r="AH96" s="17" t="n"/>
      <c r="AI96" s="17">
        <f>AH96*4</f>
        <v/>
      </c>
      <c r="AJ96" s="15">
        <f>AF96-AG96-AH96-AI96</f>
        <v/>
      </c>
      <c r="AK96" s="18" t="n">
        <v>89</v>
      </c>
      <c r="AL96" s="40" t="n"/>
    </row>
    <row r="97" ht="23.5" customHeight="1">
      <c r="A97" s="6" t="inlineStr">
        <is>
          <t>90</t>
        </is>
      </c>
      <c r="B97" s="24" t="n"/>
      <c r="C97" s="55" t="n"/>
      <c r="D97" s="19" t="n"/>
      <c r="E97" s="24" t="n"/>
      <c r="F97" s="25" t="n"/>
      <c r="G97" s="25" t="n"/>
      <c r="H97" s="25" t="n"/>
      <c r="I97" s="11" t="n"/>
      <c r="J97" s="57" t="n"/>
      <c r="K97" s="12" t="n"/>
      <c r="L97" s="22" t="n"/>
      <c r="M97" s="13" t="n"/>
      <c r="N97" s="14">
        <f>ROUND(I97*(SUM(J97:M97))*68%,0)</f>
        <v/>
      </c>
      <c r="O97" s="61" t="n"/>
      <c r="P97" s="59" t="n"/>
      <c r="Q97" s="59" t="n"/>
      <c r="R97" s="58" t="n"/>
      <c r="S97" s="15">
        <f>I97*J97</f>
        <v/>
      </c>
      <c r="T97" s="15">
        <f>SUM(S97:S97)*68%</f>
        <v/>
      </c>
      <c r="U97" s="15">
        <f>I97*K97*40%*O97</f>
        <v/>
      </c>
      <c r="V97" s="15">
        <f>IF(P97&gt;=6750,(I97*K97*40%),0)</f>
        <v/>
      </c>
      <c r="W97" s="15">
        <f>IF(P97&lt;6750,0,IF(Q97="",0,IF(OR(Q97="KURANG",Q97="SANGAT KURANG"),I97*K97*10%,I97*K97*20%)))</f>
        <v/>
      </c>
      <c r="X97" s="15">
        <f>SUM(U97:W97)*68%</f>
        <v/>
      </c>
      <c r="Y97" s="15">
        <f>I97*L97</f>
        <v/>
      </c>
      <c r="Z97" s="15">
        <f>Y97 * 68%</f>
        <v/>
      </c>
      <c r="AA97" s="15">
        <f>I97*M97</f>
        <v/>
      </c>
      <c r="AB97" s="15">
        <f>AA97*68%</f>
        <v/>
      </c>
      <c r="AC97" s="16">
        <f>ROUND((T97+X97+Z97+AB97),0)</f>
        <v/>
      </c>
      <c r="AD97" s="16">
        <f>AG97</f>
        <v/>
      </c>
      <c r="AE97" s="16">
        <f>AI97</f>
        <v/>
      </c>
      <c r="AF97" s="16">
        <f>AC97+AD97+AE97</f>
        <v/>
      </c>
      <c r="AG97" s="16" t="n"/>
      <c r="AH97" s="17" t="n"/>
      <c r="AI97" s="17">
        <f>AH97*4</f>
        <v/>
      </c>
      <c r="AJ97" s="15">
        <f>AF97-AG97-AH97-AI97</f>
        <v/>
      </c>
      <c r="AK97" s="18" t="n">
        <v>90</v>
      </c>
      <c r="AL97" s="23" t="n"/>
    </row>
    <row r="98" ht="23.5" customHeight="1">
      <c r="A98" s="6" t="inlineStr">
        <is>
          <t>91</t>
        </is>
      </c>
      <c r="B98" s="24" t="n"/>
      <c r="C98" s="55" t="n"/>
      <c r="D98" s="19" t="n"/>
      <c r="E98" s="24" t="n"/>
      <c r="F98" s="25" t="n"/>
      <c r="G98" s="25" t="n"/>
      <c r="H98" s="25" t="n"/>
      <c r="I98" s="11" t="n"/>
      <c r="J98" s="57" t="n"/>
      <c r="K98" s="12" t="n"/>
      <c r="L98" s="22" t="n"/>
      <c r="M98" s="13" t="n"/>
      <c r="N98" s="14">
        <f>ROUND(I98*(SUM(J98:M98))*68%,0)</f>
        <v/>
      </c>
      <c r="O98" s="61" t="n"/>
      <c r="P98" s="59" t="n"/>
      <c r="Q98" s="59" t="n"/>
      <c r="R98" s="58" t="n"/>
      <c r="S98" s="15">
        <f>I98*J98</f>
        <v/>
      </c>
      <c r="T98" s="15">
        <f>SUM(S98:S98)*68%</f>
        <v/>
      </c>
      <c r="U98" s="15">
        <f>I98*K98*40%*O98</f>
        <v/>
      </c>
      <c r="V98" s="15">
        <f>IF(P98&gt;=6750,(I98*K98*40%),0)</f>
        <v/>
      </c>
      <c r="W98" s="15">
        <f>IF(P98&lt;6750,0,IF(Q98="",0,IF(OR(Q98="KURANG",Q98="SANGAT KURANG"),I98*K98*10%,I98*K98*20%)))</f>
        <v/>
      </c>
      <c r="X98" s="15">
        <f>SUM(U98:W98)*68%</f>
        <v/>
      </c>
      <c r="Y98" s="15">
        <f>I98*L98</f>
        <v/>
      </c>
      <c r="Z98" s="15">
        <f>Y98 * 68%</f>
        <v/>
      </c>
      <c r="AA98" s="15">
        <f>I98*M98</f>
        <v/>
      </c>
      <c r="AB98" s="15">
        <f>AA98*68%</f>
        <v/>
      </c>
      <c r="AC98" s="16">
        <f>ROUND((T98+X98+Z98+AB98),0)</f>
        <v/>
      </c>
      <c r="AD98" s="16">
        <f>AG98</f>
        <v/>
      </c>
      <c r="AE98" s="16">
        <f>AI98</f>
        <v/>
      </c>
      <c r="AF98" s="16">
        <f>AC98+AD98+AE98</f>
        <v/>
      </c>
      <c r="AG98" s="16" t="n"/>
      <c r="AH98" s="17" t="n"/>
      <c r="AI98" s="17">
        <f>AH98*4</f>
        <v/>
      </c>
      <c r="AJ98" s="15">
        <f>AF98-AG98-AH98-AI98</f>
        <v/>
      </c>
      <c r="AK98" s="18" t="n">
        <v>91</v>
      </c>
      <c r="AL98" s="23" t="n"/>
    </row>
    <row r="99" ht="23.5" customHeight="1">
      <c r="A99" s="6" t="inlineStr">
        <is>
          <t>92</t>
        </is>
      </c>
      <c r="B99" s="24" t="n"/>
      <c r="C99" s="55" t="n"/>
      <c r="D99" s="19" t="n"/>
      <c r="E99" s="24" t="n"/>
      <c r="F99" s="25" t="n"/>
      <c r="G99" s="25" t="n"/>
      <c r="H99" s="25" t="n"/>
      <c r="I99" s="11" t="n"/>
      <c r="J99" s="57" t="n"/>
      <c r="K99" s="12" t="n"/>
      <c r="L99" s="22" t="n"/>
      <c r="M99" s="13" t="n"/>
      <c r="N99" s="14">
        <f>ROUND(I99*(SUM(J99:M99))*68%,0)</f>
        <v/>
      </c>
      <c r="O99" s="61" t="n"/>
      <c r="P99" s="59" t="n"/>
      <c r="Q99" s="59" t="n"/>
      <c r="R99" s="58" t="n"/>
      <c r="S99" s="15">
        <f>I99*J99</f>
        <v/>
      </c>
      <c r="T99" s="15">
        <f>SUM(S99:S99)*68%</f>
        <v/>
      </c>
      <c r="U99" s="15">
        <f>I99*K99*40%*O99</f>
        <v/>
      </c>
      <c r="V99" s="15">
        <f>IF(P99&gt;=6750,(I99*K99*40%),0)</f>
        <v/>
      </c>
      <c r="W99" s="15">
        <f>IF(P99&lt;6750,0,IF(Q99="",0,IF(OR(Q99="KURANG",Q99="SANGAT KURANG"),I99*K99*10%,I99*K99*20%)))</f>
        <v/>
      </c>
      <c r="X99" s="15">
        <f>SUM(U99:W99)*68%</f>
        <v/>
      </c>
      <c r="Y99" s="15">
        <f>I99*L99</f>
        <v/>
      </c>
      <c r="Z99" s="15">
        <f>Y99 * 68%</f>
        <v/>
      </c>
      <c r="AA99" s="15">
        <f>I99*M99</f>
        <v/>
      </c>
      <c r="AB99" s="15">
        <f>AA99*68%</f>
        <v/>
      </c>
      <c r="AC99" s="16">
        <f>ROUND((T99+X99+Z99+AB99),0)</f>
        <v/>
      </c>
      <c r="AD99" s="16">
        <f>AG99</f>
        <v/>
      </c>
      <c r="AE99" s="16">
        <f>AI99</f>
        <v/>
      </c>
      <c r="AF99" s="16">
        <f>AC99+AD99+AE99</f>
        <v/>
      </c>
      <c r="AG99" s="16" t="n"/>
      <c r="AH99" s="17" t="n"/>
      <c r="AI99" s="17">
        <f>AH99*4</f>
        <v/>
      </c>
      <c r="AJ99" s="15">
        <f>AF99-AG99-AH99-AI99</f>
        <v/>
      </c>
      <c r="AK99" s="18" t="n">
        <v>92</v>
      </c>
      <c r="AL99" s="23" t="n"/>
    </row>
    <row r="100" ht="23.5" customHeight="1">
      <c r="A100" s="6" t="inlineStr">
        <is>
          <t>93</t>
        </is>
      </c>
      <c r="B100" s="24" t="n"/>
      <c r="C100" s="55" t="n"/>
      <c r="D100" s="19" t="n"/>
      <c r="E100" s="24" t="n"/>
      <c r="F100" s="25" t="n"/>
      <c r="G100" s="25" t="n"/>
      <c r="H100" s="25" t="n"/>
      <c r="I100" s="11" t="n"/>
      <c r="J100" s="57" t="n"/>
      <c r="K100" s="12" t="n"/>
      <c r="L100" s="22" t="n"/>
      <c r="M100" s="13" t="n"/>
      <c r="N100" s="14">
        <f>ROUND(I100*(SUM(J100:M100))*68%,0)</f>
        <v/>
      </c>
      <c r="O100" s="61" t="n"/>
      <c r="P100" s="59" t="n"/>
      <c r="Q100" s="59" t="n"/>
      <c r="R100" s="58" t="n"/>
      <c r="S100" s="15">
        <f>I100*J100</f>
        <v/>
      </c>
      <c r="T100" s="15">
        <f>SUM(S100:S100)*68%</f>
        <v/>
      </c>
      <c r="U100" s="15">
        <f>I100*K100*40%*O100</f>
        <v/>
      </c>
      <c r="V100" s="15">
        <f>IF(P100&gt;=6750,(I100*K100*40%),0)</f>
        <v/>
      </c>
      <c r="W100" s="15">
        <f>IF(P100&lt;6750,0,IF(Q100="",0,IF(OR(Q100="KURANG",Q100="SANGAT KURANG"),I100*K100*10%,I100*K100*20%)))</f>
        <v/>
      </c>
      <c r="X100" s="15">
        <f>SUM(U100:W100)*68%</f>
        <v/>
      </c>
      <c r="Y100" s="15">
        <f>I100*L100</f>
        <v/>
      </c>
      <c r="Z100" s="15">
        <f>Y100 * 68%</f>
        <v/>
      </c>
      <c r="AA100" s="15">
        <f>I100*M100</f>
        <v/>
      </c>
      <c r="AB100" s="15">
        <f>AA100*68%</f>
        <v/>
      </c>
      <c r="AC100" s="16">
        <f>ROUND((T100+X100+Z100+AB100),0)</f>
        <v/>
      </c>
      <c r="AD100" s="16">
        <f>AG100</f>
        <v/>
      </c>
      <c r="AE100" s="16">
        <f>AI100</f>
        <v/>
      </c>
      <c r="AF100" s="16">
        <f>AC100+AD100+AE100</f>
        <v/>
      </c>
      <c r="AG100" s="16" t="n"/>
      <c r="AH100" s="17" t="n"/>
      <c r="AI100" s="17">
        <f>AH100*4</f>
        <v/>
      </c>
      <c r="AJ100" s="15">
        <f>AF100-AG100-AH100-AI100</f>
        <v/>
      </c>
      <c r="AK100" s="18" t="n">
        <v>93</v>
      </c>
      <c r="AL100" s="23" t="n"/>
    </row>
    <row r="101" ht="23.5" customHeight="1">
      <c r="A101" s="6" t="inlineStr">
        <is>
          <t>94</t>
        </is>
      </c>
      <c r="B101" s="24" t="n"/>
      <c r="C101" s="55" t="n"/>
      <c r="D101" s="19" t="n"/>
      <c r="E101" s="24" t="n"/>
      <c r="F101" s="25" t="n"/>
      <c r="G101" s="25" t="n"/>
      <c r="H101" s="25" t="n"/>
      <c r="I101" s="11" t="n"/>
      <c r="J101" s="57" t="n"/>
      <c r="K101" s="12" t="n"/>
      <c r="L101" s="22" t="n"/>
      <c r="M101" s="13" t="n"/>
      <c r="N101" s="14">
        <f>ROUND(I101*(SUM(J101:M101))*68%,0)</f>
        <v/>
      </c>
      <c r="O101" s="61" t="n"/>
      <c r="P101" s="59" t="n"/>
      <c r="Q101" s="59" t="n"/>
      <c r="R101" s="58" t="n"/>
      <c r="S101" s="15">
        <f>I101*J101</f>
        <v/>
      </c>
      <c r="T101" s="15">
        <f>SUM(S101:S101)*68%</f>
        <v/>
      </c>
      <c r="U101" s="15">
        <f>I101*K101*40%*O101</f>
        <v/>
      </c>
      <c r="V101" s="15">
        <f>IF(P101&gt;=6750,(I101*K101*40%),0)</f>
        <v/>
      </c>
      <c r="W101" s="15">
        <f>IF(P101&lt;6750,0,IF(Q101="",0,IF(OR(Q101="KURANG",Q101="SANGAT KURANG"),I101*K101*10%,I101*K101*20%)))</f>
        <v/>
      </c>
      <c r="X101" s="15">
        <f>SUM(U101:W101)*68%</f>
        <v/>
      </c>
      <c r="Y101" s="15">
        <f>I101*L101</f>
        <v/>
      </c>
      <c r="Z101" s="15">
        <f>Y101 * 68%</f>
        <v/>
      </c>
      <c r="AA101" s="15">
        <f>I101*M101</f>
        <v/>
      </c>
      <c r="AB101" s="15">
        <f>AA101*68%</f>
        <v/>
      </c>
      <c r="AC101" s="16">
        <f>ROUND((T101+X101+Z101+AB101),0)</f>
        <v/>
      </c>
      <c r="AD101" s="16">
        <f>AG101</f>
        <v/>
      </c>
      <c r="AE101" s="16">
        <f>AI101</f>
        <v/>
      </c>
      <c r="AF101" s="16">
        <f>AC101+AD101+AE101</f>
        <v/>
      </c>
      <c r="AG101" s="16" t="n"/>
      <c r="AH101" s="17" t="n"/>
      <c r="AI101" s="17">
        <f>AH101*4</f>
        <v/>
      </c>
      <c r="AJ101" s="15">
        <f>AF101-AG101-AH101-AI101</f>
        <v/>
      </c>
      <c r="AK101" s="18" t="n">
        <v>94</v>
      </c>
      <c r="AL101" s="23" t="n"/>
    </row>
    <row r="102" ht="23.5" customHeight="1">
      <c r="A102" s="6" t="inlineStr">
        <is>
          <t>95</t>
        </is>
      </c>
      <c r="B102" s="24" t="n"/>
      <c r="C102" s="55" t="n"/>
      <c r="D102" s="19" t="n"/>
      <c r="E102" s="24" t="n"/>
      <c r="F102" s="25" t="n"/>
      <c r="G102" s="10" t="n"/>
      <c r="H102" s="8" t="n"/>
      <c r="I102" s="11" t="n"/>
      <c r="J102" s="57" t="n"/>
      <c r="K102" s="12" t="n"/>
      <c r="L102" s="13" t="n"/>
      <c r="M102" s="13" t="n"/>
      <c r="N102" s="14">
        <f>ROUND(I102*(SUM(J102:M102))*68%,0)</f>
        <v/>
      </c>
      <c r="O102" s="61" t="n"/>
      <c r="P102" s="59" t="n"/>
      <c r="Q102" s="59" t="n"/>
      <c r="R102" s="58" t="n"/>
      <c r="S102" s="15">
        <f>I102*J102</f>
        <v/>
      </c>
      <c r="T102" s="15">
        <f>SUM(S102:S102)*68%</f>
        <v/>
      </c>
      <c r="U102" s="15">
        <f>I102*K102*40%*O102</f>
        <v/>
      </c>
      <c r="V102" s="15">
        <f>IF(P102&gt;=6750,(I102*K102*40%),0)</f>
        <v/>
      </c>
      <c r="W102" s="15">
        <f>IF(P102&lt;6750,0,IF(Q102="",0,IF(OR(Q102="KURANG",Q102="SANGAT KURANG"),I102*K102*10%,I102*K102*20%)))</f>
        <v/>
      </c>
      <c r="X102" s="15">
        <f>SUM(U102:W102)*68%</f>
        <v/>
      </c>
      <c r="Y102" s="15">
        <f>I102*L102</f>
        <v/>
      </c>
      <c r="Z102" s="15">
        <f>Y102 * 68%</f>
        <v/>
      </c>
      <c r="AA102" s="15">
        <f>I102*M102</f>
        <v/>
      </c>
      <c r="AB102" s="15">
        <f>AA102*68%</f>
        <v/>
      </c>
      <c r="AC102" s="16">
        <f>ROUND((T102+X102+Z102+AB102),0)</f>
        <v/>
      </c>
      <c r="AD102" s="16">
        <f>AG102</f>
        <v/>
      </c>
      <c r="AE102" s="16">
        <f>AI102</f>
        <v/>
      </c>
      <c r="AF102" s="16">
        <f>AC102+AD102+AE102</f>
        <v/>
      </c>
      <c r="AG102" s="16" t="n"/>
      <c r="AH102" s="17" t="n"/>
      <c r="AI102" s="17">
        <f>AH102*4</f>
        <v/>
      </c>
      <c r="AJ102" s="15">
        <f>AF102-AG102-AH102-AI102</f>
        <v/>
      </c>
      <c r="AK102" s="18" t="n">
        <v>95</v>
      </c>
      <c r="AL102" s="40" t="n"/>
    </row>
    <row r="103" ht="23.5" customHeight="1">
      <c r="A103" s="6" t="inlineStr">
        <is>
          <t>96</t>
        </is>
      </c>
      <c r="B103" s="24" t="n"/>
      <c r="C103" s="55" t="n"/>
      <c r="D103" s="19" t="n"/>
      <c r="E103" s="24" t="n"/>
      <c r="F103" s="25" t="n"/>
      <c r="G103" s="10" t="n"/>
      <c r="H103" s="8" t="n"/>
      <c r="I103" s="11" t="n"/>
      <c r="J103" s="57" t="n"/>
      <c r="K103" s="12" t="n"/>
      <c r="L103" s="22" t="n"/>
      <c r="M103" s="13" t="n"/>
      <c r="N103" s="14">
        <f>ROUND(I103*(SUM(J103:M103))*68%,0)</f>
        <v/>
      </c>
      <c r="O103" s="61" t="n"/>
      <c r="P103" s="59" t="n"/>
      <c r="Q103" s="59" t="n"/>
      <c r="R103" s="58" t="n"/>
      <c r="S103" s="15">
        <f>I103*J103</f>
        <v/>
      </c>
      <c r="T103" s="15">
        <f>SUM(S103:S103)*68%</f>
        <v/>
      </c>
      <c r="U103" s="15">
        <f>I103*K103*40%*O103</f>
        <v/>
      </c>
      <c r="V103" s="15">
        <f>IF(P103&gt;=6750,(I103*K103*40%),0)</f>
        <v/>
      </c>
      <c r="W103" s="15">
        <f>IF(P103&lt;6750,0,IF(Q103="",0,IF(OR(Q103="KURANG",Q103="SANGAT KURANG"),I103*K103*10%,I103*K103*20%)))</f>
        <v/>
      </c>
      <c r="X103" s="15">
        <f>SUM(U103:W103)*68%</f>
        <v/>
      </c>
      <c r="Y103" s="15">
        <f>I103*L103</f>
        <v/>
      </c>
      <c r="Z103" s="15">
        <f>Y103 * 68%</f>
        <v/>
      </c>
      <c r="AA103" s="15">
        <f>I103*M103</f>
        <v/>
      </c>
      <c r="AB103" s="15">
        <f>AA103*68%</f>
        <v/>
      </c>
      <c r="AC103" s="16">
        <f>ROUND((T103+X103+Z103+AB103),0)</f>
        <v/>
      </c>
      <c r="AD103" s="16">
        <f>AG103</f>
        <v/>
      </c>
      <c r="AE103" s="16">
        <f>AI103</f>
        <v/>
      </c>
      <c r="AF103" s="16">
        <f>AC103+AD103+AE103</f>
        <v/>
      </c>
      <c r="AG103" s="16" t="n"/>
      <c r="AH103" s="17" t="n"/>
      <c r="AI103" s="17">
        <f>AH103*4</f>
        <v/>
      </c>
      <c r="AJ103" s="15">
        <f>AF103-AG103-AH103-AI103</f>
        <v/>
      </c>
      <c r="AK103" s="18" t="n">
        <v>96</v>
      </c>
      <c r="AL103" s="23" t="n"/>
    </row>
    <row r="104" ht="23.5" customHeight="1">
      <c r="A104" s="6" t="inlineStr">
        <is>
          <t>97</t>
        </is>
      </c>
      <c r="B104" s="28" t="n"/>
      <c r="C104" s="55" t="n"/>
      <c r="D104" s="19" t="n"/>
      <c r="E104" s="24" t="n"/>
      <c r="F104" s="25" t="n"/>
      <c r="G104" s="10" t="n"/>
      <c r="H104" s="8" t="n"/>
      <c r="I104" s="11" t="n"/>
      <c r="J104" s="57" t="n"/>
      <c r="K104" s="12" t="n"/>
      <c r="L104" s="22" t="n"/>
      <c r="M104" s="13" t="n"/>
      <c r="N104" s="14">
        <f>ROUND(I104*(SUM(J104:M104))*68%,0)</f>
        <v/>
      </c>
      <c r="O104" s="61" t="n"/>
      <c r="P104" s="59" t="n"/>
      <c r="Q104" s="59" t="n"/>
      <c r="R104" s="58" t="n"/>
      <c r="S104" s="15">
        <f>I104*J104</f>
        <v/>
      </c>
      <c r="T104" s="15">
        <f>SUM(S104:S104)*68%</f>
        <v/>
      </c>
      <c r="U104" s="15">
        <f>I104*K104*40%*O104</f>
        <v/>
      </c>
      <c r="V104" s="15">
        <f>IF(P104&gt;=6750,(I104*K104*40%),0)</f>
        <v/>
      </c>
      <c r="W104" s="15">
        <f>IF(P104&lt;6750,0,IF(Q104="",0,IF(OR(Q104="KURANG",Q104="SANGAT KURANG"),I104*K104*10%,I104*K104*20%)))</f>
        <v/>
      </c>
      <c r="X104" s="15">
        <f>SUM(U104:W104)*68%</f>
        <v/>
      </c>
      <c r="Y104" s="15">
        <f>I104*L104</f>
        <v/>
      </c>
      <c r="Z104" s="15">
        <f>Y104 * 68%</f>
        <v/>
      </c>
      <c r="AA104" s="15">
        <f>I104*M104</f>
        <v/>
      </c>
      <c r="AB104" s="15">
        <f>AA104*68%</f>
        <v/>
      </c>
      <c r="AC104" s="16">
        <f>ROUND((T104+X104+Z104+AB104),0)</f>
        <v/>
      </c>
      <c r="AD104" s="16">
        <f>AG104</f>
        <v/>
      </c>
      <c r="AE104" s="16">
        <f>AI104</f>
        <v/>
      </c>
      <c r="AF104" s="16">
        <f>AC104+AD104+AE104</f>
        <v/>
      </c>
      <c r="AG104" s="16" t="n"/>
      <c r="AH104" s="17" t="n"/>
      <c r="AI104" s="17">
        <f>AH104*4</f>
        <v/>
      </c>
      <c r="AJ104" s="15">
        <f>AF104-AG104-AH104-AI104</f>
        <v/>
      </c>
      <c r="AK104" s="18" t="n">
        <v>97</v>
      </c>
      <c r="AL104" s="40" t="n"/>
    </row>
    <row r="105" ht="23.5" customHeight="1">
      <c r="A105" s="6" t="inlineStr">
        <is>
          <t>98</t>
        </is>
      </c>
      <c r="B105" s="24" t="n"/>
      <c r="C105" s="55" t="n"/>
      <c r="D105" s="19" t="n"/>
      <c r="E105" s="24" t="n"/>
      <c r="F105" s="25" t="n"/>
      <c r="G105" s="10" t="n"/>
      <c r="H105" s="8" t="n"/>
      <c r="I105" s="11" t="n"/>
      <c r="J105" s="57" t="n"/>
      <c r="K105" s="12" t="n"/>
      <c r="L105" s="22" t="n"/>
      <c r="M105" s="13" t="n"/>
      <c r="N105" s="14">
        <f>ROUND(I105*(SUM(J105:M105))*68%,0)</f>
        <v/>
      </c>
      <c r="O105" s="61" t="n"/>
      <c r="P105" s="59" t="n"/>
      <c r="Q105" s="59" t="n"/>
      <c r="R105" s="58" t="n"/>
      <c r="S105" s="15">
        <f>I105*J105</f>
        <v/>
      </c>
      <c r="T105" s="15">
        <f>SUM(S105:S105)*68%</f>
        <v/>
      </c>
      <c r="U105" s="15">
        <f>I105*K105*40%*O105</f>
        <v/>
      </c>
      <c r="V105" s="15">
        <f>IF(P105&gt;=6750,(I105*K105*40%),0)</f>
        <v/>
      </c>
      <c r="W105" s="15">
        <f>IF(P105&lt;6750,0,IF(Q105="",0,IF(OR(Q105="KURANG",Q105="SANGAT KURANG"),I105*K105*10%,I105*K105*20%)))</f>
        <v/>
      </c>
      <c r="X105" s="15">
        <f>SUM(U105:W105)*68%</f>
        <v/>
      </c>
      <c r="Y105" s="15">
        <f>I105*L105</f>
        <v/>
      </c>
      <c r="Z105" s="15">
        <f>Y105 * 68%</f>
        <v/>
      </c>
      <c r="AA105" s="15">
        <f>I105*M105</f>
        <v/>
      </c>
      <c r="AB105" s="15">
        <f>AA105*68%</f>
        <v/>
      </c>
      <c r="AC105" s="16">
        <f>ROUND((T105+X105+Z105+AB105),0)</f>
        <v/>
      </c>
      <c r="AD105" s="16">
        <f>AG105</f>
        <v/>
      </c>
      <c r="AE105" s="16">
        <f>AI105</f>
        <v/>
      </c>
      <c r="AF105" s="16">
        <f>AC105+AD105+AE105</f>
        <v/>
      </c>
      <c r="AG105" s="16" t="n"/>
      <c r="AH105" s="17" t="n"/>
      <c r="AI105" s="17">
        <f>AH105*4</f>
        <v/>
      </c>
      <c r="AJ105" s="15">
        <f>AF105-AG105-AH105-AI105</f>
        <v/>
      </c>
      <c r="AK105" s="18" t="n">
        <v>98</v>
      </c>
      <c r="AL105" s="23" t="n"/>
    </row>
    <row r="106" ht="23.5" customHeight="1">
      <c r="A106" s="6" t="inlineStr">
        <is>
          <t>99</t>
        </is>
      </c>
      <c r="B106" s="24" t="n"/>
      <c r="C106" s="55" t="n"/>
      <c r="D106" s="19" t="n"/>
      <c r="E106" s="24" t="n"/>
      <c r="F106" s="25" t="n"/>
      <c r="G106" s="10" t="n"/>
      <c r="H106" s="8" t="n"/>
      <c r="I106" s="11" t="n"/>
      <c r="J106" s="57" t="n"/>
      <c r="K106" s="12" t="n"/>
      <c r="L106" s="22" t="n"/>
      <c r="M106" s="13" t="n"/>
      <c r="N106" s="14">
        <f>ROUND(I106*(SUM(J106:M106))*68%,0)</f>
        <v/>
      </c>
      <c r="O106" s="61" t="n"/>
      <c r="P106" s="59" t="n"/>
      <c r="Q106" s="59" t="n"/>
      <c r="R106" s="58" t="n"/>
      <c r="S106" s="15">
        <f>I106*J106</f>
        <v/>
      </c>
      <c r="T106" s="15">
        <f>SUM(S106:S106)*68%</f>
        <v/>
      </c>
      <c r="U106" s="15">
        <f>I106*K106*40%*O106</f>
        <v/>
      </c>
      <c r="V106" s="15">
        <f>IF(P106&gt;=6750,(I106*K106*40%),0)</f>
        <v/>
      </c>
      <c r="W106" s="15">
        <f>IF(P106&lt;6750,0,IF(Q106="",0,IF(OR(Q106="KURANG",Q106="SANGAT KURANG"),I106*K106*10%,I106*K106*20%)))</f>
        <v/>
      </c>
      <c r="X106" s="15">
        <f>SUM(U106:W106)*68%</f>
        <v/>
      </c>
      <c r="Y106" s="15">
        <f>I106*L106</f>
        <v/>
      </c>
      <c r="Z106" s="15">
        <f>Y106 * 68%</f>
        <v/>
      </c>
      <c r="AA106" s="15">
        <f>I106*M106</f>
        <v/>
      </c>
      <c r="AB106" s="15">
        <f>AA106*68%</f>
        <v/>
      </c>
      <c r="AC106" s="16">
        <f>ROUND((T106+X106+Z106+AB106),0)</f>
        <v/>
      </c>
      <c r="AD106" s="16">
        <f>AG106</f>
        <v/>
      </c>
      <c r="AE106" s="16">
        <f>AI106</f>
        <v/>
      </c>
      <c r="AF106" s="16">
        <f>AC106+AD106+AE106</f>
        <v/>
      </c>
      <c r="AG106" s="16" t="n"/>
      <c r="AH106" s="17" t="n"/>
      <c r="AI106" s="17">
        <f>AH106*4</f>
        <v/>
      </c>
      <c r="AJ106" s="15">
        <f>AF106-AG106-AH106-AI106</f>
        <v/>
      </c>
      <c r="AK106" s="18" t="n">
        <v>99</v>
      </c>
      <c r="AL106" s="23" t="n"/>
    </row>
    <row r="107" ht="23.5" customHeight="1">
      <c r="A107" s="6" t="inlineStr">
        <is>
          <t>100</t>
        </is>
      </c>
      <c r="B107" s="24" t="n"/>
      <c r="C107" s="55" t="n"/>
      <c r="D107" s="19" t="n"/>
      <c r="E107" s="24" t="n"/>
      <c r="F107" s="25" t="n"/>
      <c r="G107" s="10" t="n"/>
      <c r="H107" s="8" t="n"/>
      <c r="I107" s="11" t="n"/>
      <c r="J107" s="57" t="n"/>
      <c r="K107" s="12" t="n"/>
      <c r="L107" s="22" t="n"/>
      <c r="M107" s="13" t="n"/>
      <c r="N107" s="14">
        <f>ROUND(I107*(SUM(J107:M107))*68%,0)</f>
        <v/>
      </c>
      <c r="O107" s="61" t="n"/>
      <c r="P107" s="59" t="n"/>
      <c r="Q107" s="59" t="n"/>
      <c r="R107" s="58" t="n"/>
      <c r="S107" s="15">
        <f>I107*J107</f>
        <v/>
      </c>
      <c r="T107" s="15">
        <f>SUM(S107:S107)*68%</f>
        <v/>
      </c>
      <c r="U107" s="15">
        <f>I107*K107*40%*O107</f>
        <v/>
      </c>
      <c r="V107" s="15">
        <f>IF(P107&gt;=6750,(I107*K107*40%),0)</f>
        <v/>
      </c>
      <c r="W107" s="15">
        <f>IF(P107&lt;6750,0,IF(Q107="",0,IF(OR(Q107="KURANG",Q107="SANGAT KURANG"),I107*K107*10%,I107*K107*20%)))</f>
        <v/>
      </c>
      <c r="X107" s="15">
        <f>SUM(U107:W107)*68%</f>
        <v/>
      </c>
      <c r="Y107" s="15">
        <f>I107*L107</f>
        <v/>
      </c>
      <c r="Z107" s="15">
        <f>Y107 * 68%</f>
        <v/>
      </c>
      <c r="AA107" s="15">
        <f>I107*M107</f>
        <v/>
      </c>
      <c r="AB107" s="15">
        <f>AA107*68%</f>
        <v/>
      </c>
      <c r="AC107" s="16">
        <f>ROUND((T107+X107+Z107+AB107),0)</f>
        <v/>
      </c>
      <c r="AD107" s="16">
        <f>AG107</f>
        <v/>
      </c>
      <c r="AE107" s="16">
        <f>AI107</f>
        <v/>
      </c>
      <c r="AF107" s="16">
        <f>AC107+AD107+AE107</f>
        <v/>
      </c>
      <c r="AG107" s="16" t="n"/>
      <c r="AH107" s="17" t="n"/>
      <c r="AI107" s="17">
        <f>AH107*4</f>
        <v/>
      </c>
      <c r="AJ107" s="15">
        <f>AF107-AG107-AH107-AI107</f>
        <v/>
      </c>
      <c r="AK107" s="18" t="n">
        <v>100</v>
      </c>
      <c r="AL107" s="23" t="n"/>
    </row>
    <row r="108" ht="23.5" customHeight="1">
      <c r="A108" s="6" t="inlineStr">
        <is>
          <t>101</t>
        </is>
      </c>
      <c r="B108" s="24" t="n"/>
      <c r="C108" s="55" t="n"/>
      <c r="D108" s="19" t="n"/>
      <c r="E108" s="24" t="n"/>
      <c r="F108" s="25" t="n"/>
      <c r="G108" s="10" t="n"/>
      <c r="H108" s="8" t="n"/>
      <c r="I108" s="11" t="n"/>
      <c r="J108" s="57" t="n"/>
      <c r="K108" s="12" t="n"/>
      <c r="L108" s="22" t="n"/>
      <c r="M108" s="13" t="n"/>
      <c r="N108" s="14">
        <f>ROUND(I108*(SUM(J108:M108))*68%,0)</f>
        <v/>
      </c>
      <c r="O108" s="61" t="n"/>
      <c r="P108" s="59" t="n"/>
      <c r="Q108" s="59" t="n"/>
      <c r="R108" s="58" t="n"/>
      <c r="S108" s="15">
        <f>I108*J108</f>
        <v/>
      </c>
      <c r="T108" s="15">
        <f>SUM(S108:S108)*68%</f>
        <v/>
      </c>
      <c r="U108" s="15">
        <f>I108*K108*40%*O108</f>
        <v/>
      </c>
      <c r="V108" s="15">
        <f>IF(P108&gt;=6750,(I108*K108*40%),0)</f>
        <v/>
      </c>
      <c r="W108" s="15">
        <f>IF(P108&lt;6750,0,IF(Q108="",0,IF(OR(Q108="KURANG",Q108="SANGAT KURANG"),I108*K108*10%,I108*K108*20%)))</f>
        <v/>
      </c>
      <c r="X108" s="15">
        <f>SUM(U108:W108)*68%</f>
        <v/>
      </c>
      <c r="Y108" s="15">
        <f>I108*L108</f>
        <v/>
      </c>
      <c r="Z108" s="15">
        <f>Y108 * 68%</f>
        <v/>
      </c>
      <c r="AA108" s="15">
        <f>I108*M108</f>
        <v/>
      </c>
      <c r="AB108" s="15">
        <f>AA108*68%</f>
        <v/>
      </c>
      <c r="AC108" s="16">
        <f>ROUND((T108+X108+Z108+AB108),0)</f>
        <v/>
      </c>
      <c r="AD108" s="16">
        <f>AG108</f>
        <v/>
      </c>
      <c r="AE108" s="16">
        <f>AI108</f>
        <v/>
      </c>
      <c r="AF108" s="16">
        <f>AC108+AD108+AE108</f>
        <v/>
      </c>
      <c r="AG108" s="16" t="n"/>
      <c r="AH108" s="17" t="n"/>
      <c r="AI108" s="17">
        <f>AH108*4</f>
        <v/>
      </c>
      <c r="AJ108" s="15">
        <f>AF108-AG108-AH108-AI108</f>
        <v/>
      </c>
      <c r="AK108" s="18" t="n">
        <v>101</v>
      </c>
      <c r="AL108" s="23" t="n"/>
    </row>
    <row r="109" ht="23.5" customHeight="1">
      <c r="A109" s="6" t="inlineStr">
        <is>
          <t>102</t>
        </is>
      </c>
      <c r="B109" s="24" t="n"/>
      <c r="C109" s="55" t="n"/>
      <c r="D109" s="19" t="n"/>
      <c r="E109" s="24" t="n"/>
      <c r="F109" s="25" t="n"/>
      <c r="G109" s="10" t="n"/>
      <c r="H109" s="8" t="n"/>
      <c r="I109" s="11" t="n"/>
      <c r="J109" s="57" t="n"/>
      <c r="K109" s="12" t="n"/>
      <c r="L109" s="22" t="n"/>
      <c r="M109" s="13" t="n"/>
      <c r="N109" s="14">
        <f>ROUND(I109*(SUM(J109:M109))*68%,0)</f>
        <v/>
      </c>
      <c r="O109" s="61" t="n"/>
      <c r="P109" s="59" t="n"/>
      <c r="Q109" s="59" t="n"/>
      <c r="R109" s="58" t="n"/>
      <c r="S109" s="15">
        <f>I109*J109</f>
        <v/>
      </c>
      <c r="T109" s="15">
        <f>SUM(S109:S109)*68%</f>
        <v/>
      </c>
      <c r="U109" s="15">
        <f>I109*K109*40%*O109</f>
        <v/>
      </c>
      <c r="V109" s="15">
        <f>IF(P109&gt;=6750,(I109*K109*40%),0)</f>
        <v/>
      </c>
      <c r="W109" s="15">
        <f>IF(P109&lt;6750,0,IF(Q109="",0,IF(OR(Q109="KURANG",Q109="SANGAT KURANG"),I109*K109*10%,I109*K109*20%)))</f>
        <v/>
      </c>
      <c r="X109" s="15">
        <f>SUM(U109:W109)*68%</f>
        <v/>
      </c>
      <c r="Y109" s="15">
        <f>I109*L109</f>
        <v/>
      </c>
      <c r="Z109" s="15">
        <f>Y109 * 68%</f>
        <v/>
      </c>
      <c r="AA109" s="15">
        <f>I109*M109</f>
        <v/>
      </c>
      <c r="AB109" s="15">
        <f>AA109*68%</f>
        <v/>
      </c>
      <c r="AC109" s="16">
        <f>ROUND((T109+X109+Z109+AB109),0)</f>
        <v/>
      </c>
      <c r="AD109" s="16">
        <f>AG109</f>
        <v/>
      </c>
      <c r="AE109" s="16">
        <f>AI109</f>
        <v/>
      </c>
      <c r="AF109" s="16">
        <f>AC109+AD109+AE109</f>
        <v/>
      </c>
      <c r="AG109" s="16" t="n"/>
      <c r="AH109" s="17" t="n"/>
      <c r="AI109" s="17">
        <f>AH109*4</f>
        <v/>
      </c>
      <c r="AJ109" s="15">
        <f>AF109-AG109-AH109-AI109</f>
        <v/>
      </c>
      <c r="AK109" s="18" t="n">
        <v>102</v>
      </c>
      <c r="AL109" s="23" t="n"/>
    </row>
    <row r="110" ht="23.5" customHeight="1">
      <c r="A110" s="6" t="inlineStr">
        <is>
          <t>103</t>
        </is>
      </c>
      <c r="B110" s="28" t="n"/>
      <c r="C110" s="55" t="n"/>
      <c r="D110" s="19" t="n"/>
      <c r="E110" s="24" t="n"/>
      <c r="F110" s="25" t="n"/>
      <c r="G110" s="10" t="n"/>
      <c r="H110" s="8" t="n"/>
      <c r="I110" s="11" t="n"/>
      <c r="J110" s="57" t="n"/>
      <c r="K110" s="12" t="n"/>
      <c r="L110" s="22" t="n"/>
      <c r="M110" s="13" t="n"/>
      <c r="N110" s="14">
        <f>ROUND(I110*(SUM(J110:M110))*68%,0)</f>
        <v/>
      </c>
      <c r="O110" s="61" t="n"/>
      <c r="P110" s="59" t="n"/>
      <c r="Q110" s="59" t="n"/>
      <c r="R110" s="58" t="n"/>
      <c r="S110" s="15">
        <f>I110*J110</f>
        <v/>
      </c>
      <c r="T110" s="15">
        <f>SUM(S110:S110)*68%</f>
        <v/>
      </c>
      <c r="U110" s="15">
        <f>I110*K110*40%*O110</f>
        <v/>
      </c>
      <c r="V110" s="15">
        <f>IF(P110&gt;=6750,(I110*K110*40%),0)</f>
        <v/>
      </c>
      <c r="W110" s="15">
        <f>IF(P110&lt;6750,0,IF(Q110="",0,IF(OR(Q110="KURANG",Q110="SANGAT KURANG"),I110*K110*10%,I110*K110*20%)))</f>
        <v/>
      </c>
      <c r="X110" s="15">
        <f>SUM(U110:W110)*68%</f>
        <v/>
      </c>
      <c r="Y110" s="15">
        <f>I110*L110</f>
        <v/>
      </c>
      <c r="Z110" s="15">
        <f>Y110 * 68%</f>
        <v/>
      </c>
      <c r="AA110" s="15">
        <f>I110*M110</f>
        <v/>
      </c>
      <c r="AB110" s="15">
        <f>AA110*68%</f>
        <v/>
      </c>
      <c r="AC110" s="16">
        <f>ROUND((T110+X110+Z110+AB110),0)</f>
        <v/>
      </c>
      <c r="AD110" s="16">
        <f>AG110</f>
        <v/>
      </c>
      <c r="AE110" s="16">
        <f>AI110</f>
        <v/>
      </c>
      <c r="AF110" s="16">
        <f>AC110+AD110+AE110</f>
        <v/>
      </c>
      <c r="AG110" s="16" t="n"/>
      <c r="AH110" s="17" t="n"/>
      <c r="AI110" s="17">
        <f>AH110*4</f>
        <v/>
      </c>
      <c r="AJ110" s="15">
        <f>AF110-AG110-AH110-AI110</f>
        <v/>
      </c>
      <c r="AK110" s="18" t="n">
        <v>103</v>
      </c>
      <c r="AL110" s="23" t="n"/>
    </row>
    <row r="111" ht="23.5" customHeight="1">
      <c r="A111" s="6" t="inlineStr">
        <is>
          <t>104</t>
        </is>
      </c>
      <c r="B111" s="30" t="n"/>
      <c r="C111" s="55" t="n"/>
      <c r="D111" s="29" t="n"/>
      <c r="E111" s="30" t="n"/>
      <c r="F111" s="31" t="n"/>
      <c r="G111" s="32" t="n"/>
      <c r="H111" s="33" t="n"/>
      <c r="I111" s="11" t="n"/>
      <c r="J111" s="57" t="n"/>
      <c r="K111" s="12" t="n"/>
      <c r="L111" s="22" t="n"/>
      <c r="M111" s="13" t="n"/>
      <c r="N111" s="14">
        <f>ROUND(I111*(SUM(J111:M111))*68%,0)</f>
        <v/>
      </c>
      <c r="O111" s="61" t="n"/>
      <c r="P111" s="59" t="n"/>
      <c r="Q111" s="59" t="n"/>
      <c r="R111" s="58" t="n"/>
      <c r="S111" s="15">
        <f>I111*J111</f>
        <v/>
      </c>
      <c r="T111" s="15">
        <f>SUM(S111:S111)*68%</f>
        <v/>
      </c>
      <c r="U111" s="15">
        <f>I111*K111*40%*O111</f>
        <v/>
      </c>
      <c r="V111" s="15">
        <f>IF(P111&gt;=6750,(I111*K111*40%),0)</f>
        <v/>
      </c>
      <c r="W111" s="15">
        <f>IF(P111&lt;6750,0,IF(Q111="",0,IF(OR(Q111="KURANG",Q111="SANGAT KURANG"),I111*K111*10%,I111*K111*20%)))</f>
        <v/>
      </c>
      <c r="X111" s="15">
        <f>SUM(U111:W111)*68%</f>
        <v/>
      </c>
      <c r="Y111" s="15">
        <f>I111*L111</f>
        <v/>
      </c>
      <c r="Z111" s="15">
        <f>Y111 * 68%</f>
        <v/>
      </c>
      <c r="AA111" s="15">
        <f>I111*M111</f>
        <v/>
      </c>
      <c r="AB111" s="15">
        <f>AA111*68%</f>
        <v/>
      </c>
      <c r="AC111" s="16">
        <f>ROUND((T111+X111+Z111+AB111),0)</f>
        <v/>
      </c>
      <c r="AD111" s="16">
        <f>AG111</f>
        <v/>
      </c>
      <c r="AE111" s="16">
        <f>AI111</f>
        <v/>
      </c>
      <c r="AF111" s="16">
        <f>AC111+AD111+AE111</f>
        <v/>
      </c>
      <c r="AG111" s="16" t="n"/>
      <c r="AH111" s="17" t="n"/>
      <c r="AI111" s="17">
        <f>AH111*4</f>
        <v/>
      </c>
      <c r="AJ111" s="15">
        <f>AF111-AG111-AH111-AI111</f>
        <v/>
      </c>
      <c r="AK111" s="18" t="n">
        <v>104</v>
      </c>
      <c r="AL111" s="40" t="n"/>
    </row>
    <row r="112" ht="23.5" customHeight="1">
      <c r="A112" s="6" t="inlineStr">
        <is>
          <t>105</t>
        </is>
      </c>
      <c r="B112" s="24" t="n"/>
      <c r="C112" s="55" t="n"/>
      <c r="D112" s="19" t="n"/>
      <c r="E112" s="24" t="n"/>
      <c r="F112" s="25" t="n"/>
      <c r="G112" s="25" t="n"/>
      <c r="H112" s="24" t="n"/>
      <c r="I112" s="11" t="n"/>
      <c r="J112" s="57" t="n"/>
      <c r="K112" s="12" t="n"/>
      <c r="L112" s="22" t="n"/>
      <c r="M112" s="13" t="n"/>
      <c r="N112" s="14">
        <f>ROUND(I112*(SUM(J112:M112))*68%,0)</f>
        <v/>
      </c>
      <c r="O112" s="61" t="n"/>
      <c r="P112" s="59" t="n"/>
      <c r="Q112" s="59" t="n"/>
      <c r="R112" s="58" t="n"/>
      <c r="S112" s="15">
        <f>I112*J112</f>
        <v/>
      </c>
      <c r="T112" s="15">
        <f>SUM(S112:S112)*68%</f>
        <v/>
      </c>
      <c r="U112" s="15">
        <f>I112*K112*40%*O112</f>
        <v/>
      </c>
      <c r="V112" s="15">
        <f>IF(P112&gt;=6750,(I112*K112*40%),0)</f>
        <v/>
      </c>
      <c r="W112" s="15">
        <f>IF(P112&lt;6750,0,IF(Q112="",0,IF(OR(Q112="KURANG",Q112="SANGAT KURANG"),I112*K112*10%,I112*K112*20%)))</f>
        <v/>
      </c>
      <c r="X112" s="15">
        <f>SUM(U112:W112)*68%</f>
        <v/>
      </c>
      <c r="Y112" s="15">
        <f>I112*L112</f>
        <v/>
      </c>
      <c r="Z112" s="15">
        <f>Y112 * 68%</f>
        <v/>
      </c>
      <c r="AA112" s="15">
        <f>I112*M112</f>
        <v/>
      </c>
      <c r="AB112" s="15">
        <f>AA112*68%</f>
        <v/>
      </c>
      <c r="AC112" s="16">
        <f>ROUND((T112+X112+Z112+AB112),0)</f>
        <v/>
      </c>
      <c r="AD112" s="16">
        <f>AG112</f>
        <v/>
      </c>
      <c r="AE112" s="16">
        <f>AI112</f>
        <v/>
      </c>
      <c r="AF112" s="16">
        <f>AC112+AD112+AE112</f>
        <v/>
      </c>
      <c r="AG112" s="16" t="n"/>
      <c r="AH112" s="17" t="n"/>
      <c r="AI112" s="17">
        <f>AH112*4</f>
        <v/>
      </c>
      <c r="AJ112" s="15">
        <f>AF112-AG112-AH112-AI112</f>
        <v/>
      </c>
      <c r="AK112" s="18" t="n">
        <v>105</v>
      </c>
      <c r="AL112" s="23" t="n"/>
    </row>
    <row r="113" ht="23.5" customHeight="1">
      <c r="A113" s="6" t="inlineStr">
        <is>
          <t>106</t>
        </is>
      </c>
      <c r="B113" s="24" t="n"/>
      <c r="C113" s="55" t="n"/>
      <c r="D113" s="19" t="n"/>
      <c r="E113" s="24" t="n"/>
      <c r="F113" s="25" t="n"/>
      <c r="G113" s="25" t="n"/>
      <c r="H113" s="24" t="n"/>
      <c r="I113" s="11" t="n"/>
      <c r="J113" s="57" t="n"/>
      <c r="K113" s="12" t="n"/>
      <c r="L113" s="22" t="n"/>
      <c r="M113" s="13" t="n"/>
      <c r="N113" s="14">
        <f>ROUND(I113*(SUM(J113:M113))*68%,0)</f>
        <v/>
      </c>
      <c r="O113" s="61" t="n"/>
      <c r="P113" s="59" t="n"/>
      <c r="Q113" s="59" t="n"/>
      <c r="R113" s="58" t="n"/>
      <c r="S113" s="15">
        <f>I113*J113</f>
        <v/>
      </c>
      <c r="T113" s="15">
        <f>SUM(S113:S113)*68%</f>
        <v/>
      </c>
      <c r="U113" s="15">
        <f>I113*K113*40%*O113</f>
        <v/>
      </c>
      <c r="V113" s="15">
        <f>IF(P113&gt;=6750,(I113*K113*40%),0)</f>
        <v/>
      </c>
      <c r="W113" s="15">
        <f>IF(P113&lt;6750,0,IF(Q113="",0,IF(OR(Q113="KURANG",Q113="SANGAT KURANG"),I113*K113*10%,I113*K113*20%)))</f>
        <v/>
      </c>
      <c r="X113" s="15">
        <f>SUM(U113:W113)*68%</f>
        <v/>
      </c>
      <c r="Y113" s="15">
        <f>I113*L113</f>
        <v/>
      </c>
      <c r="Z113" s="15">
        <f>Y113 * 68%</f>
        <v/>
      </c>
      <c r="AA113" s="15">
        <f>I113*M113</f>
        <v/>
      </c>
      <c r="AB113" s="15">
        <f>AA113*68%</f>
        <v/>
      </c>
      <c r="AC113" s="16">
        <f>ROUND((T113+X113+Z113+AB113),0)</f>
        <v/>
      </c>
      <c r="AD113" s="16">
        <f>AG113</f>
        <v/>
      </c>
      <c r="AE113" s="16">
        <f>AI113</f>
        <v/>
      </c>
      <c r="AF113" s="16">
        <f>AC113+AD113+AE113</f>
        <v/>
      </c>
      <c r="AG113" s="16" t="n"/>
      <c r="AH113" s="17" t="n"/>
      <c r="AI113" s="17">
        <f>AH113*4</f>
        <v/>
      </c>
      <c r="AJ113" s="15">
        <f>AF113-AG113-AH113-AI113</f>
        <v/>
      </c>
      <c r="AK113" s="18" t="n">
        <v>106</v>
      </c>
      <c r="AL113" s="40" t="n"/>
    </row>
    <row r="114" ht="23.5" customHeight="1">
      <c r="A114" s="6" t="inlineStr">
        <is>
          <t>107</t>
        </is>
      </c>
      <c r="B114" s="24" t="n"/>
      <c r="C114" s="55" t="n"/>
      <c r="D114" s="19" t="n"/>
      <c r="E114" s="24" t="n"/>
      <c r="F114" s="25" t="n"/>
      <c r="G114" s="25" t="n"/>
      <c r="H114" s="24" t="n"/>
      <c r="I114" s="11" t="n"/>
      <c r="J114" s="57" t="n"/>
      <c r="K114" s="12" t="n"/>
      <c r="L114" s="22" t="n"/>
      <c r="M114" s="13" t="n"/>
      <c r="N114" s="14">
        <f>ROUND(I114*(SUM(J114:M114))*68%,0)</f>
        <v/>
      </c>
      <c r="O114" s="61" t="n"/>
      <c r="P114" s="59" t="n"/>
      <c r="Q114" s="59" t="n"/>
      <c r="R114" s="58" t="n"/>
      <c r="S114" s="15">
        <f>I114*J114</f>
        <v/>
      </c>
      <c r="T114" s="15">
        <f>SUM(S114:S114)*68%</f>
        <v/>
      </c>
      <c r="U114" s="15">
        <f>I114*K114*40%*O114</f>
        <v/>
      </c>
      <c r="V114" s="15">
        <f>IF(P114&gt;=6750,(I114*K114*40%),0)</f>
        <v/>
      </c>
      <c r="W114" s="15">
        <f>IF(P114&lt;6750,0,IF(Q114="",0,IF(OR(Q114="KURANG",Q114="SANGAT KURANG"),I114*K114*10%,I114*K114*20%)))</f>
        <v/>
      </c>
      <c r="X114" s="15">
        <f>SUM(U114:W114)*68%</f>
        <v/>
      </c>
      <c r="Y114" s="15">
        <f>I114*L114</f>
        <v/>
      </c>
      <c r="Z114" s="15">
        <f>Y114 * 68%</f>
        <v/>
      </c>
      <c r="AA114" s="15">
        <f>I114*M114</f>
        <v/>
      </c>
      <c r="AB114" s="15">
        <f>AA114*68%</f>
        <v/>
      </c>
      <c r="AC114" s="16">
        <f>ROUND((T114+X114+Z114+AB114),0)</f>
        <v/>
      </c>
      <c r="AD114" s="16">
        <f>AG114</f>
        <v/>
      </c>
      <c r="AE114" s="16">
        <f>AI114</f>
        <v/>
      </c>
      <c r="AF114" s="16">
        <f>AC114+AD114+AE114</f>
        <v/>
      </c>
      <c r="AG114" s="16" t="n"/>
      <c r="AH114" s="17" t="n"/>
      <c r="AI114" s="17">
        <f>AH114*4</f>
        <v/>
      </c>
      <c r="AJ114" s="15">
        <f>AF114-AG114-AH114-AI114</f>
        <v/>
      </c>
      <c r="AK114" s="18" t="n">
        <v>107</v>
      </c>
      <c r="AL114" s="23" t="n"/>
    </row>
    <row r="115" ht="23.5" customHeight="1">
      <c r="A115" s="6" t="inlineStr">
        <is>
          <t>108</t>
        </is>
      </c>
      <c r="B115" s="28" t="n"/>
      <c r="C115" s="55" t="n"/>
      <c r="D115" s="19" t="n"/>
      <c r="E115" s="24" t="n"/>
      <c r="F115" s="25" t="n"/>
      <c r="G115" s="25" t="n"/>
      <c r="H115" s="25" t="n"/>
      <c r="I115" s="11" t="n"/>
      <c r="J115" s="57" t="n"/>
      <c r="K115" s="12" t="n"/>
      <c r="L115" s="22" t="n"/>
      <c r="M115" s="13" t="n"/>
      <c r="N115" s="14">
        <f>ROUND(I115*(SUM(J115:M115))*68%,0)</f>
        <v/>
      </c>
      <c r="O115" s="61" t="n"/>
      <c r="P115" s="59" t="n"/>
      <c r="Q115" s="59" t="n"/>
      <c r="R115" s="58" t="n"/>
      <c r="S115" s="15">
        <f>I115*J115</f>
        <v/>
      </c>
      <c r="T115" s="15">
        <f>SUM(S115:S115)*68%</f>
        <v/>
      </c>
      <c r="U115" s="15">
        <f>I115*K115*40%*O115</f>
        <v/>
      </c>
      <c r="V115" s="15">
        <f>IF(P115&gt;=6750,(I115*K115*40%),0)</f>
        <v/>
      </c>
      <c r="W115" s="15">
        <f>IF(P115&lt;6750,0,IF(Q115="",0,IF(OR(Q115="KURANG",Q115="SANGAT KURANG"),I115*K115*10%,I115*K115*20%)))</f>
        <v/>
      </c>
      <c r="X115" s="15">
        <f>SUM(U115:W115)*68%</f>
        <v/>
      </c>
      <c r="Y115" s="15">
        <f>I115*L115</f>
        <v/>
      </c>
      <c r="Z115" s="15">
        <f>Y115 * 68%</f>
        <v/>
      </c>
      <c r="AA115" s="15">
        <f>I115*M115</f>
        <v/>
      </c>
      <c r="AB115" s="15">
        <f>AA115*68%</f>
        <v/>
      </c>
      <c r="AC115" s="16">
        <f>ROUND((T115+X115+Z115+AB115),0)</f>
        <v/>
      </c>
      <c r="AD115" s="16">
        <f>AG115</f>
        <v/>
      </c>
      <c r="AE115" s="16">
        <f>AI115</f>
        <v/>
      </c>
      <c r="AF115" s="16">
        <f>AC115+AD115+AE115</f>
        <v/>
      </c>
      <c r="AG115" s="16" t="n"/>
      <c r="AH115" s="17" t="n"/>
      <c r="AI115" s="17">
        <f>AH115*4</f>
        <v/>
      </c>
      <c r="AJ115" s="15">
        <f>AF115-AG115-AH115-AI115</f>
        <v/>
      </c>
      <c r="AK115" s="18" t="n">
        <v>108</v>
      </c>
      <c r="AL115" s="23" t="n"/>
    </row>
    <row r="116" ht="23.5" customHeight="1">
      <c r="A116" s="6" t="inlineStr">
        <is>
          <t>109</t>
        </is>
      </c>
      <c r="B116" s="28" t="n"/>
      <c r="C116" s="55" t="n"/>
      <c r="D116" s="19" t="n"/>
      <c r="E116" s="24" t="n"/>
      <c r="F116" s="25" t="n"/>
      <c r="G116" s="25" t="n"/>
      <c r="H116" s="25" t="n"/>
      <c r="I116" s="11" t="n"/>
      <c r="J116" s="57" t="n"/>
      <c r="K116" s="12" t="n"/>
      <c r="L116" s="22" t="n"/>
      <c r="M116" s="13" t="n"/>
      <c r="N116" s="14">
        <f>ROUND(I116*(SUM(J116:M116))*68%,0)</f>
        <v/>
      </c>
      <c r="O116" s="61" t="n"/>
      <c r="P116" s="59" t="n"/>
      <c r="Q116" s="59" t="n"/>
      <c r="R116" s="58" t="n"/>
      <c r="S116" s="15">
        <f>I116*J116</f>
        <v/>
      </c>
      <c r="T116" s="15">
        <f>SUM(S116:S116)*68%</f>
        <v/>
      </c>
      <c r="U116" s="15">
        <f>I116*K116*40%*O116</f>
        <v/>
      </c>
      <c r="V116" s="15">
        <f>IF(P116&gt;=6750,(I116*K116*40%),0)</f>
        <v/>
      </c>
      <c r="W116" s="15">
        <f>IF(P116&lt;6750,0,IF(Q116="",0,IF(OR(Q116="KURANG",Q116="SANGAT KURANG"),I116*K116*10%,I116*K116*20%)))</f>
        <v/>
      </c>
      <c r="X116" s="15">
        <f>SUM(U116:W116)*68%</f>
        <v/>
      </c>
      <c r="Y116" s="15">
        <f>I116*L116</f>
        <v/>
      </c>
      <c r="Z116" s="15">
        <f>Y116 * 68%</f>
        <v/>
      </c>
      <c r="AA116" s="15">
        <f>I116*M116</f>
        <v/>
      </c>
      <c r="AB116" s="15">
        <f>AA116*68%</f>
        <v/>
      </c>
      <c r="AC116" s="16">
        <f>ROUND((T116+X116+Z116+AB116),0)</f>
        <v/>
      </c>
      <c r="AD116" s="16">
        <f>AG116</f>
        <v/>
      </c>
      <c r="AE116" s="16">
        <f>AI116</f>
        <v/>
      </c>
      <c r="AF116" s="16">
        <f>AC116+AD116+AE116</f>
        <v/>
      </c>
      <c r="AG116" s="16" t="n"/>
      <c r="AH116" s="17" t="n"/>
      <c r="AI116" s="17">
        <f>AH116*4</f>
        <v/>
      </c>
      <c r="AJ116" s="15">
        <f>AF116-AG116-AH116-AI116</f>
        <v/>
      </c>
      <c r="AK116" s="18" t="n">
        <v>109</v>
      </c>
      <c r="AL116" s="23" t="n"/>
    </row>
    <row r="117" ht="23.5" customHeight="1">
      <c r="A117" s="6" t="inlineStr">
        <is>
          <t>110</t>
        </is>
      </c>
      <c r="B117" s="28" t="n"/>
      <c r="C117" s="55" t="n"/>
      <c r="D117" s="19" t="n"/>
      <c r="E117" s="24" t="n"/>
      <c r="F117" s="25" t="n"/>
      <c r="G117" s="25" t="n"/>
      <c r="H117" s="25" t="n"/>
      <c r="I117" s="11" t="n"/>
      <c r="J117" s="57" t="n"/>
      <c r="K117" s="12" t="n"/>
      <c r="L117" s="22" t="n"/>
      <c r="M117" s="13" t="n"/>
      <c r="N117" s="14">
        <f>ROUND(I117*(SUM(J117:M117))*68%,0)</f>
        <v/>
      </c>
      <c r="O117" s="61" t="n"/>
      <c r="P117" s="59" t="n"/>
      <c r="Q117" s="59" t="n"/>
      <c r="R117" s="58" t="n"/>
      <c r="S117" s="15">
        <f>I117*J117</f>
        <v/>
      </c>
      <c r="T117" s="15">
        <f>SUM(S117:S117)*68%</f>
        <v/>
      </c>
      <c r="U117" s="15">
        <f>I117*K117*40%*O117</f>
        <v/>
      </c>
      <c r="V117" s="15">
        <f>IF(P117&gt;=6750,(I117*K117*40%),0)</f>
        <v/>
      </c>
      <c r="W117" s="15">
        <f>IF(P117&lt;6750,0,IF(Q117="",0,IF(OR(Q117="KURANG",Q117="SANGAT KURANG"),I117*K117*10%,I117*K117*20%)))</f>
        <v/>
      </c>
      <c r="X117" s="15">
        <f>SUM(U117:W117)*68%</f>
        <v/>
      </c>
      <c r="Y117" s="15">
        <f>I117*L117</f>
        <v/>
      </c>
      <c r="Z117" s="15">
        <f>Y117 * 68%</f>
        <v/>
      </c>
      <c r="AA117" s="15">
        <f>I117*M117</f>
        <v/>
      </c>
      <c r="AB117" s="15">
        <f>AA117*68%</f>
        <v/>
      </c>
      <c r="AC117" s="16">
        <f>ROUND((T117+X117+Z117+AB117),0)</f>
        <v/>
      </c>
      <c r="AD117" s="16">
        <f>AG117</f>
        <v/>
      </c>
      <c r="AE117" s="16">
        <f>AI117</f>
        <v/>
      </c>
      <c r="AF117" s="16">
        <f>AC117+AD117+AE117</f>
        <v/>
      </c>
      <c r="AG117" s="16" t="n"/>
      <c r="AH117" s="17" t="n"/>
      <c r="AI117" s="17">
        <f>AH117*4</f>
        <v/>
      </c>
      <c r="AJ117" s="15">
        <f>AF117-AG117-AH117-AI117</f>
        <v/>
      </c>
      <c r="AK117" s="18" t="n">
        <v>110</v>
      </c>
      <c r="AL117" s="23" t="n"/>
    </row>
    <row r="118" ht="23.5" customHeight="1">
      <c r="A118" s="6" t="inlineStr">
        <is>
          <t>111</t>
        </is>
      </c>
      <c r="B118" s="24" t="n"/>
      <c r="C118" s="55" t="n"/>
      <c r="D118" s="19" t="n"/>
      <c r="E118" s="24" t="n"/>
      <c r="F118" s="25" t="n"/>
      <c r="G118" s="25" t="n"/>
      <c r="H118" s="25" t="n"/>
      <c r="I118" s="11" t="n"/>
      <c r="J118" s="57" t="n"/>
      <c r="K118" s="12" t="n"/>
      <c r="L118" s="22" t="n"/>
      <c r="M118" s="13" t="n"/>
      <c r="N118" s="14">
        <f>ROUND(I118*(SUM(J118:M118))*68%,0)</f>
        <v/>
      </c>
      <c r="O118" s="61" t="n"/>
      <c r="P118" s="59" t="n"/>
      <c r="Q118" s="59" t="n"/>
      <c r="R118" s="58" t="n"/>
      <c r="S118" s="15">
        <f>I118*J118</f>
        <v/>
      </c>
      <c r="T118" s="15">
        <f>SUM(S118:S118)*68%</f>
        <v/>
      </c>
      <c r="U118" s="15">
        <f>I118*K118*40%*O118</f>
        <v/>
      </c>
      <c r="V118" s="15">
        <f>IF(P118&gt;=6750,(I118*K118*40%),0)</f>
        <v/>
      </c>
      <c r="W118" s="15">
        <f>IF(P118&lt;6750,0,IF(Q118="",0,IF(OR(Q118="KURANG",Q118="SANGAT KURANG"),I118*K118*10%,I118*K118*20%)))</f>
        <v/>
      </c>
      <c r="X118" s="15">
        <f>SUM(U118:W118)*68%</f>
        <v/>
      </c>
      <c r="Y118" s="15">
        <f>I118*L118</f>
        <v/>
      </c>
      <c r="Z118" s="15">
        <f>Y118 * 68%</f>
        <v/>
      </c>
      <c r="AA118" s="15">
        <f>I118*M118</f>
        <v/>
      </c>
      <c r="AB118" s="15">
        <f>AA118*68%</f>
        <v/>
      </c>
      <c r="AC118" s="16">
        <f>ROUND((T118+X118+Z118+AB118),0)</f>
        <v/>
      </c>
      <c r="AD118" s="16">
        <f>AG118</f>
        <v/>
      </c>
      <c r="AE118" s="16">
        <f>AI118</f>
        <v/>
      </c>
      <c r="AF118" s="16">
        <f>AC118+AD118+AE118</f>
        <v/>
      </c>
      <c r="AG118" s="16" t="n"/>
      <c r="AH118" s="17" t="n"/>
      <c r="AI118" s="17">
        <f>AH118*4</f>
        <v/>
      </c>
      <c r="AJ118" s="15">
        <f>AF118-AG118-AH118-AI118</f>
        <v/>
      </c>
      <c r="AK118" s="18" t="n">
        <v>111</v>
      </c>
      <c r="AL118" s="23" t="n"/>
    </row>
    <row r="119" ht="23.5" customHeight="1">
      <c r="A119" s="6" t="inlineStr">
        <is>
          <t>112</t>
        </is>
      </c>
      <c r="B119" s="24" t="n"/>
      <c r="C119" s="55" t="n"/>
      <c r="D119" s="19" t="n"/>
      <c r="E119" s="24" t="n"/>
      <c r="F119" s="25" t="n"/>
      <c r="G119" s="25" t="n"/>
      <c r="H119" s="25" t="n"/>
      <c r="I119" s="11" t="n"/>
      <c r="J119" s="57" t="n"/>
      <c r="K119" s="12" t="n"/>
      <c r="L119" s="22" t="n"/>
      <c r="M119" s="13" t="n"/>
      <c r="N119" s="14">
        <f>ROUND(I119*(SUM(J119:M119))*68%,0)</f>
        <v/>
      </c>
      <c r="O119" s="61" t="n"/>
      <c r="P119" s="59" t="n"/>
      <c r="Q119" s="59" t="n"/>
      <c r="R119" s="58" t="n"/>
      <c r="S119" s="15">
        <f>I119*J119</f>
        <v/>
      </c>
      <c r="T119" s="15">
        <f>SUM(S119:S119)*68%</f>
        <v/>
      </c>
      <c r="U119" s="15">
        <f>I119*K119*40%*O119</f>
        <v/>
      </c>
      <c r="V119" s="15">
        <f>IF(P119&gt;=6750,(I119*K119*40%),0)</f>
        <v/>
      </c>
      <c r="W119" s="15">
        <f>IF(P119&lt;6750,0,IF(Q119="",0,IF(OR(Q119="KURANG",Q119="SANGAT KURANG"),I119*K119*10%,I119*K119*20%)))</f>
        <v/>
      </c>
      <c r="X119" s="15">
        <f>SUM(U119:W119)*68%</f>
        <v/>
      </c>
      <c r="Y119" s="15">
        <f>I119*L119</f>
        <v/>
      </c>
      <c r="Z119" s="15">
        <f>Y119 * 68%</f>
        <v/>
      </c>
      <c r="AA119" s="15">
        <f>I119*M119</f>
        <v/>
      </c>
      <c r="AB119" s="15">
        <f>AA119*68%</f>
        <v/>
      </c>
      <c r="AC119" s="16">
        <f>ROUND((T119+X119+Z119+AB119),0)</f>
        <v/>
      </c>
      <c r="AD119" s="16">
        <f>AG119</f>
        <v/>
      </c>
      <c r="AE119" s="16">
        <f>AI119</f>
        <v/>
      </c>
      <c r="AF119" s="16">
        <f>AC119+AD119+AE119</f>
        <v/>
      </c>
      <c r="AG119" s="16" t="n"/>
      <c r="AH119" s="17" t="n"/>
      <c r="AI119" s="17">
        <f>AH119*4</f>
        <v/>
      </c>
      <c r="AJ119" s="15">
        <f>AF119-AG119-AH119-AI119</f>
        <v/>
      </c>
      <c r="AK119" s="18" t="n">
        <v>112</v>
      </c>
      <c r="AL119" s="40" t="n"/>
    </row>
    <row r="120" ht="23.5" customHeight="1">
      <c r="A120" s="6" t="inlineStr">
        <is>
          <t>113</t>
        </is>
      </c>
      <c r="B120" s="28" t="n"/>
      <c r="C120" s="55" t="n"/>
      <c r="D120" s="19" t="n"/>
      <c r="E120" s="24" t="n"/>
      <c r="F120" s="25" t="n"/>
      <c r="G120" s="25" t="n"/>
      <c r="H120" s="25" t="n"/>
      <c r="I120" s="11" t="n"/>
      <c r="J120" s="57" t="n"/>
      <c r="K120" s="12" t="n"/>
      <c r="L120" s="22" t="n"/>
      <c r="M120" s="13" t="n"/>
      <c r="N120" s="14">
        <f>ROUND(I120*(SUM(J120:M120))*68%,0)</f>
        <v/>
      </c>
      <c r="O120" s="61" t="n"/>
      <c r="P120" s="59" t="n"/>
      <c r="Q120" s="59" t="n"/>
      <c r="R120" s="58" t="n"/>
      <c r="S120" s="15">
        <f>I120*J120</f>
        <v/>
      </c>
      <c r="T120" s="15">
        <f>SUM(S120:S120)*68%</f>
        <v/>
      </c>
      <c r="U120" s="15">
        <f>I120*K120*40%*O120</f>
        <v/>
      </c>
      <c r="V120" s="15">
        <f>IF(P120&gt;=6750,(I120*K120*40%),0)</f>
        <v/>
      </c>
      <c r="W120" s="15">
        <f>IF(P120&lt;6750,0,IF(Q120="",0,IF(OR(Q120="KURANG",Q120="SANGAT KURANG"),I120*K120*10%,I120*K120*20%)))</f>
        <v/>
      </c>
      <c r="X120" s="15">
        <f>SUM(U120:W120)*68%</f>
        <v/>
      </c>
      <c r="Y120" s="15">
        <f>I120*L120</f>
        <v/>
      </c>
      <c r="Z120" s="15">
        <f>Y120 * 68%</f>
        <v/>
      </c>
      <c r="AA120" s="15">
        <f>I120*M120</f>
        <v/>
      </c>
      <c r="AB120" s="15">
        <f>AA120*68%</f>
        <v/>
      </c>
      <c r="AC120" s="16">
        <f>ROUND((T120+X120+Z120+AB120),0)</f>
        <v/>
      </c>
      <c r="AD120" s="16">
        <f>AG120</f>
        <v/>
      </c>
      <c r="AE120" s="16">
        <f>AI120</f>
        <v/>
      </c>
      <c r="AF120" s="16">
        <f>AC120+AD120+AE120</f>
        <v/>
      </c>
      <c r="AG120" s="16" t="n"/>
      <c r="AH120" s="17" t="n"/>
      <c r="AI120" s="17">
        <f>AH120*4</f>
        <v/>
      </c>
      <c r="AJ120" s="15">
        <f>AF120-AG120-AH120-AI120</f>
        <v/>
      </c>
      <c r="AK120" s="18" t="n">
        <v>113</v>
      </c>
      <c r="AL120" s="23" t="n"/>
    </row>
    <row r="121" ht="23.5" customHeight="1">
      <c r="A121" s="6" t="inlineStr">
        <is>
          <t>114</t>
        </is>
      </c>
      <c r="B121" s="28" t="n"/>
      <c r="C121" s="55" t="n"/>
      <c r="D121" s="19" t="n"/>
      <c r="E121" s="24" t="n"/>
      <c r="F121" s="25" t="n"/>
      <c r="G121" s="25" t="n"/>
      <c r="H121" s="25" t="n"/>
      <c r="I121" s="11" t="n"/>
      <c r="J121" s="57" t="n"/>
      <c r="K121" s="12" t="n"/>
      <c r="L121" s="22" t="n"/>
      <c r="M121" s="13" t="n"/>
      <c r="N121" s="14">
        <f>ROUND(I121*(SUM(J121:M121))*68%,0)</f>
        <v/>
      </c>
      <c r="O121" s="61" t="n"/>
      <c r="P121" s="59" t="n"/>
      <c r="Q121" s="59" t="n"/>
      <c r="R121" s="58" t="n"/>
      <c r="S121" s="15">
        <f>I121*J121</f>
        <v/>
      </c>
      <c r="T121" s="15">
        <f>SUM(S121:S121)*68%</f>
        <v/>
      </c>
      <c r="U121" s="15">
        <f>I121*K121*40%*O121</f>
        <v/>
      </c>
      <c r="V121" s="15">
        <f>IF(P121&gt;=6750,(I121*K121*40%),0)</f>
        <v/>
      </c>
      <c r="W121" s="15">
        <f>IF(P121&lt;6750,0,IF(Q121="",0,IF(OR(Q121="KURANG",Q121="SANGAT KURANG"),I121*K121*10%,I121*K121*20%)))</f>
        <v/>
      </c>
      <c r="X121" s="15">
        <f>SUM(U121:W121)*68%</f>
        <v/>
      </c>
      <c r="Y121" s="15">
        <f>I121*L121</f>
        <v/>
      </c>
      <c r="Z121" s="15">
        <f>Y121 * 68%</f>
        <v/>
      </c>
      <c r="AA121" s="15">
        <f>I121*M121</f>
        <v/>
      </c>
      <c r="AB121" s="15">
        <f>AA121*68%</f>
        <v/>
      </c>
      <c r="AC121" s="16">
        <f>ROUND((T121+X121+Z121+AB121),0)</f>
        <v/>
      </c>
      <c r="AD121" s="16">
        <f>AG121</f>
        <v/>
      </c>
      <c r="AE121" s="16">
        <f>AI121</f>
        <v/>
      </c>
      <c r="AF121" s="16">
        <f>AC121+AD121+AE121</f>
        <v/>
      </c>
      <c r="AG121" s="16" t="n"/>
      <c r="AH121" s="17" t="n"/>
      <c r="AI121" s="17">
        <f>AH121*4</f>
        <v/>
      </c>
      <c r="AJ121" s="15">
        <f>AF121-AG121-AH121-AI121</f>
        <v/>
      </c>
      <c r="AK121" s="18" t="n">
        <v>114</v>
      </c>
      <c r="AL121" s="40" t="n"/>
    </row>
    <row r="122" ht="23.5" customHeight="1">
      <c r="A122" s="6" t="inlineStr">
        <is>
          <t>115</t>
        </is>
      </c>
      <c r="B122" s="24" t="n"/>
      <c r="C122" s="55" t="n"/>
      <c r="D122" s="19" t="n"/>
      <c r="E122" s="24" t="n"/>
      <c r="F122" s="25" t="n"/>
      <c r="G122" s="25" t="n"/>
      <c r="H122" s="25" t="n"/>
      <c r="I122" s="11" t="n"/>
      <c r="J122" s="57" t="n"/>
      <c r="K122" s="12" t="n"/>
      <c r="L122" s="22" t="n"/>
      <c r="M122" s="13" t="n"/>
      <c r="N122" s="14">
        <f>ROUND(I122*(SUM(J122:M122))*68%,0)</f>
        <v/>
      </c>
      <c r="O122" s="61" t="n"/>
      <c r="P122" s="59" t="n"/>
      <c r="Q122" s="59" t="n"/>
      <c r="R122" s="58" t="n"/>
      <c r="S122" s="15">
        <f>I122*J122</f>
        <v/>
      </c>
      <c r="T122" s="15">
        <f>SUM(S122:S122)*68%</f>
        <v/>
      </c>
      <c r="U122" s="15">
        <f>I122*K122*40%*O122</f>
        <v/>
      </c>
      <c r="V122" s="15">
        <f>IF(P122&gt;=6750,(I122*K122*40%),0)</f>
        <v/>
      </c>
      <c r="W122" s="15">
        <f>IF(P122&lt;6750,0,IF(Q122="",0,IF(OR(Q122="KURANG",Q122="SANGAT KURANG"),I122*K122*10%,I122*K122*20%)))</f>
        <v/>
      </c>
      <c r="X122" s="15">
        <f>SUM(U122:W122)*68%</f>
        <v/>
      </c>
      <c r="Y122" s="15">
        <f>I122*L122</f>
        <v/>
      </c>
      <c r="Z122" s="15">
        <f>Y122 * 68%</f>
        <v/>
      </c>
      <c r="AA122" s="15">
        <f>I122*M122</f>
        <v/>
      </c>
      <c r="AB122" s="15">
        <f>AA122*68%</f>
        <v/>
      </c>
      <c r="AC122" s="16">
        <f>ROUND((T122+X122+Z122+AB122),0)</f>
        <v/>
      </c>
      <c r="AD122" s="16">
        <f>AG122</f>
        <v/>
      </c>
      <c r="AE122" s="16">
        <f>AI122</f>
        <v/>
      </c>
      <c r="AF122" s="16">
        <f>AC122+AD122+AE122</f>
        <v/>
      </c>
      <c r="AG122" s="16" t="n"/>
      <c r="AH122" s="17" t="n"/>
      <c r="AI122" s="17">
        <f>AH122*4</f>
        <v/>
      </c>
      <c r="AJ122" s="15">
        <f>AF122-AG122-AH122-AI122</f>
        <v/>
      </c>
      <c r="AK122" s="18" t="n">
        <v>115</v>
      </c>
      <c r="AL122" s="23" t="n"/>
    </row>
    <row r="123" ht="23.5" customHeight="1">
      <c r="A123" s="6" t="inlineStr">
        <is>
          <t>116</t>
        </is>
      </c>
      <c r="B123" s="24" t="n"/>
      <c r="C123" s="55" t="n"/>
      <c r="D123" s="19" t="n"/>
      <c r="E123" s="24" t="n"/>
      <c r="F123" s="25" t="n"/>
      <c r="G123" s="25" t="n"/>
      <c r="H123" s="25" t="n"/>
      <c r="I123" s="11" t="n"/>
      <c r="J123" s="57" t="n"/>
      <c r="K123" s="12" t="n"/>
      <c r="L123" s="22" t="n"/>
      <c r="M123" s="13" t="n"/>
      <c r="N123" s="14">
        <f>ROUND(I123*(SUM(J123:M123))*68%,0)</f>
        <v/>
      </c>
      <c r="O123" s="61" t="n"/>
      <c r="P123" s="59" t="n"/>
      <c r="Q123" s="59" t="n"/>
      <c r="R123" s="58" t="n"/>
      <c r="S123" s="15">
        <f>I123*J123</f>
        <v/>
      </c>
      <c r="T123" s="15">
        <f>SUM(S123:S123)*68%</f>
        <v/>
      </c>
      <c r="U123" s="15">
        <f>I123*K123*40%*O123</f>
        <v/>
      </c>
      <c r="V123" s="15">
        <f>IF(P123&gt;=6750,(I123*K123*40%),0)</f>
        <v/>
      </c>
      <c r="W123" s="15">
        <f>IF(P123&lt;6750,0,IF(Q123="",0,IF(OR(Q123="KURANG",Q123="SANGAT KURANG"),I123*K123*10%,I123*K123*20%)))</f>
        <v/>
      </c>
      <c r="X123" s="15">
        <f>SUM(U123:W123)*68%</f>
        <v/>
      </c>
      <c r="Y123" s="15">
        <f>I123*L123</f>
        <v/>
      </c>
      <c r="Z123" s="15">
        <f>Y123 * 68%</f>
        <v/>
      </c>
      <c r="AA123" s="15">
        <f>I123*M123</f>
        <v/>
      </c>
      <c r="AB123" s="15">
        <f>AA123*68%</f>
        <v/>
      </c>
      <c r="AC123" s="16">
        <f>ROUND((T123+X123+Z123+AB123),0)</f>
        <v/>
      </c>
      <c r="AD123" s="16">
        <f>AG123</f>
        <v/>
      </c>
      <c r="AE123" s="16">
        <f>AI123</f>
        <v/>
      </c>
      <c r="AF123" s="16">
        <f>AC123+AD123+AE123</f>
        <v/>
      </c>
      <c r="AG123" s="16" t="n"/>
      <c r="AH123" s="17" t="n"/>
      <c r="AI123" s="17">
        <f>AH123*4</f>
        <v/>
      </c>
      <c r="AJ123" s="15">
        <f>AF123-AG123-AH123-AI123</f>
        <v/>
      </c>
      <c r="AK123" s="18" t="n">
        <v>116</v>
      </c>
      <c r="AL123" s="23" t="n"/>
    </row>
    <row r="124" ht="23.5" customHeight="1">
      <c r="A124" s="6" t="inlineStr">
        <is>
          <t>117</t>
        </is>
      </c>
      <c r="B124" s="24" t="n"/>
      <c r="C124" s="55" t="n"/>
      <c r="D124" s="19" t="n"/>
      <c r="E124" s="24" t="n"/>
      <c r="F124" s="25" t="n"/>
      <c r="G124" s="25" t="n"/>
      <c r="H124" s="25" t="n"/>
      <c r="I124" s="11" t="n"/>
      <c r="J124" s="57" t="n"/>
      <c r="K124" s="12" t="n"/>
      <c r="L124" s="22" t="n"/>
      <c r="M124" s="13" t="n"/>
      <c r="N124" s="14">
        <f>ROUND(I124*(SUM(J124:M124))*68%,0)</f>
        <v/>
      </c>
      <c r="O124" s="61" t="n"/>
      <c r="P124" s="59" t="n"/>
      <c r="Q124" s="59" t="n"/>
      <c r="R124" s="58" t="n"/>
      <c r="S124" s="15">
        <f>I124*J124</f>
        <v/>
      </c>
      <c r="T124" s="15">
        <f>SUM(S124:S124)*68%</f>
        <v/>
      </c>
      <c r="U124" s="15">
        <f>I124*K124*40%*O124</f>
        <v/>
      </c>
      <c r="V124" s="15">
        <f>IF(P124&gt;=6750,(I124*K124*40%),0)</f>
        <v/>
      </c>
      <c r="W124" s="15">
        <f>IF(P124&lt;6750,0,IF(Q124="",0,IF(OR(Q124="KURANG",Q124="SANGAT KURANG"),I124*K124*10%,I124*K124*20%)))</f>
        <v/>
      </c>
      <c r="X124" s="15">
        <f>SUM(U124:W124)*68%</f>
        <v/>
      </c>
      <c r="Y124" s="15">
        <f>I124*L124</f>
        <v/>
      </c>
      <c r="Z124" s="15">
        <f>Y124 * 68%</f>
        <v/>
      </c>
      <c r="AA124" s="15">
        <f>I124*M124</f>
        <v/>
      </c>
      <c r="AB124" s="15">
        <f>AA124*68%</f>
        <v/>
      </c>
      <c r="AC124" s="16">
        <f>ROUND((T124+X124+Z124+AB124),0)</f>
        <v/>
      </c>
      <c r="AD124" s="16">
        <f>AG124</f>
        <v/>
      </c>
      <c r="AE124" s="16">
        <f>AI124</f>
        <v/>
      </c>
      <c r="AF124" s="16">
        <f>AC124+AD124+AE124</f>
        <v/>
      </c>
      <c r="AG124" s="16" t="n"/>
      <c r="AH124" s="17" t="n"/>
      <c r="AI124" s="17">
        <f>AH124*4</f>
        <v/>
      </c>
      <c r="AJ124" s="15">
        <f>AF124-AG124-AH124-AI124</f>
        <v/>
      </c>
      <c r="AK124" s="18" t="n">
        <v>117</v>
      </c>
      <c r="AL124" s="23" t="n"/>
    </row>
    <row r="125" ht="23.5" customHeight="1">
      <c r="A125" s="6" t="inlineStr">
        <is>
          <t>118</t>
        </is>
      </c>
      <c r="B125" s="24" t="n"/>
      <c r="C125" s="55" t="n"/>
      <c r="D125" s="19" t="n"/>
      <c r="E125" s="24" t="n"/>
      <c r="F125" s="25" t="n"/>
      <c r="G125" s="25" t="n"/>
      <c r="H125" s="25" t="n"/>
      <c r="I125" s="11" t="n"/>
      <c r="J125" s="57" t="n"/>
      <c r="K125" s="12" t="n"/>
      <c r="L125" s="22" t="n"/>
      <c r="M125" s="13" t="n"/>
      <c r="N125" s="14">
        <f>ROUND(I125*(SUM(J125:M125))*68%,0)</f>
        <v/>
      </c>
      <c r="O125" s="61" t="n"/>
      <c r="P125" s="59" t="n"/>
      <c r="Q125" s="59" t="n"/>
      <c r="R125" s="58" t="n"/>
      <c r="S125" s="15">
        <f>I125*J125</f>
        <v/>
      </c>
      <c r="T125" s="15">
        <f>SUM(S125:S125)*68%</f>
        <v/>
      </c>
      <c r="U125" s="15">
        <f>I125*K125*40%*O125</f>
        <v/>
      </c>
      <c r="V125" s="15">
        <f>IF(P125&gt;=6750,(I125*K125*40%),0)</f>
        <v/>
      </c>
      <c r="W125" s="15">
        <f>IF(P125&lt;6750,0,IF(Q125="",0,IF(OR(Q125="KURANG",Q125="SANGAT KURANG"),I125*K125*10%,I125*K125*20%)))</f>
        <v/>
      </c>
      <c r="X125" s="15">
        <f>SUM(U125:W125)*68%</f>
        <v/>
      </c>
      <c r="Y125" s="15">
        <f>I125*L125</f>
        <v/>
      </c>
      <c r="Z125" s="15">
        <f>Y125 * 68%</f>
        <v/>
      </c>
      <c r="AA125" s="15">
        <f>I125*M125</f>
        <v/>
      </c>
      <c r="AB125" s="15">
        <f>AA125*68%</f>
        <v/>
      </c>
      <c r="AC125" s="16">
        <f>ROUND((T125+X125+Z125+AB125),0)</f>
        <v/>
      </c>
      <c r="AD125" s="16">
        <f>AG125</f>
        <v/>
      </c>
      <c r="AE125" s="16">
        <f>AI125</f>
        <v/>
      </c>
      <c r="AF125" s="16">
        <f>AC125+AD125+AE125</f>
        <v/>
      </c>
      <c r="AG125" s="16" t="n"/>
      <c r="AH125" s="17" t="n"/>
      <c r="AI125" s="17">
        <f>AH125*4</f>
        <v/>
      </c>
      <c r="AJ125" s="15">
        <f>AF125-AG125-AH125-AI125</f>
        <v/>
      </c>
      <c r="AK125" s="18" t="n">
        <v>118</v>
      </c>
      <c r="AL125" s="23" t="n"/>
    </row>
    <row r="126" ht="23.5" customHeight="1">
      <c r="A126" s="6" t="inlineStr">
        <is>
          <t>119</t>
        </is>
      </c>
      <c r="B126" s="24" t="n"/>
      <c r="C126" s="55" t="n"/>
      <c r="D126" s="19" t="n"/>
      <c r="E126" s="24" t="n"/>
      <c r="F126" s="25" t="n"/>
      <c r="G126" s="25" t="n"/>
      <c r="H126" s="25" t="n"/>
      <c r="I126" s="11" t="n"/>
      <c r="J126" s="57" t="n"/>
      <c r="K126" s="12" t="n"/>
      <c r="L126" s="22" t="n"/>
      <c r="M126" s="13" t="n"/>
      <c r="N126" s="14">
        <f>ROUND(I126*(SUM(J126:M126))*68%,0)</f>
        <v/>
      </c>
      <c r="O126" s="61" t="n"/>
      <c r="P126" s="59" t="n"/>
      <c r="Q126" s="59" t="n"/>
      <c r="R126" s="58" t="n"/>
      <c r="S126" s="15">
        <f>I126*J126</f>
        <v/>
      </c>
      <c r="T126" s="15">
        <f>SUM(S126:S126)*68%</f>
        <v/>
      </c>
      <c r="U126" s="15">
        <f>I126*K126*40%*O126</f>
        <v/>
      </c>
      <c r="V126" s="15">
        <f>IF(P126&gt;=6750,(I126*K126*40%),0)</f>
        <v/>
      </c>
      <c r="W126" s="15">
        <f>IF(P126&lt;6750,0,IF(Q126="",0,IF(OR(Q126="KURANG",Q126="SANGAT KURANG"),I126*K126*10%,I126*K126*20%)))</f>
        <v/>
      </c>
      <c r="X126" s="15">
        <f>SUM(U126:W126)*68%</f>
        <v/>
      </c>
      <c r="Y126" s="15">
        <f>I126*L126</f>
        <v/>
      </c>
      <c r="Z126" s="15">
        <f>Y126 * 68%</f>
        <v/>
      </c>
      <c r="AA126" s="15">
        <f>I126*M126</f>
        <v/>
      </c>
      <c r="AB126" s="15">
        <f>AA126*68%</f>
        <v/>
      </c>
      <c r="AC126" s="16">
        <f>ROUND((T126+X126+Z126+AB126),0)</f>
        <v/>
      </c>
      <c r="AD126" s="16">
        <f>AG126</f>
        <v/>
      </c>
      <c r="AE126" s="16">
        <f>AI126</f>
        <v/>
      </c>
      <c r="AF126" s="16">
        <f>AC126+AD126+AE126</f>
        <v/>
      </c>
      <c r="AG126" s="16" t="n"/>
      <c r="AH126" s="17" t="n"/>
      <c r="AI126" s="17">
        <f>AH126*4</f>
        <v/>
      </c>
      <c r="AJ126" s="15">
        <f>AF126-AG126-AH126-AI126</f>
        <v/>
      </c>
      <c r="AK126" s="18" t="n">
        <v>119</v>
      </c>
      <c r="AL126" s="23" t="n"/>
    </row>
    <row r="127" ht="23.5" customHeight="1">
      <c r="A127" s="6" t="inlineStr">
        <is>
          <t>120</t>
        </is>
      </c>
      <c r="B127" s="24" t="n"/>
      <c r="C127" s="55" t="n"/>
      <c r="D127" s="19" t="n"/>
      <c r="E127" s="24" t="n"/>
      <c r="F127" s="25" t="n"/>
      <c r="G127" s="25" t="n"/>
      <c r="H127" s="25" t="n"/>
      <c r="I127" s="11" t="n"/>
      <c r="J127" s="57" t="n"/>
      <c r="K127" s="12" t="n"/>
      <c r="L127" s="22" t="n"/>
      <c r="M127" s="13" t="n"/>
      <c r="N127" s="14">
        <f>ROUND(I127*(SUM(J127:M127))*68%,0)</f>
        <v/>
      </c>
      <c r="O127" s="61" t="n"/>
      <c r="P127" s="59" t="n"/>
      <c r="Q127" s="59" t="n"/>
      <c r="R127" s="58" t="n"/>
      <c r="S127" s="15">
        <f>I127*J127</f>
        <v/>
      </c>
      <c r="T127" s="15">
        <f>SUM(S127:S127)*68%</f>
        <v/>
      </c>
      <c r="U127" s="15">
        <f>I127*K127*40%*O127</f>
        <v/>
      </c>
      <c r="V127" s="15">
        <f>IF(P127&gt;=6750,(I127*K127*40%),0)</f>
        <v/>
      </c>
      <c r="W127" s="15">
        <f>IF(P127&lt;6750,0,IF(Q127="",0,IF(OR(Q127="KURANG",Q127="SANGAT KURANG"),I127*K127*10%,I127*K127*20%)))</f>
        <v/>
      </c>
      <c r="X127" s="15">
        <f>SUM(U127:W127)*68%</f>
        <v/>
      </c>
      <c r="Y127" s="15">
        <f>I127*L127</f>
        <v/>
      </c>
      <c r="Z127" s="15">
        <f>Y127 * 68%</f>
        <v/>
      </c>
      <c r="AA127" s="15">
        <f>I127*M127</f>
        <v/>
      </c>
      <c r="AB127" s="15">
        <f>AA127*68%</f>
        <v/>
      </c>
      <c r="AC127" s="16">
        <f>ROUND((T127+X127+Z127+AB127),0)</f>
        <v/>
      </c>
      <c r="AD127" s="16">
        <f>AG127</f>
        <v/>
      </c>
      <c r="AE127" s="16">
        <f>AI127</f>
        <v/>
      </c>
      <c r="AF127" s="16">
        <f>AC127+AD127+AE127</f>
        <v/>
      </c>
      <c r="AG127" s="16" t="n"/>
      <c r="AH127" s="17" t="n"/>
      <c r="AI127" s="17">
        <f>AH127*4</f>
        <v/>
      </c>
      <c r="AJ127" s="15">
        <f>AF127-AG127-AH127-AI127</f>
        <v/>
      </c>
      <c r="AK127" s="18" t="n">
        <v>120</v>
      </c>
      <c r="AL127" s="23" t="n"/>
    </row>
    <row r="128" ht="23.5" customHeight="1">
      <c r="A128" s="6" t="inlineStr">
        <is>
          <t>121</t>
        </is>
      </c>
      <c r="B128" s="28" t="n"/>
      <c r="C128" s="55" t="n"/>
      <c r="D128" s="19" t="n"/>
      <c r="E128" s="24" t="n"/>
      <c r="F128" s="25" t="n"/>
      <c r="G128" s="25" t="n"/>
      <c r="H128" s="25" t="n"/>
      <c r="I128" s="11" t="n"/>
      <c r="J128" s="57" t="n"/>
      <c r="K128" s="12" t="n"/>
      <c r="L128" s="22" t="n"/>
      <c r="M128" s="13" t="n"/>
      <c r="N128" s="14">
        <f>ROUND(I128*(SUM(J128:M128))*68%,0)</f>
        <v/>
      </c>
      <c r="O128" s="61" t="n"/>
      <c r="P128" s="59" t="n"/>
      <c r="Q128" s="59" t="n"/>
      <c r="R128" s="58" t="n"/>
      <c r="S128" s="15">
        <f>I128*J128</f>
        <v/>
      </c>
      <c r="T128" s="15">
        <f>SUM(S128:S128)*68%</f>
        <v/>
      </c>
      <c r="U128" s="15">
        <f>I128*K128*40%*O128</f>
        <v/>
      </c>
      <c r="V128" s="15">
        <f>IF(P128&gt;=6750,(I128*K128*40%),0)</f>
        <v/>
      </c>
      <c r="W128" s="15">
        <f>IF(P128&lt;6750,0,IF(Q128="",0,IF(OR(Q128="KURANG",Q128="SANGAT KURANG"),I128*K128*10%,I128*K128*20%)))</f>
        <v/>
      </c>
      <c r="X128" s="15">
        <f>SUM(U128:W128)*68%</f>
        <v/>
      </c>
      <c r="Y128" s="15">
        <f>I128*L128</f>
        <v/>
      </c>
      <c r="Z128" s="15">
        <f>Y128 * 68%</f>
        <v/>
      </c>
      <c r="AA128" s="15">
        <f>I128*M128</f>
        <v/>
      </c>
      <c r="AB128" s="15">
        <f>AA128*68%</f>
        <v/>
      </c>
      <c r="AC128" s="16">
        <f>ROUND((T128+X128+Z128+AB128),0)</f>
        <v/>
      </c>
      <c r="AD128" s="16">
        <f>AG128</f>
        <v/>
      </c>
      <c r="AE128" s="16">
        <f>AI128</f>
        <v/>
      </c>
      <c r="AF128" s="16">
        <f>AC128+AD128+AE128</f>
        <v/>
      </c>
      <c r="AG128" s="16" t="n"/>
      <c r="AH128" s="17" t="n"/>
      <c r="AI128" s="17">
        <f>AH128*4</f>
        <v/>
      </c>
      <c r="AJ128" s="15">
        <f>AF128-AG128-AH128-AI128</f>
        <v/>
      </c>
      <c r="AK128" s="18" t="n">
        <v>121</v>
      </c>
      <c r="AL128" s="40" t="n"/>
    </row>
    <row r="129" ht="23.5" customHeight="1">
      <c r="A129" s="6" t="inlineStr">
        <is>
          <t>122</t>
        </is>
      </c>
      <c r="B129" s="28" t="n"/>
      <c r="C129" s="55" t="n"/>
      <c r="D129" s="19" t="n"/>
      <c r="E129" s="24" t="n"/>
      <c r="F129" s="25" t="n"/>
      <c r="G129" s="25" t="n"/>
      <c r="H129" s="25" t="n"/>
      <c r="I129" s="11" t="n"/>
      <c r="J129" s="57" t="n"/>
      <c r="K129" s="12" t="n"/>
      <c r="L129" s="22" t="n"/>
      <c r="M129" s="13" t="n"/>
      <c r="N129" s="14">
        <f>ROUND(I129*(SUM(J129:M129))*68%,0)</f>
        <v/>
      </c>
      <c r="O129" s="61" t="n"/>
      <c r="P129" s="59" t="n"/>
      <c r="Q129" s="59" t="n"/>
      <c r="R129" s="58" t="n"/>
      <c r="S129" s="15">
        <f>I129*J129</f>
        <v/>
      </c>
      <c r="T129" s="15">
        <f>SUM(S129:S129)*68%</f>
        <v/>
      </c>
      <c r="U129" s="15">
        <f>I129*K129*40%*O129</f>
        <v/>
      </c>
      <c r="V129" s="15">
        <f>IF(P129&gt;=6750,(I129*K129*40%),0)</f>
        <v/>
      </c>
      <c r="W129" s="15">
        <f>IF(P129&lt;6750,0,IF(Q129="",0,IF(OR(Q129="KURANG",Q129="SANGAT KURANG"),I129*K129*10%,I129*K129*20%)))</f>
        <v/>
      </c>
      <c r="X129" s="15">
        <f>SUM(U129:W129)*68%</f>
        <v/>
      </c>
      <c r="Y129" s="15">
        <f>I129*L129</f>
        <v/>
      </c>
      <c r="Z129" s="15">
        <f>Y129 * 68%</f>
        <v/>
      </c>
      <c r="AA129" s="15">
        <f>I129*M129</f>
        <v/>
      </c>
      <c r="AB129" s="15">
        <f>AA129*68%</f>
        <v/>
      </c>
      <c r="AC129" s="16">
        <f>ROUND((T129+X129+Z129+AB129),0)</f>
        <v/>
      </c>
      <c r="AD129" s="16">
        <f>AG129</f>
        <v/>
      </c>
      <c r="AE129" s="16">
        <f>AI129</f>
        <v/>
      </c>
      <c r="AF129" s="16">
        <f>AC129+AD129+AE129</f>
        <v/>
      </c>
      <c r="AG129" s="16" t="n"/>
      <c r="AH129" s="17" t="n"/>
      <c r="AI129" s="17">
        <f>AH129*4</f>
        <v/>
      </c>
      <c r="AJ129" s="15">
        <f>AF129-AG129-AH129-AI129</f>
        <v/>
      </c>
      <c r="AK129" s="18" t="n">
        <v>122</v>
      </c>
      <c r="AL129" s="23" t="n"/>
    </row>
    <row r="130" ht="23.5" customHeight="1">
      <c r="A130" s="6" t="inlineStr">
        <is>
          <t>123</t>
        </is>
      </c>
      <c r="B130" s="24" t="n"/>
      <c r="C130" s="55" t="n"/>
      <c r="D130" s="19" t="n"/>
      <c r="E130" s="24" t="n"/>
      <c r="F130" s="25" t="n"/>
      <c r="G130" s="25" t="n"/>
      <c r="H130" s="25" t="n"/>
      <c r="I130" s="11" t="n"/>
      <c r="J130" s="57" t="n"/>
      <c r="K130" s="12" t="n"/>
      <c r="L130" s="22" t="n"/>
      <c r="M130" s="13" t="n"/>
      <c r="N130" s="14">
        <f>ROUND(I130*(SUM(J130:M130))*68%,0)</f>
        <v/>
      </c>
      <c r="O130" s="61" t="n"/>
      <c r="P130" s="59" t="n"/>
      <c r="Q130" s="59" t="n"/>
      <c r="R130" s="58" t="n"/>
      <c r="S130" s="15">
        <f>I130*J130</f>
        <v/>
      </c>
      <c r="T130" s="15">
        <f>SUM(S130:S130)*68%</f>
        <v/>
      </c>
      <c r="U130" s="15">
        <f>I130*K130*40%*O130</f>
        <v/>
      </c>
      <c r="V130" s="15">
        <f>IF(P130&gt;=6750,(I130*K130*40%),0)</f>
        <v/>
      </c>
      <c r="W130" s="15">
        <f>IF(P130&lt;6750,0,IF(Q130="",0,IF(OR(Q130="KURANG",Q130="SANGAT KURANG"),I130*K130*10%,I130*K130*20%)))</f>
        <v/>
      </c>
      <c r="X130" s="15">
        <f>SUM(U130:W130)*68%</f>
        <v/>
      </c>
      <c r="Y130" s="15">
        <f>I130*L130</f>
        <v/>
      </c>
      <c r="Z130" s="15">
        <f>Y130 * 68%</f>
        <v/>
      </c>
      <c r="AA130" s="15">
        <f>I130*M130</f>
        <v/>
      </c>
      <c r="AB130" s="15">
        <f>AA130*68%</f>
        <v/>
      </c>
      <c r="AC130" s="16">
        <f>ROUND((T130+X130+Z130+AB130),0)</f>
        <v/>
      </c>
      <c r="AD130" s="16">
        <f>AG130</f>
        <v/>
      </c>
      <c r="AE130" s="16">
        <f>AI130</f>
        <v/>
      </c>
      <c r="AF130" s="16">
        <f>AC130+AD130+AE130</f>
        <v/>
      </c>
      <c r="AG130" s="16" t="n"/>
      <c r="AH130" s="17" t="n"/>
      <c r="AI130" s="17">
        <f>AH130*4</f>
        <v/>
      </c>
      <c r="AJ130" s="15">
        <f>AF130-AG130-AH130-AI130</f>
        <v/>
      </c>
      <c r="AK130" s="18" t="n">
        <v>123</v>
      </c>
      <c r="AL130" s="40" t="n"/>
    </row>
    <row r="131" ht="23.5" customHeight="1">
      <c r="A131" s="6" t="inlineStr">
        <is>
          <t>124</t>
        </is>
      </c>
      <c r="B131" s="24" t="n"/>
      <c r="C131" s="55" t="n"/>
      <c r="D131" s="19" t="n"/>
      <c r="E131" s="24" t="n"/>
      <c r="F131" s="25" t="n"/>
      <c r="G131" s="25" t="n"/>
      <c r="H131" s="25" t="n"/>
      <c r="I131" s="11" t="n"/>
      <c r="J131" s="57" t="n"/>
      <c r="K131" s="12" t="n"/>
      <c r="L131" s="22" t="n"/>
      <c r="M131" s="13" t="n"/>
      <c r="N131" s="14">
        <f>ROUND(I131*(SUM(J131:M131))*68%,0)</f>
        <v/>
      </c>
      <c r="O131" s="61" t="n"/>
      <c r="P131" s="59" t="n"/>
      <c r="Q131" s="59" t="n"/>
      <c r="R131" s="58" t="n"/>
      <c r="S131" s="15">
        <f>I131*J131</f>
        <v/>
      </c>
      <c r="T131" s="15">
        <f>SUM(S131:S131)*68%</f>
        <v/>
      </c>
      <c r="U131" s="15">
        <f>I131*K131*40%*O131</f>
        <v/>
      </c>
      <c r="V131" s="15">
        <f>IF(P131&gt;=6750,(I131*K131*40%),0)</f>
        <v/>
      </c>
      <c r="W131" s="15">
        <f>IF(P131&lt;6750,0,IF(Q131="",0,IF(OR(Q131="KURANG",Q131="SANGAT KURANG"),I131*K131*10%,I131*K131*20%)))</f>
        <v/>
      </c>
      <c r="X131" s="15">
        <f>SUM(U131:W131)*68%</f>
        <v/>
      </c>
      <c r="Y131" s="15">
        <f>I131*L131</f>
        <v/>
      </c>
      <c r="Z131" s="15">
        <f>Y131 * 68%</f>
        <v/>
      </c>
      <c r="AA131" s="15">
        <f>I131*M131</f>
        <v/>
      </c>
      <c r="AB131" s="15">
        <f>AA131*68%</f>
        <v/>
      </c>
      <c r="AC131" s="16">
        <f>ROUND((T131+X131+Z131+AB131),0)</f>
        <v/>
      </c>
      <c r="AD131" s="16">
        <f>AG131</f>
        <v/>
      </c>
      <c r="AE131" s="16">
        <f>AI131</f>
        <v/>
      </c>
      <c r="AF131" s="16">
        <f>AC131+AD131+AE131</f>
        <v/>
      </c>
      <c r="AG131" s="16" t="n"/>
      <c r="AH131" s="17" t="n"/>
      <c r="AI131" s="17">
        <f>AH131*4</f>
        <v/>
      </c>
      <c r="AJ131" s="15">
        <f>AF131-AG131-AH131-AI131</f>
        <v/>
      </c>
      <c r="AK131" s="18" t="n">
        <v>124</v>
      </c>
      <c r="AL131" s="23" t="n"/>
    </row>
    <row r="132" ht="23.5" customHeight="1">
      <c r="A132" s="6" t="inlineStr">
        <is>
          <t>125</t>
        </is>
      </c>
      <c r="B132" s="24" t="n"/>
      <c r="C132" s="55" t="n"/>
      <c r="D132" s="19" t="n"/>
      <c r="E132" s="24" t="n"/>
      <c r="F132" s="25" t="n"/>
      <c r="G132" s="25" t="n"/>
      <c r="H132" s="25" t="n"/>
      <c r="I132" s="11" t="n"/>
      <c r="J132" s="57" t="n"/>
      <c r="K132" s="12" t="n"/>
      <c r="L132" s="22" t="n"/>
      <c r="M132" s="13" t="n"/>
      <c r="N132" s="14">
        <f>ROUND(I132*(SUM(J132:M132))*68%,0)</f>
        <v/>
      </c>
      <c r="O132" s="61" t="n"/>
      <c r="P132" s="59" t="n"/>
      <c r="Q132" s="59" t="n"/>
      <c r="R132" s="58" t="n"/>
      <c r="S132" s="15">
        <f>I132*J132</f>
        <v/>
      </c>
      <c r="T132" s="15">
        <f>SUM(S132:S132)*68%</f>
        <v/>
      </c>
      <c r="U132" s="15">
        <f>I132*K132*40%*O132</f>
        <v/>
      </c>
      <c r="V132" s="15">
        <f>IF(P132&gt;=6750,(I132*K132*40%),0)</f>
        <v/>
      </c>
      <c r="W132" s="15">
        <f>IF(P132&lt;6750,0,IF(Q132="",0,IF(OR(Q132="KURANG",Q132="SANGAT KURANG"),I132*K132*10%,I132*K132*20%)))</f>
        <v/>
      </c>
      <c r="X132" s="15">
        <f>SUM(U132:W132)*68%</f>
        <v/>
      </c>
      <c r="Y132" s="15">
        <f>I132*L132</f>
        <v/>
      </c>
      <c r="Z132" s="15">
        <f>Y132 * 68%</f>
        <v/>
      </c>
      <c r="AA132" s="15">
        <f>I132*M132</f>
        <v/>
      </c>
      <c r="AB132" s="15">
        <f>AA132*68%</f>
        <v/>
      </c>
      <c r="AC132" s="16">
        <f>ROUND((T132+X132+Z132+AB132),0)</f>
        <v/>
      </c>
      <c r="AD132" s="16">
        <f>AG132</f>
        <v/>
      </c>
      <c r="AE132" s="16">
        <f>AI132</f>
        <v/>
      </c>
      <c r="AF132" s="16">
        <f>AC132+AD132+AE132</f>
        <v/>
      </c>
      <c r="AG132" s="16" t="n"/>
      <c r="AH132" s="17" t="n"/>
      <c r="AI132" s="17">
        <f>AH132*4</f>
        <v/>
      </c>
      <c r="AJ132" s="15">
        <f>AF132-AG132-AH132-AI132</f>
        <v/>
      </c>
      <c r="AK132" s="18" t="n">
        <v>125</v>
      </c>
      <c r="AL132" s="23" t="n"/>
    </row>
    <row r="133" ht="23.5" customHeight="1">
      <c r="A133" s="6" t="inlineStr">
        <is>
          <t>126</t>
        </is>
      </c>
      <c r="B133" s="24" t="n"/>
      <c r="C133" s="55" t="n"/>
      <c r="D133" s="19" t="n"/>
      <c r="E133" s="24" t="n"/>
      <c r="F133" s="25" t="n"/>
      <c r="G133" s="25" t="n"/>
      <c r="H133" s="25" t="n"/>
      <c r="I133" s="11" t="n"/>
      <c r="J133" s="57" t="n"/>
      <c r="K133" s="12" t="n"/>
      <c r="L133" s="22" t="n"/>
      <c r="M133" s="13" t="n"/>
      <c r="N133" s="14">
        <f>ROUND(I133*(SUM(J133:M133))*68%,0)</f>
        <v/>
      </c>
      <c r="O133" s="61" t="n"/>
      <c r="P133" s="59" t="n"/>
      <c r="Q133" s="59" t="n"/>
      <c r="R133" s="58" t="n"/>
      <c r="S133" s="15">
        <f>I133*J133</f>
        <v/>
      </c>
      <c r="T133" s="15">
        <f>SUM(S133:S133)*68%</f>
        <v/>
      </c>
      <c r="U133" s="15">
        <f>I133*K133*40%*O133</f>
        <v/>
      </c>
      <c r="V133" s="15">
        <f>IF(P133&gt;=6750,(I133*K133*40%),0)</f>
        <v/>
      </c>
      <c r="W133" s="15">
        <f>IF(P133&lt;6750,0,IF(Q133="",0,IF(OR(Q133="KURANG",Q133="SANGAT KURANG"),I133*K133*10%,I133*K133*20%)))</f>
        <v/>
      </c>
      <c r="X133" s="15">
        <f>SUM(U133:W133)*68%</f>
        <v/>
      </c>
      <c r="Y133" s="15">
        <f>I133*L133</f>
        <v/>
      </c>
      <c r="Z133" s="15">
        <f>Y133 * 68%</f>
        <v/>
      </c>
      <c r="AA133" s="15">
        <f>I133*M133</f>
        <v/>
      </c>
      <c r="AB133" s="15">
        <f>AA133*68%</f>
        <v/>
      </c>
      <c r="AC133" s="16">
        <f>ROUND((T133+X133+Z133+AB133),0)</f>
        <v/>
      </c>
      <c r="AD133" s="16">
        <f>AG133</f>
        <v/>
      </c>
      <c r="AE133" s="16">
        <f>AI133</f>
        <v/>
      </c>
      <c r="AF133" s="16">
        <f>AC133+AD133+AE133</f>
        <v/>
      </c>
      <c r="AG133" s="16" t="n"/>
      <c r="AH133" s="17" t="n"/>
      <c r="AI133" s="17">
        <f>AH133*4</f>
        <v/>
      </c>
      <c r="AJ133" s="15">
        <f>AF133-AG133-AH133-AI133</f>
        <v/>
      </c>
      <c r="AK133" s="18" t="n">
        <v>126</v>
      </c>
      <c r="AL133" s="23" t="n"/>
    </row>
    <row r="134" ht="23.5" customHeight="1">
      <c r="A134" s="6" t="inlineStr">
        <is>
          <t>127</t>
        </is>
      </c>
      <c r="B134" s="24" t="n"/>
      <c r="C134" s="55" t="n"/>
      <c r="D134" s="19" t="n"/>
      <c r="E134" s="24" t="n"/>
      <c r="F134" s="25" t="n"/>
      <c r="G134" s="25" t="n"/>
      <c r="H134" s="25" t="n"/>
      <c r="I134" s="11" t="n"/>
      <c r="J134" s="57" t="n"/>
      <c r="K134" s="12" t="n"/>
      <c r="L134" s="22" t="n"/>
      <c r="M134" s="13" t="n"/>
      <c r="N134" s="14">
        <f>ROUND(I134*(SUM(J134:M134))*68%,0)</f>
        <v/>
      </c>
      <c r="O134" s="61" t="n"/>
      <c r="P134" s="59" t="n"/>
      <c r="Q134" s="59" t="n"/>
      <c r="R134" s="58" t="n"/>
      <c r="S134" s="15">
        <f>I134*J134</f>
        <v/>
      </c>
      <c r="T134" s="15">
        <f>SUM(S134:S134)*68%</f>
        <v/>
      </c>
      <c r="U134" s="15">
        <f>I134*K134*40%*O134</f>
        <v/>
      </c>
      <c r="V134" s="15">
        <f>IF(P134&gt;=6750,(I134*K134*40%),0)</f>
        <v/>
      </c>
      <c r="W134" s="15">
        <f>IF(P134&lt;6750,0,IF(Q134="",0,IF(OR(Q134="KURANG",Q134="SANGAT KURANG"),I134*K134*10%,I134*K134*20%)))</f>
        <v/>
      </c>
      <c r="X134" s="15">
        <f>SUM(U134:W134)*68%</f>
        <v/>
      </c>
      <c r="Y134" s="15">
        <f>I134*L134</f>
        <v/>
      </c>
      <c r="Z134" s="15">
        <f>Y134 * 68%</f>
        <v/>
      </c>
      <c r="AA134" s="15">
        <f>I134*M134</f>
        <v/>
      </c>
      <c r="AB134" s="15">
        <f>AA134*68%</f>
        <v/>
      </c>
      <c r="AC134" s="16">
        <f>ROUND((T134+X134+Z134+AB134),0)</f>
        <v/>
      </c>
      <c r="AD134" s="16">
        <f>AG134</f>
        <v/>
      </c>
      <c r="AE134" s="16">
        <f>AI134</f>
        <v/>
      </c>
      <c r="AF134" s="16">
        <f>AC134+AD134+AE134</f>
        <v/>
      </c>
      <c r="AG134" s="16" t="n"/>
      <c r="AH134" s="17" t="n"/>
      <c r="AI134" s="17">
        <f>AH134*4</f>
        <v/>
      </c>
      <c r="AJ134" s="15">
        <f>AF134-AG134-AH134-AI134</f>
        <v/>
      </c>
      <c r="AK134" s="18" t="n">
        <v>127</v>
      </c>
      <c r="AL134" s="23" t="n"/>
    </row>
    <row r="135" ht="23.5" customHeight="1">
      <c r="A135" s="6" t="inlineStr">
        <is>
          <t>128</t>
        </is>
      </c>
      <c r="B135" s="24" t="n"/>
      <c r="C135" s="55" t="n"/>
      <c r="D135" s="19" t="n"/>
      <c r="E135" s="24" t="n"/>
      <c r="F135" s="25" t="n"/>
      <c r="G135" s="25" t="n"/>
      <c r="H135" s="25" t="n"/>
      <c r="I135" s="11" t="n"/>
      <c r="J135" s="57" t="n"/>
      <c r="K135" s="12" t="n"/>
      <c r="L135" s="22" t="n"/>
      <c r="M135" s="13" t="n"/>
      <c r="N135" s="14">
        <f>ROUND(I135*(SUM(J135:M135))*68%,0)</f>
        <v/>
      </c>
      <c r="O135" s="61" t="n"/>
      <c r="P135" s="59" t="n"/>
      <c r="Q135" s="59" t="n"/>
      <c r="R135" s="58" t="n"/>
      <c r="S135" s="15">
        <f>I135*J135</f>
        <v/>
      </c>
      <c r="T135" s="15">
        <f>SUM(S135:S135)*68%</f>
        <v/>
      </c>
      <c r="U135" s="15">
        <f>I135*K135*40%*O135</f>
        <v/>
      </c>
      <c r="V135" s="15">
        <f>IF(P135&gt;=6750,(I135*K135*40%),0)</f>
        <v/>
      </c>
      <c r="W135" s="15">
        <f>IF(P135&lt;6750,0,IF(Q135="",0,IF(OR(Q135="KURANG",Q135="SANGAT KURANG"),I135*K135*10%,I135*K135*20%)))</f>
        <v/>
      </c>
      <c r="X135" s="15">
        <f>SUM(U135:W135)*68%</f>
        <v/>
      </c>
      <c r="Y135" s="15">
        <f>I135*L135</f>
        <v/>
      </c>
      <c r="Z135" s="15">
        <f>Y135 * 68%</f>
        <v/>
      </c>
      <c r="AA135" s="15">
        <f>I135*M135</f>
        <v/>
      </c>
      <c r="AB135" s="15">
        <f>AA135*68%</f>
        <v/>
      </c>
      <c r="AC135" s="16">
        <f>ROUND((T135+X135+Z135+AB135),0)</f>
        <v/>
      </c>
      <c r="AD135" s="16">
        <f>AG135</f>
        <v/>
      </c>
      <c r="AE135" s="16">
        <f>AI135</f>
        <v/>
      </c>
      <c r="AF135" s="16">
        <f>AC135+AD135+AE135</f>
        <v/>
      </c>
      <c r="AG135" s="16" t="n"/>
      <c r="AH135" s="17" t="n"/>
      <c r="AI135" s="17">
        <f>AH135*4</f>
        <v/>
      </c>
      <c r="AJ135" s="15">
        <f>AF135-AG135-AH135-AI135</f>
        <v/>
      </c>
      <c r="AK135" s="18" t="n">
        <v>128</v>
      </c>
      <c r="AL135" s="23" t="n"/>
    </row>
    <row r="136" ht="23.5" customHeight="1">
      <c r="A136" s="6" t="inlineStr">
        <is>
          <t>129</t>
        </is>
      </c>
      <c r="B136" s="28" t="n"/>
      <c r="C136" s="55" t="n"/>
      <c r="D136" s="19" t="n"/>
      <c r="E136" s="24" t="n"/>
      <c r="F136" s="25" t="n"/>
      <c r="G136" s="25" t="n"/>
      <c r="H136" s="25" t="n"/>
      <c r="I136" s="11" t="n"/>
      <c r="J136" s="57" t="n"/>
      <c r="K136" s="12" t="n"/>
      <c r="L136" s="22" t="n"/>
      <c r="M136" s="13" t="n"/>
      <c r="N136" s="14">
        <f>ROUND(I136*(SUM(J136:M136))*68%,0)</f>
        <v/>
      </c>
      <c r="O136" s="61" t="n"/>
      <c r="P136" s="59" t="n"/>
      <c r="Q136" s="59" t="n"/>
      <c r="R136" s="58" t="n"/>
      <c r="S136" s="15">
        <f>I136*J136</f>
        <v/>
      </c>
      <c r="T136" s="15">
        <f>SUM(S136:S136)*68%</f>
        <v/>
      </c>
      <c r="U136" s="15">
        <f>I136*K136*40%*O136</f>
        <v/>
      </c>
      <c r="V136" s="15">
        <f>IF(P136&gt;=6750,(I136*K136*40%),0)</f>
        <v/>
      </c>
      <c r="W136" s="15">
        <f>IF(P136&lt;6750,0,IF(Q136="",0,IF(OR(Q136="KURANG",Q136="SANGAT KURANG"),I136*K136*10%,I136*K136*20%)))</f>
        <v/>
      </c>
      <c r="X136" s="15">
        <f>SUM(U136:W136)*68%</f>
        <v/>
      </c>
      <c r="Y136" s="15">
        <f>I136*L136</f>
        <v/>
      </c>
      <c r="Z136" s="15">
        <f>Y136 * 68%</f>
        <v/>
      </c>
      <c r="AA136" s="15">
        <f>I136*M136</f>
        <v/>
      </c>
      <c r="AB136" s="15">
        <f>AA136*68%</f>
        <v/>
      </c>
      <c r="AC136" s="16">
        <f>ROUND((T136+X136+Z136+AB136),0)</f>
        <v/>
      </c>
      <c r="AD136" s="16">
        <f>AG136</f>
        <v/>
      </c>
      <c r="AE136" s="16">
        <f>AI136</f>
        <v/>
      </c>
      <c r="AF136" s="16">
        <f>AC136+AD136+AE136</f>
        <v/>
      </c>
      <c r="AG136" s="16" t="n"/>
      <c r="AH136" s="17" t="n"/>
      <c r="AI136" s="17">
        <f>AH136*4</f>
        <v/>
      </c>
      <c r="AJ136" s="15">
        <f>AF136-AG136-AH136-AI136</f>
        <v/>
      </c>
      <c r="AK136" s="18" t="n">
        <v>129</v>
      </c>
      <c r="AL136" s="40" t="n"/>
    </row>
    <row r="137" ht="23.5" customHeight="1">
      <c r="A137" s="6" t="inlineStr">
        <is>
          <t>130</t>
        </is>
      </c>
      <c r="B137" s="28" t="n"/>
      <c r="C137" s="55" t="n"/>
      <c r="D137" s="19" t="n"/>
      <c r="E137" s="24" t="n"/>
      <c r="F137" s="25" t="n"/>
      <c r="G137" s="25" t="n"/>
      <c r="H137" s="25" t="n"/>
      <c r="I137" s="11" t="n"/>
      <c r="J137" s="57" t="n"/>
      <c r="K137" s="12" t="n"/>
      <c r="L137" s="22" t="n"/>
      <c r="M137" s="13" t="n"/>
      <c r="N137" s="14">
        <f>ROUND(I137*(SUM(J137:M137))*68%,0)</f>
        <v/>
      </c>
      <c r="O137" s="61" t="n"/>
      <c r="P137" s="59" t="n"/>
      <c r="Q137" s="59" t="n"/>
      <c r="R137" s="58" t="n"/>
      <c r="S137" s="15">
        <f>I137*J137</f>
        <v/>
      </c>
      <c r="T137" s="15">
        <f>SUM(S137:S137)*68%</f>
        <v/>
      </c>
      <c r="U137" s="15">
        <f>I137*K137*40%*O137</f>
        <v/>
      </c>
      <c r="V137" s="15">
        <f>IF(P137&gt;=6750,(I137*K137*40%),0)</f>
        <v/>
      </c>
      <c r="W137" s="15">
        <f>IF(P137&lt;6750,0,IF(Q137="",0,IF(OR(Q137="KURANG",Q137="SANGAT KURANG"),I137*K137*10%,I137*K137*20%)))</f>
        <v/>
      </c>
      <c r="X137" s="15">
        <f>SUM(U137:W137)*68%</f>
        <v/>
      </c>
      <c r="Y137" s="15">
        <f>I137*L137</f>
        <v/>
      </c>
      <c r="Z137" s="15">
        <f>Y137 * 68%</f>
        <v/>
      </c>
      <c r="AA137" s="15">
        <f>I137*M137</f>
        <v/>
      </c>
      <c r="AB137" s="15">
        <f>AA137*68%</f>
        <v/>
      </c>
      <c r="AC137" s="16">
        <f>ROUND((T137+X137+Z137+AB137),0)</f>
        <v/>
      </c>
      <c r="AD137" s="16">
        <f>AG137</f>
        <v/>
      </c>
      <c r="AE137" s="16">
        <f>AI137</f>
        <v/>
      </c>
      <c r="AF137" s="16">
        <f>AC137+AD137+AE137</f>
        <v/>
      </c>
      <c r="AG137" s="16" t="n"/>
      <c r="AH137" s="17" t="n"/>
      <c r="AI137" s="17">
        <f>AH137*4</f>
        <v/>
      </c>
      <c r="AJ137" s="15">
        <f>AF137-AG137-AH137-AI137</f>
        <v/>
      </c>
      <c r="AK137" s="18" t="n">
        <v>130</v>
      </c>
      <c r="AL137" s="23" t="n"/>
    </row>
    <row r="138" ht="23.5" customHeight="1">
      <c r="A138" s="6" t="inlineStr">
        <is>
          <t>131</t>
        </is>
      </c>
      <c r="B138" s="24" t="n"/>
      <c r="C138" s="55" t="n"/>
      <c r="D138" s="19" t="n"/>
      <c r="E138" s="24" t="n"/>
      <c r="F138" s="25" t="n"/>
      <c r="G138" s="25" t="n"/>
      <c r="H138" s="25" t="n"/>
      <c r="I138" s="11" t="n"/>
      <c r="J138" s="57" t="n"/>
      <c r="K138" s="12" t="n"/>
      <c r="L138" s="22" t="n"/>
      <c r="M138" s="13" t="n"/>
      <c r="N138" s="14">
        <f>ROUND(I138*(SUM(J138:M138))*68%,0)</f>
        <v/>
      </c>
      <c r="O138" s="61" t="n"/>
      <c r="P138" s="59" t="n"/>
      <c r="Q138" s="59" t="n"/>
      <c r="R138" s="58" t="n"/>
      <c r="S138" s="15">
        <f>I138*J138</f>
        <v/>
      </c>
      <c r="T138" s="15">
        <f>SUM(S138:S138)*68%</f>
        <v/>
      </c>
      <c r="U138" s="15">
        <f>I138*K138*40%*O138</f>
        <v/>
      </c>
      <c r="V138" s="15">
        <f>IF(P138&gt;=6750,(I138*K138*40%),0)</f>
        <v/>
      </c>
      <c r="W138" s="15">
        <f>IF(P138&lt;6750,0,IF(Q138="",0,IF(OR(Q138="KURANG",Q138="SANGAT KURANG"),I138*K138*10%,I138*K138*20%)))</f>
        <v/>
      </c>
      <c r="X138" s="15">
        <f>SUM(U138:W138)*68%</f>
        <v/>
      </c>
      <c r="Y138" s="15">
        <f>I138*L138</f>
        <v/>
      </c>
      <c r="Z138" s="15">
        <f>Y138 * 68%</f>
        <v/>
      </c>
      <c r="AA138" s="15">
        <f>I138*M138</f>
        <v/>
      </c>
      <c r="AB138" s="15">
        <f>AA138*68%</f>
        <v/>
      </c>
      <c r="AC138" s="16">
        <f>ROUND((T138+X138+Z138+AB138),0)</f>
        <v/>
      </c>
      <c r="AD138" s="16">
        <f>AG138</f>
        <v/>
      </c>
      <c r="AE138" s="16">
        <f>AI138</f>
        <v/>
      </c>
      <c r="AF138" s="16">
        <f>AC138+AD138+AE138</f>
        <v/>
      </c>
      <c r="AG138" s="16" t="n"/>
      <c r="AH138" s="17" t="n"/>
      <c r="AI138" s="17">
        <f>AH138*4</f>
        <v/>
      </c>
      <c r="AJ138" s="15">
        <f>AF138-AG138-AH138-AI138</f>
        <v/>
      </c>
      <c r="AK138" s="18" t="n">
        <v>131</v>
      </c>
      <c r="AL138" s="40" t="n"/>
    </row>
    <row r="139" ht="23.5" customHeight="1">
      <c r="A139" s="6" t="inlineStr">
        <is>
          <t>132</t>
        </is>
      </c>
      <c r="B139" s="24" t="n"/>
      <c r="C139" s="55" t="n"/>
      <c r="D139" s="19" t="n"/>
      <c r="E139" s="24" t="n"/>
      <c r="F139" s="25" t="n"/>
      <c r="G139" s="25" t="n"/>
      <c r="H139" s="25" t="n"/>
      <c r="I139" s="11" t="n"/>
      <c r="J139" s="57" t="n"/>
      <c r="K139" s="12" t="n"/>
      <c r="L139" s="22" t="n"/>
      <c r="M139" s="13" t="n"/>
      <c r="N139" s="14">
        <f>ROUND(I139*(SUM(J139:M139))*68%,0)</f>
        <v/>
      </c>
      <c r="O139" s="61" t="n"/>
      <c r="P139" s="59" t="n"/>
      <c r="Q139" s="59" t="n"/>
      <c r="R139" s="58" t="n"/>
      <c r="S139" s="15">
        <f>I139*J139</f>
        <v/>
      </c>
      <c r="T139" s="15">
        <f>SUM(S139:S139)*68%</f>
        <v/>
      </c>
      <c r="U139" s="15">
        <f>I139*K139*40%*O139</f>
        <v/>
      </c>
      <c r="V139" s="15">
        <f>IF(P139&gt;=6750,(I139*K139*40%),0)</f>
        <v/>
      </c>
      <c r="W139" s="15">
        <f>IF(P139&lt;6750,0,IF(Q139="",0,IF(OR(Q139="KURANG",Q139="SANGAT KURANG"),I139*K139*10%,I139*K139*20%)))</f>
        <v/>
      </c>
      <c r="X139" s="15">
        <f>SUM(U139:W139)*68%</f>
        <v/>
      </c>
      <c r="Y139" s="15">
        <f>I139*L139</f>
        <v/>
      </c>
      <c r="Z139" s="15">
        <f>Y139 * 68%</f>
        <v/>
      </c>
      <c r="AA139" s="15">
        <f>I139*M139</f>
        <v/>
      </c>
      <c r="AB139" s="15">
        <f>AA139*68%</f>
        <v/>
      </c>
      <c r="AC139" s="16">
        <f>ROUND((T139+X139+Z139+AB139),0)</f>
        <v/>
      </c>
      <c r="AD139" s="16">
        <f>AG139</f>
        <v/>
      </c>
      <c r="AE139" s="16">
        <f>AI139</f>
        <v/>
      </c>
      <c r="AF139" s="16">
        <f>AC139+AD139+AE139</f>
        <v/>
      </c>
      <c r="AG139" s="16" t="n"/>
      <c r="AH139" s="17" t="n"/>
      <c r="AI139" s="17">
        <f>AH139*4</f>
        <v/>
      </c>
      <c r="AJ139" s="15">
        <f>AF139-AG139-AH139-AI139</f>
        <v/>
      </c>
      <c r="AK139" s="18" t="n">
        <v>132</v>
      </c>
      <c r="AL139" s="23" t="n"/>
    </row>
    <row r="140" ht="23.5" customHeight="1">
      <c r="A140" s="6" t="inlineStr">
        <is>
          <t>133</t>
        </is>
      </c>
      <c r="B140" s="24" t="n"/>
      <c r="C140" s="55" t="n"/>
      <c r="D140" s="19" t="n"/>
      <c r="E140" s="24" t="n"/>
      <c r="F140" s="25" t="n"/>
      <c r="G140" s="25" t="n"/>
      <c r="H140" s="25" t="n"/>
      <c r="I140" s="11" t="n"/>
      <c r="J140" s="57" t="n"/>
      <c r="K140" s="12" t="n"/>
      <c r="L140" s="22" t="n"/>
      <c r="M140" s="13" t="n"/>
      <c r="N140" s="14">
        <f>ROUND(I140*(SUM(J140:M140))*68%,0)</f>
        <v/>
      </c>
      <c r="O140" s="61" t="n"/>
      <c r="P140" s="59" t="n"/>
      <c r="Q140" s="59" t="n"/>
      <c r="R140" s="58" t="n"/>
      <c r="S140" s="15">
        <f>I140*J140</f>
        <v/>
      </c>
      <c r="T140" s="15">
        <f>SUM(S140:S140)*68%</f>
        <v/>
      </c>
      <c r="U140" s="15">
        <f>I140*K140*40%*O140</f>
        <v/>
      </c>
      <c r="V140" s="15">
        <f>IF(P140&gt;=6750,(I140*K140*40%),0)</f>
        <v/>
      </c>
      <c r="W140" s="15">
        <f>IF(P140&lt;6750,0,IF(Q140="",0,IF(OR(Q140="KURANG",Q140="SANGAT KURANG"),I140*K140*10%,I140*K140*20%)))</f>
        <v/>
      </c>
      <c r="X140" s="15">
        <f>SUM(U140:W140)*68%</f>
        <v/>
      </c>
      <c r="Y140" s="15">
        <f>I140*L140</f>
        <v/>
      </c>
      <c r="Z140" s="15">
        <f>Y140 * 68%</f>
        <v/>
      </c>
      <c r="AA140" s="15">
        <f>I140*M140</f>
        <v/>
      </c>
      <c r="AB140" s="15">
        <f>AA140*68%</f>
        <v/>
      </c>
      <c r="AC140" s="16">
        <f>ROUND((T140+X140+Z140+AB140),0)</f>
        <v/>
      </c>
      <c r="AD140" s="16">
        <f>AG140</f>
        <v/>
      </c>
      <c r="AE140" s="16">
        <f>AI140</f>
        <v/>
      </c>
      <c r="AF140" s="16">
        <f>AC140+AD140+AE140</f>
        <v/>
      </c>
      <c r="AG140" s="16" t="n"/>
      <c r="AH140" s="17" t="n"/>
      <c r="AI140" s="17">
        <f>AH140*4</f>
        <v/>
      </c>
      <c r="AJ140" s="15">
        <f>AF140-AG140-AH140-AI140</f>
        <v/>
      </c>
      <c r="AK140" s="18" t="n">
        <v>133</v>
      </c>
      <c r="AL140" s="23" t="n"/>
    </row>
    <row r="141" ht="23.5" customHeight="1">
      <c r="A141" s="6" t="inlineStr">
        <is>
          <t>134</t>
        </is>
      </c>
      <c r="B141" s="24" t="n"/>
      <c r="C141" s="55" t="n"/>
      <c r="D141" s="19" t="n"/>
      <c r="E141" s="24" t="n"/>
      <c r="F141" s="25" t="n"/>
      <c r="G141" s="25" t="n"/>
      <c r="H141" s="25" t="n"/>
      <c r="I141" s="11" t="n"/>
      <c r="J141" s="57" t="n"/>
      <c r="K141" s="12" t="n"/>
      <c r="L141" s="22" t="n"/>
      <c r="M141" s="13" t="n"/>
      <c r="N141" s="14">
        <f>ROUND(I141*(SUM(J141:M141))*68%,0)</f>
        <v/>
      </c>
      <c r="O141" s="61" t="n"/>
      <c r="P141" s="59" t="n"/>
      <c r="Q141" s="59" t="n"/>
      <c r="R141" s="58" t="n"/>
      <c r="S141" s="15">
        <f>I141*J141</f>
        <v/>
      </c>
      <c r="T141" s="15">
        <f>SUM(S141:S141)*68%</f>
        <v/>
      </c>
      <c r="U141" s="15">
        <f>I141*K141*40%*O141</f>
        <v/>
      </c>
      <c r="V141" s="15">
        <f>IF(P141&gt;=6750,(I141*K141*40%),0)</f>
        <v/>
      </c>
      <c r="W141" s="15">
        <f>IF(P141&lt;6750,0,IF(Q141="",0,IF(OR(Q141="KURANG",Q141="SANGAT KURANG"),I141*K141*10%,I141*K141*20%)))</f>
        <v/>
      </c>
      <c r="X141" s="15">
        <f>SUM(U141:W141)*68%</f>
        <v/>
      </c>
      <c r="Y141" s="15">
        <f>I141*L141</f>
        <v/>
      </c>
      <c r="Z141" s="15">
        <f>Y141 * 68%</f>
        <v/>
      </c>
      <c r="AA141" s="15">
        <f>I141*M141</f>
        <v/>
      </c>
      <c r="AB141" s="15">
        <f>AA141*68%</f>
        <v/>
      </c>
      <c r="AC141" s="16">
        <f>ROUND((T141+X141+Z141+AB141),0)</f>
        <v/>
      </c>
      <c r="AD141" s="16">
        <f>AG141</f>
        <v/>
      </c>
      <c r="AE141" s="16">
        <f>AI141</f>
        <v/>
      </c>
      <c r="AF141" s="16">
        <f>AC141+AD141+AE141</f>
        <v/>
      </c>
      <c r="AG141" s="16" t="n"/>
      <c r="AH141" s="17" t="n"/>
      <c r="AI141" s="17">
        <f>AH141*4</f>
        <v/>
      </c>
      <c r="AJ141" s="15">
        <f>AF141-AG141-AH141-AI141</f>
        <v/>
      </c>
      <c r="AK141" s="18" t="n">
        <v>134</v>
      </c>
      <c r="AL141" s="23" t="n"/>
    </row>
    <row r="142" ht="23.5" customHeight="1">
      <c r="A142" s="6" t="inlineStr">
        <is>
          <t>135</t>
        </is>
      </c>
      <c r="B142" s="24" t="n"/>
      <c r="C142" s="55" t="n"/>
      <c r="D142" s="19" t="n"/>
      <c r="E142" s="24" t="n"/>
      <c r="F142" s="25" t="n"/>
      <c r="G142" s="25" t="n"/>
      <c r="H142" s="25" t="n"/>
      <c r="I142" s="11" t="n"/>
      <c r="J142" s="57" t="n"/>
      <c r="K142" s="12" t="n"/>
      <c r="L142" s="22" t="n"/>
      <c r="M142" s="13" t="n"/>
      <c r="N142" s="14">
        <f>ROUND(I142*(SUM(J142:M142))*68%,0)</f>
        <v/>
      </c>
      <c r="O142" s="61" t="n"/>
      <c r="P142" s="59" t="n"/>
      <c r="Q142" s="59" t="n"/>
      <c r="R142" s="58" t="n"/>
      <c r="S142" s="15">
        <f>I142*J142</f>
        <v/>
      </c>
      <c r="T142" s="15">
        <f>SUM(S142:S142)*68%</f>
        <v/>
      </c>
      <c r="U142" s="15">
        <f>I142*K142*40%*O142</f>
        <v/>
      </c>
      <c r="V142" s="15">
        <f>IF(P142&gt;=6750,(I142*K142*40%),0)</f>
        <v/>
      </c>
      <c r="W142" s="15">
        <f>IF(P142&lt;6750,0,IF(Q142="",0,IF(OR(Q142="KURANG",Q142="SANGAT KURANG"),I142*K142*10%,I142*K142*20%)))</f>
        <v/>
      </c>
      <c r="X142" s="15">
        <f>SUM(U142:W142)*68%</f>
        <v/>
      </c>
      <c r="Y142" s="15">
        <f>I142*L142</f>
        <v/>
      </c>
      <c r="Z142" s="15">
        <f>Y142 * 68%</f>
        <v/>
      </c>
      <c r="AA142" s="15">
        <f>I142*M142</f>
        <v/>
      </c>
      <c r="AB142" s="15">
        <f>AA142*68%</f>
        <v/>
      </c>
      <c r="AC142" s="16">
        <f>ROUND((T142+X142+Z142+AB142),0)</f>
        <v/>
      </c>
      <c r="AD142" s="16">
        <f>AG142</f>
        <v/>
      </c>
      <c r="AE142" s="16">
        <f>AI142</f>
        <v/>
      </c>
      <c r="AF142" s="16">
        <f>AC142+AD142+AE142</f>
        <v/>
      </c>
      <c r="AG142" s="16" t="n"/>
      <c r="AH142" s="17" t="n"/>
      <c r="AI142" s="17">
        <f>AH142*4</f>
        <v/>
      </c>
      <c r="AJ142" s="15">
        <f>AF142-AG142-AH142-AI142</f>
        <v/>
      </c>
      <c r="AK142" s="18" t="n">
        <v>135</v>
      </c>
      <c r="AL142" s="23" t="n"/>
    </row>
    <row r="143" ht="23.5" customHeight="1">
      <c r="A143" s="6" t="inlineStr">
        <is>
          <t>136</t>
        </is>
      </c>
      <c r="B143" s="24" t="n"/>
      <c r="C143" s="55" t="n"/>
      <c r="D143" s="19" t="n"/>
      <c r="E143" s="24" t="n"/>
      <c r="F143" s="25" t="n"/>
      <c r="G143" s="25" t="n"/>
      <c r="H143" s="25" t="n"/>
      <c r="I143" s="11" t="n"/>
      <c r="J143" s="57" t="n"/>
      <c r="K143" s="12" t="n"/>
      <c r="L143" s="22" t="n"/>
      <c r="M143" s="13" t="n"/>
      <c r="N143" s="14">
        <f>ROUND(I143*(SUM(J143:M143))*68%,0)</f>
        <v/>
      </c>
      <c r="O143" s="61" t="n"/>
      <c r="P143" s="59" t="n"/>
      <c r="Q143" s="59" t="n"/>
      <c r="R143" s="58" t="n"/>
      <c r="S143" s="15">
        <f>I143*J143</f>
        <v/>
      </c>
      <c r="T143" s="15">
        <f>SUM(S143:S143)*68%</f>
        <v/>
      </c>
      <c r="U143" s="15">
        <f>I143*K143*40%*O143</f>
        <v/>
      </c>
      <c r="V143" s="15">
        <f>IF(P143&gt;=6750,(I143*K143*40%),0)</f>
        <v/>
      </c>
      <c r="W143" s="15">
        <f>IF(P143&lt;6750,0,IF(Q143="",0,IF(OR(Q143="KURANG",Q143="SANGAT KURANG"),I143*K143*10%,I143*K143*20%)))</f>
        <v/>
      </c>
      <c r="X143" s="15">
        <f>SUM(U143:W143)*68%</f>
        <v/>
      </c>
      <c r="Y143" s="15">
        <f>I143*L143</f>
        <v/>
      </c>
      <c r="Z143" s="15">
        <f>Y143 * 68%</f>
        <v/>
      </c>
      <c r="AA143" s="15">
        <f>I143*M143</f>
        <v/>
      </c>
      <c r="AB143" s="15">
        <f>AA143*68%</f>
        <v/>
      </c>
      <c r="AC143" s="16">
        <f>ROUND((T143+X143+Z143+AB143),0)</f>
        <v/>
      </c>
      <c r="AD143" s="16">
        <f>AG143</f>
        <v/>
      </c>
      <c r="AE143" s="16">
        <f>AI143</f>
        <v/>
      </c>
      <c r="AF143" s="16">
        <f>AC143+AD143+AE143</f>
        <v/>
      </c>
      <c r="AG143" s="16" t="n"/>
      <c r="AH143" s="17" t="n"/>
      <c r="AI143" s="17">
        <f>AH143*4</f>
        <v/>
      </c>
      <c r="AJ143" s="15">
        <f>AF143-AG143-AH143-AI143</f>
        <v/>
      </c>
      <c r="AK143" s="18" t="n">
        <v>136</v>
      </c>
      <c r="AL143" s="23" t="n"/>
    </row>
    <row r="144" ht="23.5" customHeight="1">
      <c r="A144" s="6" t="inlineStr">
        <is>
          <t>137</t>
        </is>
      </c>
      <c r="B144" s="24" t="n"/>
      <c r="C144" s="55" t="n"/>
      <c r="D144" s="19" t="n"/>
      <c r="E144" s="24" t="n"/>
      <c r="F144" s="25" t="n"/>
      <c r="G144" s="25" t="n"/>
      <c r="H144" s="25" t="n"/>
      <c r="I144" s="11" t="n"/>
      <c r="J144" s="57" t="n"/>
      <c r="K144" s="12" t="n"/>
      <c r="L144" s="22" t="n"/>
      <c r="M144" s="13" t="n"/>
      <c r="N144" s="14">
        <f>ROUND(I144*(SUM(J144:M144))*68%,0)</f>
        <v/>
      </c>
      <c r="O144" s="61" t="n"/>
      <c r="P144" s="59" t="n"/>
      <c r="Q144" s="59" t="n"/>
      <c r="R144" s="58" t="n"/>
      <c r="S144" s="15">
        <f>I144*J144</f>
        <v/>
      </c>
      <c r="T144" s="15">
        <f>SUM(S144:S144)*68%</f>
        <v/>
      </c>
      <c r="U144" s="15">
        <f>I144*K144*40%*O144</f>
        <v/>
      </c>
      <c r="V144" s="15">
        <f>IF(P144&gt;=6750,(I144*K144*40%),0)</f>
        <v/>
      </c>
      <c r="W144" s="15">
        <f>IF(P144&lt;6750,0,IF(Q144="",0,IF(OR(Q144="KURANG",Q144="SANGAT KURANG"),I144*K144*10%,I144*K144*20%)))</f>
        <v/>
      </c>
      <c r="X144" s="15">
        <f>SUM(U144:W144)*68%</f>
        <v/>
      </c>
      <c r="Y144" s="15">
        <f>I144*L144</f>
        <v/>
      </c>
      <c r="Z144" s="15">
        <f>Y144 * 68%</f>
        <v/>
      </c>
      <c r="AA144" s="15">
        <f>I144*M144</f>
        <v/>
      </c>
      <c r="AB144" s="15">
        <f>AA144*68%</f>
        <v/>
      </c>
      <c r="AC144" s="16">
        <f>ROUND((T144+X144+Z144+AB144),0)</f>
        <v/>
      </c>
      <c r="AD144" s="16">
        <f>AG144</f>
        <v/>
      </c>
      <c r="AE144" s="16">
        <f>AI144</f>
        <v/>
      </c>
      <c r="AF144" s="16">
        <f>AC144+AD144+AE144</f>
        <v/>
      </c>
      <c r="AG144" s="16" t="n"/>
      <c r="AH144" s="17" t="n"/>
      <c r="AI144" s="17">
        <f>AH144*4</f>
        <v/>
      </c>
      <c r="AJ144" s="15">
        <f>AF144-AG144-AH144-AI144</f>
        <v/>
      </c>
      <c r="AK144" s="18" t="n">
        <v>137</v>
      </c>
      <c r="AL144" s="23" t="n"/>
    </row>
    <row r="145" ht="23.5" customHeight="1">
      <c r="A145" s="6" t="inlineStr">
        <is>
          <t>138</t>
        </is>
      </c>
      <c r="B145" s="24" t="n"/>
      <c r="C145" s="55" t="n"/>
      <c r="D145" s="19" t="n"/>
      <c r="E145" s="24" t="n"/>
      <c r="F145" s="25" t="n"/>
      <c r="G145" s="25" t="n"/>
      <c r="H145" s="25" t="n"/>
      <c r="I145" s="11" t="n"/>
      <c r="J145" s="57" t="n"/>
      <c r="K145" s="12" t="n"/>
      <c r="L145" s="22" t="n"/>
      <c r="M145" s="13" t="n"/>
      <c r="N145" s="14">
        <f>ROUND(I145*(SUM(J145:M145))*68%,0)</f>
        <v/>
      </c>
      <c r="O145" s="61" t="n"/>
      <c r="P145" s="59" t="n"/>
      <c r="Q145" s="59" t="n"/>
      <c r="R145" s="58" t="n"/>
      <c r="S145" s="15">
        <f>I145*J145</f>
        <v/>
      </c>
      <c r="T145" s="15">
        <f>SUM(S145:S145)*68%</f>
        <v/>
      </c>
      <c r="U145" s="15">
        <f>I145*K145*40%*O145</f>
        <v/>
      </c>
      <c r="V145" s="15">
        <f>IF(P145&gt;=6750,(I145*K145*40%),0)</f>
        <v/>
      </c>
      <c r="W145" s="15">
        <f>IF(P145&lt;6750,0,IF(Q145="",0,IF(OR(Q145="KURANG",Q145="SANGAT KURANG"),I145*K145*10%,I145*K145*20%)))</f>
        <v/>
      </c>
      <c r="X145" s="15">
        <f>SUM(U145:W145)*68%</f>
        <v/>
      </c>
      <c r="Y145" s="15">
        <f>I145*L145</f>
        <v/>
      </c>
      <c r="Z145" s="15">
        <f>Y145 * 68%</f>
        <v/>
      </c>
      <c r="AA145" s="15">
        <f>I145*M145</f>
        <v/>
      </c>
      <c r="AB145" s="15">
        <f>AA145*68%</f>
        <v/>
      </c>
      <c r="AC145" s="16">
        <f>ROUND((T145+X145+Z145+AB145),0)</f>
        <v/>
      </c>
      <c r="AD145" s="16">
        <f>AG145</f>
        <v/>
      </c>
      <c r="AE145" s="16">
        <f>AI145</f>
        <v/>
      </c>
      <c r="AF145" s="16">
        <f>AC145+AD145+AE145</f>
        <v/>
      </c>
      <c r="AG145" s="16" t="n"/>
      <c r="AH145" s="17" t="n"/>
      <c r="AI145" s="17">
        <f>AH145*4</f>
        <v/>
      </c>
      <c r="AJ145" s="15">
        <f>AF145-AG145-AH145-AI145</f>
        <v/>
      </c>
      <c r="AK145" s="18" t="n">
        <v>138</v>
      </c>
      <c r="AL145" s="40" t="n"/>
    </row>
    <row r="146" ht="23.5" customHeight="1">
      <c r="A146" s="6" t="inlineStr">
        <is>
          <t>139</t>
        </is>
      </c>
      <c r="B146" s="24" t="n"/>
      <c r="C146" s="55" t="n"/>
      <c r="D146" s="19" t="n"/>
      <c r="E146" s="24" t="n"/>
      <c r="F146" s="25" t="n"/>
      <c r="G146" s="25" t="n"/>
      <c r="H146" s="25" t="n"/>
      <c r="I146" s="11" t="n"/>
      <c r="J146" s="57" t="n"/>
      <c r="K146" s="12" t="n"/>
      <c r="L146" s="22" t="n"/>
      <c r="M146" s="13" t="n"/>
      <c r="N146" s="14">
        <f>ROUND(I146*(SUM(J146:M146))*68%,0)</f>
        <v/>
      </c>
      <c r="O146" s="61" t="n"/>
      <c r="P146" s="59" t="n"/>
      <c r="Q146" s="59" t="n"/>
      <c r="R146" s="58" t="n"/>
      <c r="S146" s="15">
        <f>I146*J146</f>
        <v/>
      </c>
      <c r="T146" s="15">
        <f>SUM(S146:S146)*68%</f>
        <v/>
      </c>
      <c r="U146" s="15">
        <f>I146*K146*40%*O146</f>
        <v/>
      </c>
      <c r="V146" s="15">
        <f>IF(P146&gt;=6750,(I146*K146*40%),0)</f>
        <v/>
      </c>
      <c r="W146" s="15">
        <f>IF(P146&lt;6750,0,IF(Q146="",0,IF(OR(Q146="KURANG",Q146="SANGAT KURANG"),I146*K146*10%,I146*K146*20%)))</f>
        <v/>
      </c>
      <c r="X146" s="15">
        <f>SUM(U146:W146)*68%</f>
        <v/>
      </c>
      <c r="Y146" s="15">
        <f>I146*L146</f>
        <v/>
      </c>
      <c r="Z146" s="15">
        <f>Y146 * 68%</f>
        <v/>
      </c>
      <c r="AA146" s="15">
        <f>I146*M146</f>
        <v/>
      </c>
      <c r="AB146" s="15">
        <f>AA146*68%</f>
        <v/>
      </c>
      <c r="AC146" s="16">
        <f>ROUND((T146+X146+Z146+AB146),0)</f>
        <v/>
      </c>
      <c r="AD146" s="16">
        <f>AG146</f>
        <v/>
      </c>
      <c r="AE146" s="16">
        <f>AI146</f>
        <v/>
      </c>
      <c r="AF146" s="16">
        <f>AC146+AD146+AE146</f>
        <v/>
      </c>
      <c r="AG146" s="16" t="n"/>
      <c r="AH146" s="17" t="n"/>
      <c r="AI146" s="17">
        <f>AH146*4</f>
        <v/>
      </c>
      <c r="AJ146" s="15">
        <f>AF146-AG146-AH146-AI146</f>
        <v/>
      </c>
      <c r="AK146" s="18" t="n">
        <v>139</v>
      </c>
      <c r="AL146" s="23" t="n"/>
    </row>
    <row r="147" ht="23.5" customHeight="1">
      <c r="A147" s="6" t="inlineStr">
        <is>
          <t>140</t>
        </is>
      </c>
      <c r="B147" s="24" t="n"/>
      <c r="C147" s="55" t="n"/>
      <c r="D147" s="19" t="n"/>
      <c r="E147" s="24" t="n"/>
      <c r="F147" s="25" t="n"/>
      <c r="G147" s="25" t="n"/>
      <c r="H147" s="25" t="n"/>
      <c r="I147" s="11" t="n"/>
      <c r="J147" s="57" t="n"/>
      <c r="K147" s="12" t="n"/>
      <c r="L147" s="22" t="n"/>
      <c r="M147" s="13" t="n"/>
      <c r="N147" s="14">
        <f>ROUND(I147*(SUM(J147:M147))*68%,0)</f>
        <v/>
      </c>
      <c r="O147" s="61" t="n"/>
      <c r="P147" s="59" t="n"/>
      <c r="Q147" s="59" t="n"/>
      <c r="R147" s="58" t="n"/>
      <c r="S147" s="15">
        <f>I147*J147</f>
        <v/>
      </c>
      <c r="T147" s="15">
        <f>SUM(S147:S147)*68%</f>
        <v/>
      </c>
      <c r="U147" s="15">
        <f>I147*K147*40%*O147</f>
        <v/>
      </c>
      <c r="V147" s="15">
        <f>IF(P147&gt;=6750,(I147*K147*40%),0)</f>
        <v/>
      </c>
      <c r="W147" s="15">
        <f>IF(P147&lt;6750,0,IF(Q147="",0,IF(OR(Q147="KURANG",Q147="SANGAT KURANG"),I147*K147*10%,I147*K147*20%)))</f>
        <v/>
      </c>
      <c r="X147" s="15">
        <f>SUM(U147:W147)*68%</f>
        <v/>
      </c>
      <c r="Y147" s="15">
        <f>I147*L147</f>
        <v/>
      </c>
      <c r="Z147" s="15">
        <f>Y147 * 68%</f>
        <v/>
      </c>
      <c r="AA147" s="15">
        <f>I147*M147</f>
        <v/>
      </c>
      <c r="AB147" s="15">
        <f>AA147*68%</f>
        <v/>
      </c>
      <c r="AC147" s="16">
        <f>ROUND((T147+X147+Z147+AB147),0)</f>
        <v/>
      </c>
      <c r="AD147" s="16">
        <f>AG147</f>
        <v/>
      </c>
      <c r="AE147" s="16">
        <f>AI147</f>
        <v/>
      </c>
      <c r="AF147" s="16">
        <f>AC147+AD147+AE147</f>
        <v/>
      </c>
      <c r="AG147" s="16" t="n"/>
      <c r="AH147" s="17" t="n"/>
      <c r="AI147" s="17">
        <f>AH147*4</f>
        <v/>
      </c>
      <c r="AJ147" s="15">
        <f>AF147-AG147-AH147-AI147</f>
        <v/>
      </c>
      <c r="AK147" s="18" t="n">
        <v>140</v>
      </c>
      <c r="AL147" s="40" t="n"/>
    </row>
    <row r="148" ht="23.5" customHeight="1">
      <c r="A148" s="6" t="inlineStr">
        <is>
          <t>141</t>
        </is>
      </c>
      <c r="B148" s="24" t="n"/>
      <c r="C148" s="55" t="n"/>
      <c r="D148" s="19" t="n"/>
      <c r="E148" s="24" t="n"/>
      <c r="F148" s="25" t="n"/>
      <c r="G148" s="25" t="n"/>
      <c r="H148" s="25" t="n"/>
      <c r="I148" s="11" t="n"/>
      <c r="J148" s="57" t="n"/>
      <c r="K148" s="12" t="n"/>
      <c r="L148" s="22" t="n"/>
      <c r="M148" s="13" t="n"/>
      <c r="N148" s="14">
        <f>ROUND(I148*(SUM(J148:M148))*68%,0)</f>
        <v/>
      </c>
      <c r="O148" s="61" t="n"/>
      <c r="P148" s="59" t="n"/>
      <c r="Q148" s="59" t="n"/>
      <c r="R148" s="58" t="n"/>
      <c r="S148" s="15">
        <f>I148*J148</f>
        <v/>
      </c>
      <c r="T148" s="15">
        <f>SUM(S148:S148)*68%</f>
        <v/>
      </c>
      <c r="U148" s="15">
        <f>I148*K148*40%*O148</f>
        <v/>
      </c>
      <c r="V148" s="15">
        <f>IF(P148&gt;=6750,(I148*K148*40%),0)</f>
        <v/>
      </c>
      <c r="W148" s="15">
        <f>IF(P148&lt;6750,0,IF(Q148="",0,IF(OR(Q148="KURANG",Q148="SANGAT KURANG"),I148*K148*10%,I148*K148*20%)))</f>
        <v/>
      </c>
      <c r="X148" s="15">
        <f>SUM(U148:W148)*68%</f>
        <v/>
      </c>
      <c r="Y148" s="15">
        <f>I148*L148</f>
        <v/>
      </c>
      <c r="Z148" s="15">
        <f>Y148 * 68%</f>
        <v/>
      </c>
      <c r="AA148" s="15">
        <f>I148*M148</f>
        <v/>
      </c>
      <c r="AB148" s="15">
        <f>AA148*68%</f>
        <v/>
      </c>
      <c r="AC148" s="16">
        <f>ROUND((T148+X148+Z148+AB148),0)</f>
        <v/>
      </c>
      <c r="AD148" s="16">
        <f>AG148</f>
        <v/>
      </c>
      <c r="AE148" s="16">
        <f>AI148</f>
        <v/>
      </c>
      <c r="AF148" s="16">
        <f>AC148+AD148+AE148</f>
        <v/>
      </c>
      <c r="AG148" s="16" t="n"/>
      <c r="AH148" s="17" t="n"/>
      <c r="AI148" s="17">
        <f>AH148*4</f>
        <v/>
      </c>
      <c r="AJ148" s="15">
        <f>AF148-AG148-AH148-AI148</f>
        <v/>
      </c>
      <c r="AK148" s="18" t="n">
        <v>141</v>
      </c>
      <c r="AL148" s="23" t="n"/>
    </row>
    <row r="149" ht="23.5" customHeight="1">
      <c r="A149" s="6" t="inlineStr">
        <is>
          <t>142</t>
        </is>
      </c>
      <c r="B149" s="28" t="n"/>
      <c r="C149" s="55" t="n"/>
      <c r="D149" s="19" t="n"/>
      <c r="E149" s="24" t="n"/>
      <c r="F149" s="25" t="n"/>
      <c r="G149" s="25" t="n"/>
      <c r="H149" s="24" t="n"/>
      <c r="I149" s="11" t="n"/>
      <c r="J149" s="57" t="n"/>
      <c r="K149" s="12" t="n"/>
      <c r="L149" s="13" t="n"/>
      <c r="M149" s="13" t="n"/>
      <c r="N149" s="14">
        <f>ROUND(I149*(SUM(J149:M149))*68%,0)</f>
        <v/>
      </c>
      <c r="O149" s="61" t="n"/>
      <c r="P149" s="59" t="n"/>
      <c r="Q149" s="59" t="n"/>
      <c r="R149" s="58" t="n"/>
      <c r="S149" s="15">
        <f>I149*J149</f>
        <v/>
      </c>
      <c r="T149" s="15">
        <f>SUM(S149:S149)*68%</f>
        <v/>
      </c>
      <c r="U149" s="15">
        <f>I149*K149*40%*O149</f>
        <v/>
      </c>
      <c r="V149" s="15">
        <f>IF(P149&gt;=6750,(I149*K149*40%),0)</f>
        <v/>
      </c>
      <c r="W149" s="15">
        <f>IF(P149&lt;6750,0,IF(Q149="",0,IF(OR(Q149="KURANG",Q149="SANGAT KURANG"),I149*K149*10%,I149*K149*20%)))</f>
        <v/>
      </c>
      <c r="X149" s="15">
        <f>SUM(U149:W149)*68%</f>
        <v/>
      </c>
      <c r="Y149" s="15">
        <f>I149*L149</f>
        <v/>
      </c>
      <c r="Z149" s="15">
        <f>Y149 * 68%</f>
        <v/>
      </c>
      <c r="AA149" s="15">
        <f>I149*M149</f>
        <v/>
      </c>
      <c r="AB149" s="15">
        <f>AA149*68%</f>
        <v/>
      </c>
      <c r="AC149" s="16">
        <f>ROUND((T149+X149+Z149+AB149),0)</f>
        <v/>
      </c>
      <c r="AD149" s="16">
        <f>AG149</f>
        <v/>
      </c>
      <c r="AE149" s="16">
        <f>AI149</f>
        <v/>
      </c>
      <c r="AF149" s="16">
        <f>AC149+AD149+AE149</f>
        <v/>
      </c>
      <c r="AG149" s="16" t="n"/>
      <c r="AH149" s="17" t="n"/>
      <c r="AI149" s="17">
        <f>AH149*4</f>
        <v/>
      </c>
      <c r="AJ149" s="15">
        <f>AF149-AG149-AH149-AI149</f>
        <v/>
      </c>
      <c r="AK149" s="18" t="n">
        <v>142</v>
      </c>
      <c r="AL149" s="23" t="n"/>
    </row>
    <row r="150" ht="23.5" customHeight="1">
      <c r="A150" s="6" t="inlineStr">
        <is>
          <t>143</t>
        </is>
      </c>
      <c r="B150" s="28" t="n"/>
      <c r="C150" s="55" t="n"/>
      <c r="D150" s="19" t="n"/>
      <c r="E150" s="24" t="n"/>
      <c r="F150" s="25" t="n"/>
      <c r="G150" s="25" t="n"/>
      <c r="H150" s="24" t="n"/>
      <c r="I150" s="11" t="n"/>
      <c r="J150" s="57" t="n"/>
      <c r="K150" s="12" t="n"/>
      <c r="L150" s="13" t="n"/>
      <c r="M150" s="13" t="n"/>
      <c r="N150" s="14">
        <f>ROUND(I150*(SUM(J150:M150))*68%,0)</f>
        <v/>
      </c>
      <c r="O150" s="61" t="n"/>
      <c r="P150" s="59" t="n"/>
      <c r="Q150" s="59" t="n"/>
      <c r="R150" s="58" t="n"/>
      <c r="S150" s="15">
        <f>I150*J150</f>
        <v/>
      </c>
      <c r="T150" s="15">
        <f>SUM(S150:S150)*68%</f>
        <v/>
      </c>
      <c r="U150" s="15">
        <f>I150*K150*40%*O150</f>
        <v/>
      </c>
      <c r="V150" s="15">
        <f>IF(P150&gt;=6750,(I150*K150*40%),0)</f>
        <v/>
      </c>
      <c r="W150" s="15">
        <f>IF(P150&lt;6750,0,IF(Q150="",0,IF(OR(Q150="KURANG",Q150="SANGAT KURANG"),I150*K150*10%,I150*K150*20%)))</f>
        <v/>
      </c>
      <c r="X150" s="15">
        <f>SUM(U150:W150)*68%</f>
        <v/>
      </c>
      <c r="Y150" s="15">
        <f>I150*L150</f>
        <v/>
      </c>
      <c r="Z150" s="15">
        <f>Y150 * 68%</f>
        <v/>
      </c>
      <c r="AA150" s="15">
        <f>I150*M150</f>
        <v/>
      </c>
      <c r="AB150" s="15">
        <f>AA150*68%</f>
        <v/>
      </c>
      <c r="AC150" s="16">
        <f>ROUND((T150+X150+Z150+AB150),0)</f>
        <v/>
      </c>
      <c r="AD150" s="16">
        <f>AG150</f>
        <v/>
      </c>
      <c r="AE150" s="16">
        <f>AI150</f>
        <v/>
      </c>
      <c r="AF150" s="16">
        <f>AC150+AD150+AE150</f>
        <v/>
      </c>
      <c r="AG150" s="16" t="n"/>
      <c r="AH150" s="17" t="n"/>
      <c r="AI150" s="17">
        <f>AH150*4</f>
        <v/>
      </c>
      <c r="AJ150" s="15">
        <f>AF150-AG150-AH150-AI150</f>
        <v/>
      </c>
      <c r="AK150" s="18" t="n">
        <v>143</v>
      </c>
      <c r="AL150" s="23" t="n"/>
    </row>
    <row r="151" ht="23.5" customHeight="1">
      <c r="A151" s="6" t="inlineStr">
        <is>
          <t>144</t>
        </is>
      </c>
      <c r="B151" s="28" t="n"/>
      <c r="C151" s="55" t="n"/>
      <c r="D151" s="19" t="n"/>
      <c r="E151" s="24" t="n"/>
      <c r="F151" s="25" t="n"/>
      <c r="G151" s="25" t="n"/>
      <c r="H151" s="24" t="n"/>
      <c r="I151" s="11" t="n"/>
      <c r="J151" s="57" t="n"/>
      <c r="K151" s="12" t="n"/>
      <c r="L151" s="13" t="n"/>
      <c r="M151" s="13" t="n"/>
      <c r="N151" s="14">
        <f>ROUND(I151*(SUM(J151:M151))*68%,0)</f>
        <v/>
      </c>
      <c r="O151" s="61" t="n"/>
      <c r="P151" s="59" t="n"/>
      <c r="Q151" s="59" t="n"/>
      <c r="R151" s="58" t="n"/>
      <c r="S151" s="15">
        <f>I151*J151</f>
        <v/>
      </c>
      <c r="T151" s="15">
        <f>SUM(S151:S151)*68%</f>
        <v/>
      </c>
      <c r="U151" s="15">
        <f>I151*K151*40%*O151</f>
        <v/>
      </c>
      <c r="V151" s="15">
        <f>IF(P151&gt;=6750,(I151*K151*40%),0)</f>
        <v/>
      </c>
      <c r="W151" s="15">
        <f>IF(P151&lt;6750,0,IF(Q151="",0,IF(OR(Q151="KURANG",Q151="SANGAT KURANG"),I151*K151*10%,I151*K151*20%)))</f>
        <v/>
      </c>
      <c r="X151" s="15">
        <f>SUM(U151:W151)*68%</f>
        <v/>
      </c>
      <c r="Y151" s="15">
        <f>I151*L151</f>
        <v/>
      </c>
      <c r="Z151" s="15">
        <f>Y151 * 68%</f>
        <v/>
      </c>
      <c r="AA151" s="15">
        <f>I151*M151</f>
        <v/>
      </c>
      <c r="AB151" s="15">
        <f>AA151*68%</f>
        <v/>
      </c>
      <c r="AC151" s="16">
        <f>ROUND((T151+X151+Z151+AB151),0)</f>
        <v/>
      </c>
      <c r="AD151" s="16">
        <f>AG151</f>
        <v/>
      </c>
      <c r="AE151" s="16">
        <f>AI151</f>
        <v/>
      </c>
      <c r="AF151" s="16">
        <f>AC151+AD151+AE151</f>
        <v/>
      </c>
      <c r="AG151" s="16" t="n"/>
      <c r="AH151" s="17" t="n"/>
      <c r="AI151" s="17">
        <f>AH151*4</f>
        <v/>
      </c>
      <c r="AJ151" s="15">
        <f>AF151-AG151-AH151-AI151</f>
        <v/>
      </c>
      <c r="AK151" s="18" t="n">
        <v>144</v>
      </c>
      <c r="AL151" s="23" t="n"/>
    </row>
    <row r="152" ht="23.5" customHeight="1">
      <c r="A152" s="6" t="inlineStr">
        <is>
          <t>145</t>
        </is>
      </c>
      <c r="B152" s="28" t="n"/>
      <c r="C152" s="55" t="n"/>
      <c r="D152" s="19" t="n"/>
      <c r="E152" s="24" t="n"/>
      <c r="F152" s="25" t="n"/>
      <c r="G152" s="25" t="n"/>
      <c r="H152" s="24" t="n"/>
      <c r="I152" s="11" t="n"/>
      <c r="J152" s="57" t="n"/>
      <c r="K152" s="12" t="n"/>
      <c r="L152" s="13" t="n"/>
      <c r="M152" s="13" t="n"/>
      <c r="N152" s="14">
        <f>ROUND(I152*(SUM(J152:M152))*68%,0)</f>
        <v/>
      </c>
      <c r="O152" s="61" t="n"/>
      <c r="P152" s="59" t="n"/>
      <c r="Q152" s="59" t="n"/>
      <c r="R152" s="58" t="n"/>
      <c r="S152" s="15">
        <f>I152*J152</f>
        <v/>
      </c>
      <c r="T152" s="15">
        <f>SUM(S152:S152)*68%</f>
        <v/>
      </c>
      <c r="U152" s="15">
        <f>I152*K152*40%*O152</f>
        <v/>
      </c>
      <c r="V152" s="15">
        <f>IF(P152&gt;=6750,(I152*K152*40%),0)</f>
        <v/>
      </c>
      <c r="W152" s="15">
        <f>IF(P152&lt;6750,0,IF(Q152="",0,IF(OR(Q152="KURANG",Q152="SANGAT KURANG"),I152*K152*10%,I152*K152*20%)))</f>
        <v/>
      </c>
      <c r="X152" s="15">
        <f>SUM(U152:W152)*68%</f>
        <v/>
      </c>
      <c r="Y152" s="15">
        <f>I152*L152</f>
        <v/>
      </c>
      <c r="Z152" s="15">
        <f>Y152 * 68%</f>
        <v/>
      </c>
      <c r="AA152" s="15">
        <f>I152*M152</f>
        <v/>
      </c>
      <c r="AB152" s="15">
        <f>AA152*68%</f>
        <v/>
      </c>
      <c r="AC152" s="16">
        <f>ROUND((T152+X152+Z152+AB152),0)</f>
        <v/>
      </c>
      <c r="AD152" s="16">
        <f>AG152</f>
        <v/>
      </c>
      <c r="AE152" s="16">
        <f>AI152</f>
        <v/>
      </c>
      <c r="AF152" s="16">
        <f>AC152+AD152+AE152</f>
        <v/>
      </c>
      <c r="AG152" s="16" t="n"/>
      <c r="AH152" s="17" t="n"/>
      <c r="AI152" s="17">
        <f>AH152*4</f>
        <v/>
      </c>
      <c r="AJ152" s="15">
        <f>AF152-AG152-AH152-AI152</f>
        <v/>
      </c>
      <c r="AK152" s="18" t="n">
        <v>145</v>
      </c>
      <c r="AL152" s="23" t="n"/>
    </row>
    <row r="153" ht="23.5" customHeight="1">
      <c r="A153" s="6" t="inlineStr">
        <is>
          <t>146</t>
        </is>
      </c>
      <c r="B153" s="28" t="n"/>
      <c r="C153" s="55" t="n"/>
      <c r="D153" s="19" t="n"/>
      <c r="E153" s="24" t="n"/>
      <c r="F153" s="25" t="n"/>
      <c r="G153" s="25" t="n"/>
      <c r="H153" s="24" t="n"/>
      <c r="I153" s="11" t="n"/>
      <c r="J153" s="57" t="n"/>
      <c r="K153" s="12" t="n"/>
      <c r="L153" s="13" t="n"/>
      <c r="M153" s="13" t="n"/>
      <c r="N153" s="14">
        <f>ROUND(I153*(SUM(J153:M153))*68%,0)</f>
        <v/>
      </c>
      <c r="O153" s="61" t="n"/>
      <c r="P153" s="59" t="n"/>
      <c r="Q153" s="59" t="n"/>
      <c r="R153" s="58" t="n"/>
      <c r="S153" s="15">
        <f>I153*J153</f>
        <v/>
      </c>
      <c r="T153" s="15">
        <f>SUM(S153:S153)*68%</f>
        <v/>
      </c>
      <c r="U153" s="15">
        <f>I153*K153*40%*O153</f>
        <v/>
      </c>
      <c r="V153" s="15">
        <f>IF(P153&gt;=6750,(I153*K153*40%),0)</f>
        <v/>
      </c>
      <c r="W153" s="15">
        <f>IF(P153&lt;6750,0,IF(Q153="",0,IF(OR(Q153="KURANG",Q153="SANGAT KURANG"),I153*K153*10%,I153*K153*20%)))</f>
        <v/>
      </c>
      <c r="X153" s="15">
        <f>SUM(U153:W153)*68%</f>
        <v/>
      </c>
      <c r="Y153" s="15">
        <f>I153*L153</f>
        <v/>
      </c>
      <c r="Z153" s="15">
        <f>Y153 * 68%</f>
        <v/>
      </c>
      <c r="AA153" s="15">
        <f>I153*M153</f>
        <v/>
      </c>
      <c r="AB153" s="15">
        <f>AA153*68%</f>
        <v/>
      </c>
      <c r="AC153" s="16">
        <f>ROUND((T153+X153+Z153+AB153),0)</f>
        <v/>
      </c>
      <c r="AD153" s="16">
        <f>AG153</f>
        <v/>
      </c>
      <c r="AE153" s="16">
        <f>AI153</f>
        <v/>
      </c>
      <c r="AF153" s="16">
        <f>AC153+AD153+AE153</f>
        <v/>
      </c>
      <c r="AG153" s="16" t="n"/>
      <c r="AH153" s="17" t="n"/>
      <c r="AI153" s="17">
        <f>AH153*4</f>
        <v/>
      </c>
      <c r="AJ153" s="15">
        <f>AF153-AG153-AH153-AI153</f>
        <v/>
      </c>
      <c r="AK153" s="18" t="n">
        <v>146</v>
      </c>
      <c r="AL153" s="40" t="n"/>
    </row>
    <row r="154" ht="23.5" customHeight="1">
      <c r="A154" s="6" t="inlineStr">
        <is>
          <t>147</t>
        </is>
      </c>
      <c r="B154" s="28" t="n"/>
      <c r="C154" s="55" t="n"/>
      <c r="D154" s="19" t="n"/>
      <c r="E154" s="24" t="n"/>
      <c r="F154" s="25" t="n"/>
      <c r="G154" s="25" t="n"/>
      <c r="H154" s="24" t="n"/>
      <c r="I154" s="11" t="n"/>
      <c r="J154" s="57" t="n"/>
      <c r="K154" s="12" t="n"/>
      <c r="L154" s="13" t="n"/>
      <c r="M154" s="13" t="n"/>
      <c r="N154" s="14">
        <f>ROUND(I154*(SUM(J154:M154))*68%,0)</f>
        <v/>
      </c>
      <c r="O154" s="61" t="n"/>
      <c r="P154" s="59" t="n"/>
      <c r="Q154" s="59" t="n"/>
      <c r="R154" s="58" t="n"/>
      <c r="S154" s="15">
        <f>I154*J154</f>
        <v/>
      </c>
      <c r="T154" s="15">
        <f>SUM(S154:S154)*68%</f>
        <v/>
      </c>
      <c r="U154" s="15">
        <f>I154*K154*40%*O154</f>
        <v/>
      </c>
      <c r="V154" s="15">
        <f>IF(P154&gt;=6750,(I154*K154*40%),0)</f>
        <v/>
      </c>
      <c r="W154" s="15">
        <f>IF(P154&lt;6750,0,IF(Q154="",0,IF(OR(Q154="KURANG",Q154="SANGAT KURANG"),I154*K154*10%,I154*K154*20%)))</f>
        <v/>
      </c>
      <c r="X154" s="15">
        <f>SUM(U154:W154)*68%</f>
        <v/>
      </c>
      <c r="Y154" s="15">
        <f>I154*L154</f>
        <v/>
      </c>
      <c r="Z154" s="15">
        <f>Y154 * 68%</f>
        <v/>
      </c>
      <c r="AA154" s="15">
        <f>I154*M154</f>
        <v/>
      </c>
      <c r="AB154" s="15">
        <f>AA154*68%</f>
        <v/>
      </c>
      <c r="AC154" s="16">
        <f>ROUND((T154+X154+Z154+AB154),0)</f>
        <v/>
      </c>
      <c r="AD154" s="16">
        <f>AG154</f>
        <v/>
      </c>
      <c r="AE154" s="16">
        <f>AI154</f>
        <v/>
      </c>
      <c r="AF154" s="16">
        <f>AC154+AD154+AE154</f>
        <v/>
      </c>
      <c r="AG154" s="16" t="n"/>
      <c r="AH154" s="17" t="n"/>
      <c r="AI154" s="17">
        <f>AH154*4</f>
        <v/>
      </c>
      <c r="AJ154" s="15">
        <f>AF154-AG154-AH154-AI154</f>
        <v/>
      </c>
      <c r="AK154" s="18" t="n">
        <v>147</v>
      </c>
      <c r="AL154" s="23" t="n"/>
    </row>
    <row r="155" ht="23.5" customHeight="1">
      <c r="A155" s="6" t="inlineStr">
        <is>
          <t>148</t>
        </is>
      </c>
      <c r="B155" s="28" t="n"/>
      <c r="C155" s="55" t="n"/>
      <c r="D155" s="19" t="n"/>
      <c r="E155" s="24" t="n"/>
      <c r="F155" s="25" t="n"/>
      <c r="G155" s="25" t="n"/>
      <c r="H155" s="24" t="n"/>
      <c r="I155" s="11" t="n"/>
      <c r="J155" s="57" t="n"/>
      <c r="K155" s="12" t="n"/>
      <c r="L155" s="13" t="n"/>
      <c r="M155" s="13" t="n"/>
      <c r="N155" s="14">
        <f>ROUND(I155*(SUM(J155:M155))*68%,0)</f>
        <v/>
      </c>
      <c r="O155" s="61" t="n"/>
      <c r="P155" s="59" t="n"/>
      <c r="Q155" s="59" t="n"/>
      <c r="R155" s="58" t="n"/>
      <c r="S155" s="15">
        <f>I155*J155</f>
        <v/>
      </c>
      <c r="T155" s="15">
        <f>SUM(S155:S155)*68%</f>
        <v/>
      </c>
      <c r="U155" s="15">
        <f>I155*K155*40%*O155</f>
        <v/>
      </c>
      <c r="V155" s="15">
        <f>IF(P155&gt;=6750,(I155*K155*40%),0)</f>
        <v/>
      </c>
      <c r="W155" s="15">
        <f>IF(P155&lt;6750,0,IF(Q155="",0,IF(OR(Q155="KURANG",Q155="SANGAT KURANG"),I155*K155*10%,I155*K155*20%)))</f>
        <v/>
      </c>
      <c r="X155" s="15">
        <f>SUM(U155:W155)*68%</f>
        <v/>
      </c>
      <c r="Y155" s="15">
        <f>I155*L155</f>
        <v/>
      </c>
      <c r="Z155" s="15">
        <f>Y155 * 68%</f>
        <v/>
      </c>
      <c r="AA155" s="15">
        <f>I155*M155</f>
        <v/>
      </c>
      <c r="AB155" s="15">
        <f>AA155*68%</f>
        <v/>
      </c>
      <c r="AC155" s="16">
        <f>ROUND((T155+X155+Z155+AB155),0)</f>
        <v/>
      </c>
      <c r="AD155" s="16">
        <f>AG155</f>
        <v/>
      </c>
      <c r="AE155" s="16">
        <f>AI155</f>
        <v/>
      </c>
      <c r="AF155" s="16">
        <f>AC155+AD155+AE155</f>
        <v/>
      </c>
      <c r="AG155" s="16" t="n"/>
      <c r="AH155" s="17" t="n"/>
      <c r="AI155" s="17">
        <f>AH155*4</f>
        <v/>
      </c>
      <c r="AJ155" s="15">
        <f>AF155-AG155-AH155-AI155</f>
        <v/>
      </c>
      <c r="AK155" s="18" t="n">
        <v>148</v>
      </c>
      <c r="AL155" s="23" t="n"/>
    </row>
    <row r="156" ht="23.5" customHeight="1">
      <c r="A156" s="6" t="inlineStr">
        <is>
          <t>149</t>
        </is>
      </c>
      <c r="B156" s="28" t="n"/>
      <c r="C156" s="55" t="n"/>
      <c r="D156" s="19" t="n"/>
      <c r="E156" s="24" t="n"/>
      <c r="F156" s="25" t="n"/>
      <c r="G156" s="25" t="n"/>
      <c r="H156" s="24" t="n"/>
      <c r="I156" s="11" t="n"/>
      <c r="J156" s="57" t="n"/>
      <c r="K156" s="12" t="n"/>
      <c r="L156" s="13" t="n"/>
      <c r="M156" s="13" t="n"/>
      <c r="N156" s="14">
        <f>ROUND(I156*(SUM(J156:M156))*68%,0)</f>
        <v/>
      </c>
      <c r="O156" s="61" t="n"/>
      <c r="P156" s="59" t="n"/>
      <c r="Q156" s="59" t="n"/>
      <c r="R156" s="58" t="n"/>
      <c r="S156" s="15">
        <f>I156*J156</f>
        <v/>
      </c>
      <c r="T156" s="15">
        <f>SUM(S156:S156)*68%</f>
        <v/>
      </c>
      <c r="U156" s="15">
        <f>I156*K156*40%*O156</f>
        <v/>
      </c>
      <c r="V156" s="15">
        <f>IF(P156&gt;=6750,(I156*K156*40%),0)</f>
        <v/>
      </c>
      <c r="W156" s="15">
        <f>IF(P156&lt;6750,0,IF(Q156="",0,IF(OR(Q156="KURANG",Q156="SANGAT KURANG"),I156*K156*10%,I156*K156*20%)))</f>
        <v/>
      </c>
      <c r="X156" s="15">
        <f>SUM(U156:W156)*68%</f>
        <v/>
      </c>
      <c r="Y156" s="15">
        <f>I156*L156</f>
        <v/>
      </c>
      <c r="Z156" s="15">
        <f>Y156 * 68%</f>
        <v/>
      </c>
      <c r="AA156" s="15">
        <f>I156*M156</f>
        <v/>
      </c>
      <c r="AB156" s="15">
        <f>AA156*68%</f>
        <v/>
      </c>
      <c r="AC156" s="16">
        <f>ROUND((T156+X156+Z156+AB156),0)</f>
        <v/>
      </c>
      <c r="AD156" s="16">
        <f>AG156</f>
        <v/>
      </c>
      <c r="AE156" s="16">
        <f>AI156</f>
        <v/>
      </c>
      <c r="AF156" s="16">
        <f>AC156+AD156+AE156</f>
        <v/>
      </c>
      <c r="AG156" s="16" t="n"/>
      <c r="AH156" s="17" t="n"/>
      <c r="AI156" s="17">
        <f>AH156*4</f>
        <v/>
      </c>
      <c r="AJ156" s="15">
        <f>AF156-AG156-AH156-AI156</f>
        <v/>
      </c>
      <c r="AK156" s="18" t="n">
        <v>149</v>
      </c>
      <c r="AL156" s="40" t="n"/>
    </row>
    <row r="157" ht="23.5" customHeight="1">
      <c r="A157" s="6" t="inlineStr">
        <is>
          <t>150</t>
        </is>
      </c>
      <c r="B157" s="28" t="n"/>
      <c r="C157" s="55" t="n"/>
      <c r="D157" s="19" t="n"/>
      <c r="E157" s="24" t="n"/>
      <c r="F157" s="25" t="n"/>
      <c r="G157" s="25" t="n"/>
      <c r="H157" s="24" t="n"/>
      <c r="I157" s="11" t="n"/>
      <c r="J157" s="57" t="n"/>
      <c r="K157" s="12" t="n"/>
      <c r="L157" s="13" t="n"/>
      <c r="M157" s="13" t="n"/>
      <c r="N157" s="14">
        <f>ROUND(I157*(SUM(J157:M157))*68%,0)</f>
        <v/>
      </c>
      <c r="O157" s="61" t="n"/>
      <c r="P157" s="59" t="n"/>
      <c r="Q157" s="59" t="n"/>
      <c r="R157" s="58" t="n"/>
      <c r="S157" s="15">
        <f>I157*J157</f>
        <v/>
      </c>
      <c r="T157" s="15">
        <f>SUM(S157:S157)*68%</f>
        <v/>
      </c>
      <c r="U157" s="15">
        <f>I157*K157*40%*O157</f>
        <v/>
      </c>
      <c r="V157" s="15">
        <f>IF(P157&gt;=6750,(I157*K157*40%),0)</f>
        <v/>
      </c>
      <c r="W157" s="15">
        <f>IF(P157&lt;6750,0,IF(Q157="",0,IF(OR(Q157="KURANG",Q157="SANGAT KURANG"),I157*K157*10%,I157*K157*20%)))</f>
        <v/>
      </c>
      <c r="X157" s="15">
        <f>SUM(U157:W157)*68%</f>
        <v/>
      </c>
      <c r="Y157" s="15">
        <f>I157*L157</f>
        <v/>
      </c>
      <c r="Z157" s="15">
        <f>Y157 * 68%</f>
        <v/>
      </c>
      <c r="AA157" s="15">
        <f>I157*M157</f>
        <v/>
      </c>
      <c r="AB157" s="15">
        <f>AA157*68%</f>
        <v/>
      </c>
      <c r="AC157" s="16">
        <f>ROUND((T157+X157+Z157+AB157),0)</f>
        <v/>
      </c>
      <c r="AD157" s="16">
        <f>AG157</f>
        <v/>
      </c>
      <c r="AE157" s="16">
        <f>AI157</f>
        <v/>
      </c>
      <c r="AF157" s="16">
        <f>AC157+AD157+AE157</f>
        <v/>
      </c>
      <c r="AG157" s="16" t="n"/>
      <c r="AH157" s="17" t="n"/>
      <c r="AI157" s="17">
        <f>AH157*4</f>
        <v/>
      </c>
      <c r="AJ157" s="15">
        <f>AF157-AG157-AH157-AI157</f>
        <v/>
      </c>
      <c r="AK157" s="18" t="n">
        <v>150</v>
      </c>
      <c r="AL157" s="23" t="n"/>
    </row>
    <row r="158" ht="23.5" customHeight="1">
      <c r="A158" s="6" t="inlineStr">
        <is>
          <t>151</t>
        </is>
      </c>
      <c r="B158" s="28" t="n"/>
      <c r="C158" s="55" t="n"/>
      <c r="D158" s="19" t="n"/>
      <c r="E158" s="24" t="n"/>
      <c r="F158" s="25" t="n"/>
      <c r="G158" s="25" t="n"/>
      <c r="H158" s="24" t="n"/>
      <c r="I158" s="11" t="n"/>
      <c r="J158" s="57" t="n"/>
      <c r="K158" s="12" t="n"/>
      <c r="L158" s="13" t="n"/>
      <c r="M158" s="13" t="n"/>
      <c r="N158" s="14">
        <f>ROUND(I158*(SUM(J158:M158))*68%,0)</f>
        <v/>
      </c>
      <c r="O158" s="61" t="n"/>
      <c r="P158" s="59" t="n"/>
      <c r="Q158" s="59" t="n"/>
      <c r="R158" s="58" t="n"/>
      <c r="S158" s="15">
        <f>I158*J158</f>
        <v/>
      </c>
      <c r="T158" s="15">
        <f>SUM(S158:S158)*68%</f>
        <v/>
      </c>
      <c r="U158" s="15">
        <f>I158*K158*40%*O158</f>
        <v/>
      </c>
      <c r="V158" s="15">
        <f>IF(P158&gt;=6750,(I158*K158*40%),0)</f>
        <v/>
      </c>
      <c r="W158" s="15">
        <f>IF(P158&lt;6750,0,IF(Q158="",0,IF(OR(Q158="KURANG",Q158="SANGAT KURANG"),I158*K158*10%,I158*K158*20%)))</f>
        <v/>
      </c>
      <c r="X158" s="15">
        <f>SUM(U158:W158)*68%</f>
        <v/>
      </c>
      <c r="Y158" s="15">
        <f>I158*L158</f>
        <v/>
      </c>
      <c r="Z158" s="15">
        <f>Y158 * 68%</f>
        <v/>
      </c>
      <c r="AA158" s="15">
        <f>I158*M158</f>
        <v/>
      </c>
      <c r="AB158" s="15">
        <f>AA158*68%</f>
        <v/>
      </c>
      <c r="AC158" s="16">
        <f>ROUND((T158+X158+Z158+AB158),0)</f>
        <v/>
      </c>
      <c r="AD158" s="16">
        <f>AG158</f>
        <v/>
      </c>
      <c r="AE158" s="16">
        <f>AI158</f>
        <v/>
      </c>
      <c r="AF158" s="16">
        <f>AC158+AD158+AE158</f>
        <v/>
      </c>
      <c r="AG158" s="16" t="n"/>
      <c r="AH158" s="17" t="n"/>
      <c r="AI158" s="17">
        <f>AH158*4</f>
        <v/>
      </c>
      <c r="AJ158" s="15">
        <f>AF158-AG158-AH158-AI158</f>
        <v/>
      </c>
      <c r="AK158" s="18" t="n">
        <v>151</v>
      </c>
      <c r="AL158" s="23" t="n"/>
    </row>
    <row r="159" ht="23.5" customHeight="1">
      <c r="A159" s="6" t="inlineStr">
        <is>
          <t>152</t>
        </is>
      </c>
      <c r="B159" s="28" t="n"/>
      <c r="C159" s="55" t="n"/>
      <c r="D159" s="19" t="n"/>
      <c r="E159" s="24" t="n"/>
      <c r="F159" s="25" t="n"/>
      <c r="G159" s="25" t="n"/>
      <c r="H159" s="24" t="n"/>
      <c r="I159" s="11" t="n"/>
      <c r="J159" s="57" t="n"/>
      <c r="K159" s="12" t="n"/>
      <c r="L159" s="13" t="n"/>
      <c r="M159" s="13" t="n"/>
      <c r="N159" s="14">
        <f>ROUND(I159*(SUM(J159:M159))*68%,0)</f>
        <v/>
      </c>
      <c r="O159" s="61" t="n"/>
      <c r="P159" s="59" t="n"/>
      <c r="Q159" s="59" t="n"/>
      <c r="R159" s="58" t="n"/>
      <c r="S159" s="15">
        <f>I159*J159</f>
        <v/>
      </c>
      <c r="T159" s="15">
        <f>SUM(S159:S159)*68%</f>
        <v/>
      </c>
      <c r="U159" s="15">
        <f>I159*K159*40%*O159</f>
        <v/>
      </c>
      <c r="V159" s="15">
        <f>IF(P159&gt;=6750,(I159*K159*40%),0)</f>
        <v/>
      </c>
      <c r="W159" s="15">
        <f>IF(P159&lt;6750,0,IF(Q159="",0,IF(OR(Q159="KURANG",Q159="SANGAT KURANG"),I159*K159*10%,I159*K159*20%)))</f>
        <v/>
      </c>
      <c r="X159" s="15">
        <f>SUM(U159:W159)*68%</f>
        <v/>
      </c>
      <c r="Y159" s="15">
        <f>I159*L159</f>
        <v/>
      </c>
      <c r="Z159" s="15">
        <f>Y159 * 68%</f>
        <v/>
      </c>
      <c r="AA159" s="15">
        <f>I159*M159</f>
        <v/>
      </c>
      <c r="AB159" s="15">
        <f>AA159*68%</f>
        <v/>
      </c>
      <c r="AC159" s="16">
        <f>ROUND((T159+X159+Z159+AB159),0)</f>
        <v/>
      </c>
      <c r="AD159" s="16">
        <f>AG159</f>
        <v/>
      </c>
      <c r="AE159" s="16">
        <f>AI159</f>
        <v/>
      </c>
      <c r="AF159" s="16">
        <f>AC159+AD159+AE159</f>
        <v/>
      </c>
      <c r="AG159" s="16" t="n"/>
      <c r="AH159" s="17" t="n"/>
      <c r="AI159" s="17">
        <f>AH159*4</f>
        <v/>
      </c>
      <c r="AJ159" s="15">
        <f>AF159-AG159-AH159-AI159</f>
        <v/>
      </c>
      <c r="AK159" s="18" t="n">
        <v>152</v>
      </c>
      <c r="AL159" s="40" t="n"/>
    </row>
    <row r="160" ht="23.5" customHeight="1">
      <c r="A160" s="6" t="inlineStr">
        <is>
          <t>153</t>
        </is>
      </c>
      <c r="B160" s="28" t="n"/>
      <c r="C160" s="55" t="n"/>
      <c r="D160" s="19" t="n"/>
      <c r="E160" s="24" t="n"/>
      <c r="F160" s="25" t="n"/>
      <c r="G160" s="25" t="n"/>
      <c r="H160" s="24" t="n"/>
      <c r="I160" s="11" t="n"/>
      <c r="J160" s="57" t="n"/>
      <c r="K160" s="12" t="n"/>
      <c r="L160" s="13" t="n"/>
      <c r="M160" s="13" t="n"/>
      <c r="N160" s="14">
        <f>ROUND(I160*(SUM(J160:M160))*68%,0)</f>
        <v/>
      </c>
      <c r="O160" s="61" t="n"/>
      <c r="P160" s="59" t="n"/>
      <c r="Q160" s="59" t="n"/>
      <c r="R160" s="58" t="n"/>
      <c r="S160" s="15">
        <f>I160*J160</f>
        <v/>
      </c>
      <c r="T160" s="15">
        <f>SUM(S160:S160)*68%</f>
        <v/>
      </c>
      <c r="U160" s="15">
        <f>I160*K160*40%*O160</f>
        <v/>
      </c>
      <c r="V160" s="15">
        <f>IF(P160&gt;=6750,(I160*K160*40%),0)</f>
        <v/>
      </c>
      <c r="W160" s="15">
        <f>IF(P160&lt;6750,0,IF(Q160="",0,IF(OR(Q160="KURANG",Q160="SANGAT KURANG"),I160*K160*10%,I160*K160*20%)))</f>
        <v/>
      </c>
      <c r="X160" s="15">
        <f>SUM(U160:W160)*68%</f>
        <v/>
      </c>
      <c r="Y160" s="15">
        <f>I160*L160</f>
        <v/>
      </c>
      <c r="Z160" s="15">
        <f>Y160 * 68%</f>
        <v/>
      </c>
      <c r="AA160" s="15">
        <f>I160*M160</f>
        <v/>
      </c>
      <c r="AB160" s="15">
        <f>AA160*68%</f>
        <v/>
      </c>
      <c r="AC160" s="16">
        <f>ROUND((T160+X160+Z160+AB160),0)</f>
        <v/>
      </c>
      <c r="AD160" s="16">
        <f>AG160</f>
        <v/>
      </c>
      <c r="AE160" s="16">
        <f>AI160</f>
        <v/>
      </c>
      <c r="AF160" s="16">
        <f>AC160+AD160+AE160</f>
        <v/>
      </c>
      <c r="AG160" s="16" t="n"/>
      <c r="AH160" s="17" t="n"/>
      <c r="AI160" s="17">
        <f>AH160*4</f>
        <v/>
      </c>
      <c r="AJ160" s="15">
        <f>AF160-AG160-AH160-AI160</f>
        <v/>
      </c>
      <c r="AK160" s="18" t="n">
        <v>153</v>
      </c>
      <c r="AL160" s="23" t="n"/>
    </row>
    <row r="161" ht="23.5" customHeight="1">
      <c r="A161" s="6" t="inlineStr">
        <is>
          <t>154</t>
        </is>
      </c>
      <c r="B161" s="28" t="n"/>
      <c r="C161" s="55" t="n"/>
      <c r="D161" s="19" t="n"/>
      <c r="E161" s="24" t="n"/>
      <c r="F161" s="25" t="n"/>
      <c r="G161" s="25" t="n"/>
      <c r="H161" s="24" t="n"/>
      <c r="I161" s="11" t="n"/>
      <c r="J161" s="57" t="n"/>
      <c r="K161" s="12" t="n"/>
      <c r="L161" s="13" t="n"/>
      <c r="M161" s="13" t="n"/>
      <c r="N161" s="14">
        <f>ROUND(I161*(SUM(J161:M161))*68%,0)</f>
        <v/>
      </c>
      <c r="O161" s="61" t="n"/>
      <c r="P161" s="59" t="n"/>
      <c r="Q161" s="59" t="n"/>
      <c r="R161" s="58" t="n"/>
      <c r="S161" s="15">
        <f>I161*J161</f>
        <v/>
      </c>
      <c r="T161" s="15">
        <f>SUM(S161:S161)*68%</f>
        <v/>
      </c>
      <c r="U161" s="15">
        <f>I161*K161*40%*O161</f>
        <v/>
      </c>
      <c r="V161" s="15">
        <f>IF(P161&gt;=6750,(I161*K161*40%),0)</f>
        <v/>
      </c>
      <c r="W161" s="15">
        <f>IF(P161&lt;6750,0,IF(Q161="",0,IF(OR(Q161="KURANG",Q161="SANGAT KURANG"),I161*K161*10%,I161*K161*20%)))</f>
        <v/>
      </c>
      <c r="X161" s="15">
        <f>SUM(U161:W161)*68%</f>
        <v/>
      </c>
      <c r="Y161" s="15">
        <f>I161*L161</f>
        <v/>
      </c>
      <c r="Z161" s="15">
        <f>Y161 * 68%</f>
        <v/>
      </c>
      <c r="AA161" s="15">
        <f>I161*M161</f>
        <v/>
      </c>
      <c r="AB161" s="15">
        <f>AA161*68%</f>
        <v/>
      </c>
      <c r="AC161" s="16">
        <f>ROUND((T161+X161+Z161+AB161),0)</f>
        <v/>
      </c>
      <c r="AD161" s="16">
        <f>AG161</f>
        <v/>
      </c>
      <c r="AE161" s="16">
        <f>AI161</f>
        <v/>
      </c>
      <c r="AF161" s="16">
        <f>AC161+AD161+AE161</f>
        <v/>
      </c>
      <c r="AG161" s="16" t="n"/>
      <c r="AH161" s="17" t="n"/>
      <c r="AI161" s="17">
        <f>AH161*4</f>
        <v/>
      </c>
      <c r="AJ161" s="15">
        <f>AF161-AG161-AH161-AI161</f>
        <v/>
      </c>
      <c r="AK161" s="18" t="n">
        <v>154</v>
      </c>
      <c r="AL161" s="23" t="n"/>
    </row>
    <row r="162" ht="23.5" customHeight="1">
      <c r="A162" s="6" t="inlineStr">
        <is>
          <t>155</t>
        </is>
      </c>
      <c r="B162" s="28" t="n"/>
      <c r="C162" s="55" t="n"/>
      <c r="D162" s="19" t="n"/>
      <c r="E162" s="24" t="n"/>
      <c r="F162" s="25" t="n"/>
      <c r="G162" s="25" t="n"/>
      <c r="H162" s="24" t="n"/>
      <c r="I162" s="11" t="n"/>
      <c r="J162" s="57" t="n"/>
      <c r="K162" s="12" t="n"/>
      <c r="L162" s="13" t="n"/>
      <c r="M162" s="13" t="n"/>
      <c r="N162" s="14">
        <f>ROUND(I162*(SUM(J162:M162))*68%,0)</f>
        <v/>
      </c>
      <c r="O162" s="61" t="n"/>
      <c r="P162" s="59" t="n"/>
      <c r="Q162" s="59" t="n"/>
      <c r="R162" s="58" t="n"/>
      <c r="S162" s="15">
        <f>I162*J162</f>
        <v/>
      </c>
      <c r="T162" s="15">
        <f>SUM(S162:S162)*68%</f>
        <v/>
      </c>
      <c r="U162" s="15">
        <f>I162*K162*40%*O162</f>
        <v/>
      </c>
      <c r="V162" s="15">
        <f>IF(P162&gt;=6750,(I162*K162*40%),0)</f>
        <v/>
      </c>
      <c r="W162" s="15">
        <f>IF(P162&lt;6750,0,IF(Q162="",0,IF(OR(Q162="KURANG",Q162="SANGAT KURANG"),I162*K162*10%,I162*K162*20%)))</f>
        <v/>
      </c>
      <c r="X162" s="15">
        <f>SUM(U162:W162)*68%</f>
        <v/>
      </c>
      <c r="Y162" s="15">
        <f>I162*L162</f>
        <v/>
      </c>
      <c r="Z162" s="15">
        <f>Y162 * 68%</f>
        <v/>
      </c>
      <c r="AA162" s="15">
        <f>I162*M162</f>
        <v/>
      </c>
      <c r="AB162" s="15">
        <f>AA162*68%</f>
        <v/>
      </c>
      <c r="AC162" s="16">
        <f>ROUND((T162+X162+Z162+AB162),0)</f>
        <v/>
      </c>
      <c r="AD162" s="16">
        <f>AG162</f>
        <v/>
      </c>
      <c r="AE162" s="16">
        <f>AI162</f>
        <v/>
      </c>
      <c r="AF162" s="16">
        <f>AC162+AD162+AE162</f>
        <v/>
      </c>
      <c r="AG162" s="16" t="n"/>
      <c r="AH162" s="17" t="n"/>
      <c r="AI162" s="17">
        <f>AH162*4</f>
        <v/>
      </c>
      <c r="AJ162" s="15">
        <f>AF162-AG162-AH162-AI162</f>
        <v/>
      </c>
      <c r="AK162" s="18" t="n">
        <v>155</v>
      </c>
      <c r="AL162" s="40" t="n"/>
    </row>
    <row r="163" ht="23.5" customHeight="1">
      <c r="A163" s="6" t="inlineStr">
        <is>
          <t>156</t>
        </is>
      </c>
      <c r="B163" s="28" t="n"/>
      <c r="C163" s="55" t="n"/>
      <c r="D163" s="19" t="n"/>
      <c r="E163" s="24" t="n"/>
      <c r="F163" s="25" t="n"/>
      <c r="G163" s="25" t="n"/>
      <c r="H163" s="24" t="n"/>
      <c r="I163" s="11" t="n"/>
      <c r="J163" s="57" t="n"/>
      <c r="K163" s="12" t="n"/>
      <c r="L163" s="13" t="n"/>
      <c r="M163" s="13" t="n"/>
      <c r="N163" s="14">
        <f>ROUND(I163*(SUM(J163:M163))*68%,0)</f>
        <v/>
      </c>
      <c r="O163" s="61" t="n"/>
      <c r="P163" s="59" t="n"/>
      <c r="Q163" s="59" t="n"/>
      <c r="R163" s="58" t="n"/>
      <c r="S163" s="15">
        <f>I163*J163</f>
        <v/>
      </c>
      <c r="T163" s="15">
        <f>SUM(S163:S163)*68%</f>
        <v/>
      </c>
      <c r="U163" s="15">
        <f>I163*K163*40%*O163</f>
        <v/>
      </c>
      <c r="V163" s="15">
        <f>IF(P163&gt;=6750,(I163*K163*40%),0)</f>
        <v/>
      </c>
      <c r="W163" s="15">
        <f>IF(P163&lt;6750,0,IF(Q163="",0,IF(OR(Q163="KURANG",Q163="SANGAT KURANG"),I163*K163*10%,I163*K163*20%)))</f>
        <v/>
      </c>
      <c r="X163" s="15">
        <f>SUM(U163:W163)*68%</f>
        <v/>
      </c>
      <c r="Y163" s="15">
        <f>I163*L163</f>
        <v/>
      </c>
      <c r="Z163" s="15">
        <f>Y163 * 68%</f>
        <v/>
      </c>
      <c r="AA163" s="15">
        <f>I163*M163</f>
        <v/>
      </c>
      <c r="AB163" s="15">
        <f>AA163*68%</f>
        <v/>
      </c>
      <c r="AC163" s="16">
        <f>ROUND((T163+X163+Z163+AB163),0)</f>
        <v/>
      </c>
      <c r="AD163" s="16">
        <f>AG163</f>
        <v/>
      </c>
      <c r="AE163" s="16">
        <f>AI163</f>
        <v/>
      </c>
      <c r="AF163" s="16">
        <f>AC163+AD163+AE163</f>
        <v/>
      </c>
      <c r="AG163" s="16" t="n"/>
      <c r="AH163" s="17" t="n"/>
      <c r="AI163" s="17">
        <f>AH163*4</f>
        <v/>
      </c>
      <c r="AJ163" s="15">
        <f>AF163-AG163-AH163-AI163</f>
        <v/>
      </c>
      <c r="AK163" s="18" t="n">
        <v>156</v>
      </c>
      <c r="AL163" s="23" t="n"/>
    </row>
    <row r="164" ht="23.5" customHeight="1">
      <c r="A164" s="6" t="inlineStr">
        <is>
          <t>157</t>
        </is>
      </c>
      <c r="B164" s="28" t="n"/>
      <c r="C164" s="55" t="n"/>
      <c r="D164" s="19" t="n"/>
      <c r="E164" s="24" t="n"/>
      <c r="F164" s="25" t="n"/>
      <c r="G164" s="25" t="n"/>
      <c r="H164" s="24" t="n"/>
      <c r="I164" s="11" t="n"/>
      <c r="J164" s="57" t="n"/>
      <c r="K164" s="12" t="n"/>
      <c r="L164" s="13" t="n"/>
      <c r="M164" s="13" t="n"/>
      <c r="N164" s="14">
        <f>ROUND(I164*(SUM(J164:M164))*68%,0)</f>
        <v/>
      </c>
      <c r="O164" s="61" t="n"/>
      <c r="P164" s="59" t="n"/>
      <c r="Q164" s="59" t="n"/>
      <c r="R164" s="58" t="n"/>
      <c r="S164" s="15">
        <f>I164*J164</f>
        <v/>
      </c>
      <c r="T164" s="15">
        <f>SUM(S164:S164)*68%</f>
        <v/>
      </c>
      <c r="U164" s="15">
        <f>I164*K164*40%*O164</f>
        <v/>
      </c>
      <c r="V164" s="15">
        <f>IF(P164&gt;=6750,(I164*K164*40%),0)</f>
        <v/>
      </c>
      <c r="W164" s="15">
        <f>IF(P164&lt;6750,0,IF(Q164="",0,IF(OR(Q164="KURANG",Q164="SANGAT KURANG"),I164*K164*10%,I164*K164*20%)))</f>
        <v/>
      </c>
      <c r="X164" s="15">
        <f>SUM(U164:W164)*68%</f>
        <v/>
      </c>
      <c r="Y164" s="15">
        <f>I164*L164</f>
        <v/>
      </c>
      <c r="Z164" s="15">
        <f>Y164 * 68%</f>
        <v/>
      </c>
      <c r="AA164" s="15">
        <f>I164*M164</f>
        <v/>
      </c>
      <c r="AB164" s="15">
        <f>AA164*68%</f>
        <v/>
      </c>
      <c r="AC164" s="16">
        <f>ROUND((T164+X164+Z164+AB164),0)</f>
        <v/>
      </c>
      <c r="AD164" s="16">
        <f>AG164</f>
        <v/>
      </c>
      <c r="AE164" s="16">
        <f>AI164</f>
        <v/>
      </c>
      <c r="AF164" s="16">
        <f>AC164+AD164+AE164</f>
        <v/>
      </c>
      <c r="AG164" s="16" t="n"/>
      <c r="AH164" s="17" t="n"/>
      <c r="AI164" s="17">
        <f>AH164*4</f>
        <v/>
      </c>
      <c r="AJ164" s="15">
        <f>AF164-AG164-AH164-AI164</f>
        <v/>
      </c>
      <c r="AK164" s="18" t="n">
        <v>157</v>
      </c>
      <c r="AL164" s="23" t="n"/>
    </row>
    <row r="165" ht="23.5" customHeight="1">
      <c r="A165" s="6" t="inlineStr">
        <is>
          <t>158</t>
        </is>
      </c>
      <c r="B165" s="28" t="n"/>
      <c r="C165" s="55" t="n"/>
      <c r="D165" s="19" t="n"/>
      <c r="E165" s="24" t="n"/>
      <c r="F165" s="25" t="n"/>
      <c r="G165" s="25" t="n"/>
      <c r="H165" s="24" t="n"/>
      <c r="I165" s="11" t="n"/>
      <c r="J165" s="57" t="n"/>
      <c r="K165" s="12" t="n"/>
      <c r="L165" s="13" t="n"/>
      <c r="M165" s="13" t="n"/>
      <c r="N165" s="14">
        <f>ROUND(I165*(SUM(J165:M165))*68%,0)</f>
        <v/>
      </c>
      <c r="O165" s="61" t="n"/>
      <c r="P165" s="59" t="n"/>
      <c r="Q165" s="59" t="n"/>
      <c r="R165" s="58" t="n"/>
      <c r="S165" s="15">
        <f>I165*J165</f>
        <v/>
      </c>
      <c r="T165" s="15">
        <f>SUM(S165:S165)*68%</f>
        <v/>
      </c>
      <c r="U165" s="15">
        <f>I165*K165*40%*O165</f>
        <v/>
      </c>
      <c r="V165" s="15">
        <f>IF(P165&gt;=6750,(I165*K165*40%),0)</f>
        <v/>
      </c>
      <c r="W165" s="15">
        <f>IF(P165&lt;6750,0,IF(Q165="",0,IF(OR(Q165="KURANG",Q165="SANGAT KURANG"),I165*K165*10%,I165*K165*20%)))</f>
        <v/>
      </c>
      <c r="X165" s="15">
        <f>SUM(U165:W165)*68%</f>
        <v/>
      </c>
      <c r="Y165" s="15">
        <f>I165*L165</f>
        <v/>
      </c>
      <c r="Z165" s="15">
        <f>Y165 * 68%</f>
        <v/>
      </c>
      <c r="AA165" s="15">
        <f>I165*M165</f>
        <v/>
      </c>
      <c r="AB165" s="15">
        <f>AA165*68%</f>
        <v/>
      </c>
      <c r="AC165" s="16">
        <f>ROUND((T165+X165+Z165+AB165),0)</f>
        <v/>
      </c>
      <c r="AD165" s="16">
        <f>AG165</f>
        <v/>
      </c>
      <c r="AE165" s="16">
        <f>AI165</f>
        <v/>
      </c>
      <c r="AF165" s="16">
        <f>AC165+AD165+AE165</f>
        <v/>
      </c>
      <c r="AG165" s="16" t="n"/>
      <c r="AH165" s="17" t="n"/>
      <c r="AI165" s="17">
        <f>AH165*4</f>
        <v/>
      </c>
      <c r="AJ165" s="15">
        <f>AF165-AG165-AH165-AI165</f>
        <v/>
      </c>
      <c r="AK165" s="18" t="n">
        <v>158</v>
      </c>
      <c r="AL165" s="40" t="n"/>
    </row>
    <row r="166" ht="23.5" customHeight="1">
      <c r="A166" s="6" t="inlineStr">
        <is>
          <t>159</t>
        </is>
      </c>
      <c r="B166" s="28" t="n"/>
      <c r="C166" s="55" t="n"/>
      <c r="D166" s="19" t="n"/>
      <c r="E166" s="24" t="n"/>
      <c r="F166" s="25" t="n"/>
      <c r="G166" s="25" t="n"/>
      <c r="H166" s="24" t="n"/>
      <c r="I166" s="11" t="n"/>
      <c r="J166" s="57" t="n"/>
      <c r="K166" s="12" t="n"/>
      <c r="L166" s="13" t="n"/>
      <c r="M166" s="13" t="n"/>
      <c r="N166" s="14">
        <f>ROUND(I166*(SUM(J166:M166))*68%,0)</f>
        <v/>
      </c>
      <c r="O166" s="61" t="n"/>
      <c r="P166" s="59" t="n"/>
      <c r="Q166" s="59" t="n"/>
      <c r="R166" s="58" t="n"/>
      <c r="S166" s="15">
        <f>I166*J166</f>
        <v/>
      </c>
      <c r="T166" s="15">
        <f>SUM(S166:S166)*68%</f>
        <v/>
      </c>
      <c r="U166" s="15">
        <f>I166*K166*40%*O166</f>
        <v/>
      </c>
      <c r="V166" s="15">
        <f>IF(P166&gt;=6750,(I166*K166*40%),0)</f>
        <v/>
      </c>
      <c r="W166" s="15">
        <f>IF(P166&lt;6750,0,IF(Q166="",0,IF(OR(Q166="KURANG",Q166="SANGAT KURANG"),I166*K166*10%,I166*K166*20%)))</f>
        <v/>
      </c>
      <c r="X166" s="15">
        <f>SUM(U166:W166)*68%</f>
        <v/>
      </c>
      <c r="Y166" s="15">
        <f>I166*L166</f>
        <v/>
      </c>
      <c r="Z166" s="15">
        <f>Y166 * 68%</f>
        <v/>
      </c>
      <c r="AA166" s="15">
        <f>I166*M166</f>
        <v/>
      </c>
      <c r="AB166" s="15">
        <f>AA166*68%</f>
        <v/>
      </c>
      <c r="AC166" s="16">
        <f>ROUND((T166+X166+Z166+AB166),0)</f>
        <v/>
      </c>
      <c r="AD166" s="16">
        <f>AG166</f>
        <v/>
      </c>
      <c r="AE166" s="16">
        <f>AI166</f>
        <v/>
      </c>
      <c r="AF166" s="16">
        <f>AC166+AD166+AE166</f>
        <v/>
      </c>
      <c r="AG166" s="16" t="n"/>
      <c r="AH166" s="17" t="n"/>
      <c r="AI166" s="17">
        <f>AH166*4</f>
        <v/>
      </c>
      <c r="AJ166" s="15">
        <f>AF166-AG166-AH166-AI166</f>
        <v/>
      </c>
      <c r="AK166" s="18" t="n">
        <v>159</v>
      </c>
      <c r="AL166" s="23" t="n"/>
    </row>
    <row r="167" ht="23.5" customHeight="1">
      <c r="A167" s="6" t="inlineStr">
        <is>
          <t>160</t>
        </is>
      </c>
      <c r="B167" s="28" t="n"/>
      <c r="C167" s="55" t="n"/>
      <c r="D167" s="19" t="n"/>
      <c r="E167" s="24" t="n"/>
      <c r="F167" s="25" t="n"/>
      <c r="G167" s="25" t="n"/>
      <c r="H167" s="24" t="n"/>
      <c r="I167" s="11" t="n"/>
      <c r="J167" s="57" t="n"/>
      <c r="K167" s="12" t="n"/>
      <c r="L167" s="13" t="n"/>
      <c r="M167" s="13" t="n"/>
      <c r="N167" s="14">
        <f>ROUND(I167*(SUM(J167:M167))*68%,0)</f>
        <v/>
      </c>
      <c r="O167" s="61" t="n"/>
      <c r="P167" s="59" t="n"/>
      <c r="Q167" s="59" t="n"/>
      <c r="R167" s="58" t="n"/>
      <c r="S167" s="15">
        <f>I167*J167</f>
        <v/>
      </c>
      <c r="T167" s="15">
        <f>SUM(S167:S167)*68%</f>
        <v/>
      </c>
      <c r="U167" s="15">
        <f>I167*K167*40%*O167</f>
        <v/>
      </c>
      <c r="V167" s="15">
        <f>IF(P167&gt;=6750,(I167*K167*40%),0)</f>
        <v/>
      </c>
      <c r="W167" s="15">
        <f>IF(P167&lt;6750,0,IF(Q167="",0,IF(OR(Q167="KURANG",Q167="SANGAT KURANG"),I167*K167*10%,I167*K167*20%)))</f>
        <v/>
      </c>
      <c r="X167" s="15">
        <f>SUM(U167:W167)*68%</f>
        <v/>
      </c>
      <c r="Y167" s="15">
        <f>I167*L167</f>
        <v/>
      </c>
      <c r="Z167" s="15">
        <f>Y167 * 68%</f>
        <v/>
      </c>
      <c r="AA167" s="15">
        <f>I167*M167</f>
        <v/>
      </c>
      <c r="AB167" s="15">
        <f>AA167*68%</f>
        <v/>
      </c>
      <c r="AC167" s="16">
        <f>ROUND((T167+X167+Z167+AB167),0)</f>
        <v/>
      </c>
      <c r="AD167" s="16">
        <f>AG167</f>
        <v/>
      </c>
      <c r="AE167" s="16">
        <f>AI167</f>
        <v/>
      </c>
      <c r="AF167" s="16">
        <f>AC167+AD167+AE167</f>
        <v/>
      </c>
      <c r="AG167" s="16" t="n"/>
      <c r="AH167" s="17" t="n"/>
      <c r="AI167" s="17">
        <f>AH167*4</f>
        <v/>
      </c>
      <c r="AJ167" s="15">
        <f>AF167-AG167-AH167-AI167</f>
        <v/>
      </c>
      <c r="AK167" s="18" t="n">
        <v>160</v>
      </c>
      <c r="AL167" s="23" t="n"/>
    </row>
    <row r="168" ht="23.5" customHeight="1">
      <c r="A168" s="6" t="inlineStr">
        <is>
          <t>161</t>
        </is>
      </c>
      <c r="B168" s="28" t="n"/>
      <c r="C168" s="55" t="n"/>
      <c r="D168" s="19" t="n"/>
      <c r="E168" s="24" t="n"/>
      <c r="F168" s="25" t="n"/>
      <c r="G168" s="25" t="n"/>
      <c r="H168" s="24" t="n"/>
      <c r="I168" s="11" t="n"/>
      <c r="J168" s="57" t="n"/>
      <c r="K168" s="12" t="n"/>
      <c r="L168" s="13" t="n"/>
      <c r="M168" s="13" t="n"/>
      <c r="N168" s="14">
        <f>ROUND(I168*(SUM(J168:M168))*68%,0)</f>
        <v/>
      </c>
      <c r="O168" s="61" t="n"/>
      <c r="P168" s="59" t="n"/>
      <c r="Q168" s="59" t="n"/>
      <c r="R168" s="58" t="n"/>
      <c r="S168" s="15">
        <f>I168*J168</f>
        <v/>
      </c>
      <c r="T168" s="15">
        <f>SUM(S168:S168)*68%</f>
        <v/>
      </c>
      <c r="U168" s="15">
        <f>I168*K168*40%*O168</f>
        <v/>
      </c>
      <c r="V168" s="15">
        <f>IF(P168&gt;=6750,(I168*K168*40%),0)</f>
        <v/>
      </c>
      <c r="W168" s="15">
        <f>IF(P168&lt;6750,0,IF(Q168="",0,IF(OR(Q168="KURANG",Q168="SANGAT KURANG"),I168*K168*10%,I168*K168*20%)))</f>
        <v/>
      </c>
      <c r="X168" s="15">
        <f>SUM(U168:W168)*68%</f>
        <v/>
      </c>
      <c r="Y168" s="15">
        <f>I168*L168</f>
        <v/>
      </c>
      <c r="Z168" s="15">
        <f>Y168 * 68%</f>
        <v/>
      </c>
      <c r="AA168" s="15">
        <f>I168*M168</f>
        <v/>
      </c>
      <c r="AB168" s="15">
        <f>AA168*68%</f>
        <v/>
      </c>
      <c r="AC168" s="16">
        <f>ROUND((T168+X168+Z168+AB168),0)</f>
        <v/>
      </c>
      <c r="AD168" s="16">
        <f>AG168</f>
        <v/>
      </c>
      <c r="AE168" s="16">
        <f>AI168</f>
        <v/>
      </c>
      <c r="AF168" s="16">
        <f>AC168+AD168+AE168</f>
        <v/>
      </c>
      <c r="AG168" s="16" t="n"/>
      <c r="AH168" s="17" t="n"/>
      <c r="AI168" s="17">
        <f>AH168*4</f>
        <v/>
      </c>
      <c r="AJ168" s="15">
        <f>AF168-AG168-AH168-AI168</f>
        <v/>
      </c>
      <c r="AK168" s="18" t="n">
        <v>161</v>
      </c>
      <c r="AL168" s="40" t="n"/>
    </row>
    <row r="169" ht="23.5" customHeight="1">
      <c r="A169" s="6" t="inlineStr">
        <is>
          <t>162</t>
        </is>
      </c>
      <c r="B169" s="28" t="n"/>
      <c r="C169" s="55" t="n"/>
      <c r="D169" s="19" t="n"/>
      <c r="E169" s="24" t="n"/>
      <c r="F169" s="25" t="n"/>
      <c r="G169" s="25" t="n"/>
      <c r="H169" s="24" t="n"/>
      <c r="I169" s="11" t="n"/>
      <c r="J169" s="57" t="n"/>
      <c r="K169" s="12" t="n"/>
      <c r="L169" s="13" t="n"/>
      <c r="M169" s="13" t="n"/>
      <c r="N169" s="14">
        <f>ROUND(I169*(SUM(J169:M169))*68%,0)</f>
        <v/>
      </c>
      <c r="O169" s="61" t="n"/>
      <c r="P169" s="59" t="n"/>
      <c r="Q169" s="59" t="n"/>
      <c r="R169" s="58" t="n"/>
      <c r="S169" s="15">
        <f>I169*J169</f>
        <v/>
      </c>
      <c r="T169" s="15">
        <f>SUM(S169:S169)*68%</f>
        <v/>
      </c>
      <c r="U169" s="15">
        <f>I169*K169*40%*O169</f>
        <v/>
      </c>
      <c r="V169" s="15">
        <f>IF(P169&gt;=6750,(I169*K169*40%),0)</f>
        <v/>
      </c>
      <c r="W169" s="15">
        <f>IF(P169&lt;6750,0,IF(Q169="",0,IF(OR(Q169="KURANG",Q169="SANGAT KURANG"),I169*K169*10%,I169*K169*20%)))</f>
        <v/>
      </c>
      <c r="X169" s="15">
        <f>SUM(U169:W169)*68%</f>
        <v/>
      </c>
      <c r="Y169" s="15">
        <f>I169*L169</f>
        <v/>
      </c>
      <c r="Z169" s="15">
        <f>Y169 * 68%</f>
        <v/>
      </c>
      <c r="AA169" s="15">
        <f>I169*M169</f>
        <v/>
      </c>
      <c r="AB169" s="15">
        <f>AA169*68%</f>
        <v/>
      </c>
      <c r="AC169" s="16">
        <f>ROUND((T169+X169+Z169+AB169),0)</f>
        <v/>
      </c>
      <c r="AD169" s="16">
        <f>AG169</f>
        <v/>
      </c>
      <c r="AE169" s="16">
        <f>AI169</f>
        <v/>
      </c>
      <c r="AF169" s="16">
        <f>AC169+AD169+AE169</f>
        <v/>
      </c>
      <c r="AG169" s="16" t="n"/>
      <c r="AH169" s="17" t="n"/>
      <c r="AI169" s="17">
        <f>AH169*4</f>
        <v/>
      </c>
      <c r="AJ169" s="15">
        <f>AF169-AG169-AH169-AI169</f>
        <v/>
      </c>
      <c r="AK169" s="18" t="n">
        <v>162</v>
      </c>
      <c r="AL169" s="23" t="n"/>
    </row>
    <row r="170" ht="23.5" customHeight="1">
      <c r="A170" s="6" t="inlineStr">
        <is>
          <t>163</t>
        </is>
      </c>
      <c r="B170" s="28" t="n"/>
      <c r="C170" s="55" t="n"/>
      <c r="D170" s="19" t="n"/>
      <c r="E170" s="24" t="n"/>
      <c r="F170" s="25" t="n"/>
      <c r="G170" s="25" t="n"/>
      <c r="H170" s="24" t="n"/>
      <c r="I170" s="11" t="n"/>
      <c r="J170" s="57" t="n"/>
      <c r="K170" s="12" t="n"/>
      <c r="L170" s="13" t="n"/>
      <c r="M170" s="13" t="n"/>
      <c r="N170" s="14">
        <f>ROUND(I170*(SUM(J170:M170))*68%,0)</f>
        <v/>
      </c>
      <c r="O170" s="61" t="n"/>
      <c r="P170" s="59" t="n"/>
      <c r="Q170" s="59" t="n"/>
      <c r="R170" s="58" t="n"/>
      <c r="S170" s="15">
        <f>I170*J170</f>
        <v/>
      </c>
      <c r="T170" s="15">
        <f>SUM(S170:S170)*68%</f>
        <v/>
      </c>
      <c r="U170" s="15">
        <f>I170*K170*40%*O170</f>
        <v/>
      </c>
      <c r="V170" s="15">
        <f>IF(P170&gt;=6750,(I170*K170*40%),0)</f>
        <v/>
      </c>
      <c r="W170" s="15">
        <f>IF(P170&lt;6750,0,IF(Q170="",0,IF(OR(Q170="KURANG",Q170="SANGAT KURANG"),I170*K170*10%,I170*K170*20%)))</f>
        <v/>
      </c>
      <c r="X170" s="15">
        <f>SUM(U170:W170)*68%</f>
        <v/>
      </c>
      <c r="Y170" s="15">
        <f>I170*L170</f>
        <v/>
      </c>
      <c r="Z170" s="15">
        <f>Y170 * 68%</f>
        <v/>
      </c>
      <c r="AA170" s="15">
        <f>I170*M170</f>
        <v/>
      </c>
      <c r="AB170" s="15">
        <f>AA170*68%</f>
        <v/>
      </c>
      <c r="AC170" s="16">
        <f>ROUND((T170+X170+Z170+AB170),0)</f>
        <v/>
      </c>
      <c r="AD170" s="16">
        <f>AG170</f>
        <v/>
      </c>
      <c r="AE170" s="16">
        <f>AI170</f>
        <v/>
      </c>
      <c r="AF170" s="16">
        <f>AC170+AD170+AE170</f>
        <v/>
      </c>
      <c r="AG170" s="16" t="n"/>
      <c r="AH170" s="17" t="n"/>
      <c r="AI170" s="17">
        <f>AH170*4</f>
        <v/>
      </c>
      <c r="AJ170" s="15">
        <f>AF170-AG170-AH170-AI170</f>
        <v/>
      </c>
      <c r="AK170" s="18" t="n">
        <v>163</v>
      </c>
      <c r="AL170" s="23" t="n"/>
    </row>
    <row r="171" ht="23.5" customHeight="1">
      <c r="A171" s="6" t="inlineStr">
        <is>
          <t>164</t>
        </is>
      </c>
      <c r="B171" s="28" t="n"/>
      <c r="C171" s="55" t="n"/>
      <c r="D171" s="19" t="n"/>
      <c r="E171" s="24" t="n"/>
      <c r="F171" s="25" t="n"/>
      <c r="G171" s="25" t="n"/>
      <c r="H171" s="24" t="n"/>
      <c r="I171" s="11" t="n"/>
      <c r="J171" s="57" t="n"/>
      <c r="K171" s="12" t="n"/>
      <c r="L171" s="13" t="n"/>
      <c r="M171" s="13" t="n"/>
      <c r="N171" s="14">
        <f>ROUND(I171*(SUM(J171:M171))*68%,0)</f>
        <v/>
      </c>
      <c r="O171" s="61" t="n"/>
      <c r="P171" s="59" t="n"/>
      <c r="Q171" s="59" t="n"/>
      <c r="R171" s="58" t="n"/>
      <c r="S171" s="15">
        <f>I171*J171</f>
        <v/>
      </c>
      <c r="T171" s="15">
        <f>SUM(S171:S171)*68%</f>
        <v/>
      </c>
      <c r="U171" s="15">
        <f>I171*K171*40%*O171</f>
        <v/>
      </c>
      <c r="V171" s="15">
        <f>IF(P171&gt;=6750,(I171*K171*40%),0)</f>
        <v/>
      </c>
      <c r="W171" s="15">
        <f>IF(P171&lt;6750,0,IF(Q171="",0,IF(OR(Q171="KURANG",Q171="SANGAT KURANG"),I171*K171*10%,I171*K171*20%)))</f>
        <v/>
      </c>
      <c r="X171" s="15">
        <f>SUM(U171:W171)*68%</f>
        <v/>
      </c>
      <c r="Y171" s="15">
        <f>I171*L171</f>
        <v/>
      </c>
      <c r="Z171" s="15">
        <f>Y171 * 68%</f>
        <v/>
      </c>
      <c r="AA171" s="15">
        <f>I171*M171</f>
        <v/>
      </c>
      <c r="AB171" s="15">
        <f>AA171*68%</f>
        <v/>
      </c>
      <c r="AC171" s="16">
        <f>ROUND((T171+X171+Z171+AB171),0)</f>
        <v/>
      </c>
      <c r="AD171" s="16">
        <f>AG171</f>
        <v/>
      </c>
      <c r="AE171" s="16">
        <f>AI171</f>
        <v/>
      </c>
      <c r="AF171" s="16">
        <f>AC171+AD171+AE171</f>
        <v/>
      </c>
      <c r="AG171" s="16" t="n"/>
      <c r="AH171" s="17" t="n"/>
      <c r="AI171" s="17">
        <f>AH171*4</f>
        <v/>
      </c>
      <c r="AJ171" s="15">
        <f>AF171-AG171-AH171-AI171</f>
        <v/>
      </c>
      <c r="AK171" s="18" t="n">
        <v>164</v>
      </c>
      <c r="AL171" s="40" t="n"/>
    </row>
    <row r="172" ht="23.5" customHeight="1">
      <c r="A172" s="6" t="inlineStr">
        <is>
          <t>165</t>
        </is>
      </c>
      <c r="B172" s="28" t="n"/>
      <c r="C172" s="55" t="n"/>
      <c r="D172" s="19" t="n"/>
      <c r="E172" s="24" t="n"/>
      <c r="F172" s="25" t="n"/>
      <c r="G172" s="25" t="n"/>
      <c r="H172" s="24" t="n"/>
      <c r="I172" s="11" t="n"/>
      <c r="J172" s="57" t="n"/>
      <c r="K172" s="12" t="n"/>
      <c r="L172" s="13" t="n"/>
      <c r="M172" s="13" t="n"/>
      <c r="N172" s="14">
        <f>ROUND(I172*(SUM(J172:M172))*68%,0)</f>
        <v/>
      </c>
      <c r="O172" s="61" t="n"/>
      <c r="P172" s="59" t="n"/>
      <c r="Q172" s="59" t="n"/>
      <c r="R172" s="58" t="n"/>
      <c r="S172" s="15">
        <f>I172*J172</f>
        <v/>
      </c>
      <c r="T172" s="15">
        <f>SUM(S172:S172)*68%</f>
        <v/>
      </c>
      <c r="U172" s="15">
        <f>I172*K172*40%*O172</f>
        <v/>
      </c>
      <c r="V172" s="15">
        <f>IF(P172&gt;=6750,(I172*K172*40%),0)</f>
        <v/>
      </c>
      <c r="W172" s="15">
        <f>IF(P172&lt;6750,0,IF(Q172="",0,IF(OR(Q172="KURANG",Q172="SANGAT KURANG"),I172*K172*10%,I172*K172*20%)))</f>
        <v/>
      </c>
      <c r="X172" s="15">
        <f>SUM(U172:W172)*68%</f>
        <v/>
      </c>
      <c r="Y172" s="15">
        <f>I172*L172</f>
        <v/>
      </c>
      <c r="Z172" s="15">
        <f>Y172 * 68%</f>
        <v/>
      </c>
      <c r="AA172" s="15">
        <f>I172*M172</f>
        <v/>
      </c>
      <c r="AB172" s="15">
        <f>AA172*68%</f>
        <v/>
      </c>
      <c r="AC172" s="16">
        <f>ROUND((T172+X172+Z172+AB172),0)</f>
        <v/>
      </c>
      <c r="AD172" s="16">
        <f>AG172</f>
        <v/>
      </c>
      <c r="AE172" s="16">
        <f>AI172</f>
        <v/>
      </c>
      <c r="AF172" s="16">
        <f>AC172+AD172+AE172</f>
        <v/>
      </c>
      <c r="AG172" s="16" t="n"/>
      <c r="AH172" s="17" t="n"/>
      <c r="AI172" s="17">
        <f>AH172*4</f>
        <v/>
      </c>
      <c r="AJ172" s="15">
        <f>AF172-AG172-AH172-AI172</f>
        <v/>
      </c>
      <c r="AK172" s="18" t="n">
        <v>165</v>
      </c>
      <c r="AL172" s="23" t="n"/>
    </row>
    <row r="173" ht="23.5" customHeight="1">
      <c r="A173" s="6" t="inlineStr">
        <is>
          <t>166</t>
        </is>
      </c>
      <c r="B173" s="28" t="n"/>
      <c r="C173" s="55" t="n"/>
      <c r="D173" s="19" t="n"/>
      <c r="E173" s="24" t="n"/>
      <c r="F173" s="25" t="n"/>
      <c r="G173" s="25" t="n"/>
      <c r="H173" s="24" t="n"/>
      <c r="I173" s="11" t="n"/>
      <c r="J173" s="57" t="n"/>
      <c r="K173" s="12" t="n"/>
      <c r="L173" s="13" t="n"/>
      <c r="M173" s="13" t="n"/>
      <c r="N173" s="14">
        <f>ROUND(I173*(SUM(J173:M173))*68%,0)</f>
        <v/>
      </c>
      <c r="O173" s="61" t="n"/>
      <c r="P173" s="59" t="n"/>
      <c r="Q173" s="59" t="n"/>
      <c r="R173" s="58" t="n"/>
      <c r="S173" s="15">
        <f>I173*J173</f>
        <v/>
      </c>
      <c r="T173" s="15">
        <f>SUM(S173:S173)*68%</f>
        <v/>
      </c>
      <c r="U173" s="15">
        <f>I173*K173*40%*O173</f>
        <v/>
      </c>
      <c r="V173" s="15">
        <f>IF(P173&gt;=6750,(I173*K173*40%),0)</f>
        <v/>
      </c>
      <c r="W173" s="15">
        <f>IF(P173&lt;6750,0,IF(Q173="",0,IF(OR(Q173="KURANG",Q173="SANGAT KURANG"),I173*K173*10%,I173*K173*20%)))</f>
        <v/>
      </c>
      <c r="X173" s="15">
        <f>SUM(U173:W173)*68%</f>
        <v/>
      </c>
      <c r="Y173" s="15">
        <f>I173*L173</f>
        <v/>
      </c>
      <c r="Z173" s="15">
        <f>Y173 * 68%</f>
        <v/>
      </c>
      <c r="AA173" s="15">
        <f>I173*M173</f>
        <v/>
      </c>
      <c r="AB173" s="15">
        <f>AA173*68%</f>
        <v/>
      </c>
      <c r="AC173" s="16">
        <f>ROUND((T173+X173+Z173+AB173),0)</f>
        <v/>
      </c>
      <c r="AD173" s="16">
        <f>AG173</f>
        <v/>
      </c>
      <c r="AE173" s="16">
        <f>AI173</f>
        <v/>
      </c>
      <c r="AF173" s="16">
        <f>AC173+AD173+AE173</f>
        <v/>
      </c>
      <c r="AG173" s="16" t="n"/>
      <c r="AH173" s="17" t="n"/>
      <c r="AI173" s="17">
        <f>AH173*4</f>
        <v/>
      </c>
      <c r="AJ173" s="15">
        <f>AF173-AG173-AH173-AI173</f>
        <v/>
      </c>
      <c r="AK173" s="18" t="n">
        <v>166</v>
      </c>
      <c r="AL173" s="23" t="n"/>
    </row>
    <row r="174" ht="23.5" customHeight="1">
      <c r="A174" s="6" t="inlineStr">
        <is>
          <t>167</t>
        </is>
      </c>
      <c r="B174" s="28" t="n"/>
      <c r="C174" s="55" t="n"/>
      <c r="D174" s="19" t="n"/>
      <c r="E174" s="24" t="n"/>
      <c r="F174" s="25" t="n"/>
      <c r="G174" s="25" t="n"/>
      <c r="H174" s="24" t="n"/>
      <c r="I174" s="11" t="n"/>
      <c r="J174" s="57" t="n"/>
      <c r="K174" s="12" t="n"/>
      <c r="L174" s="13" t="n"/>
      <c r="M174" s="13" t="n"/>
      <c r="N174" s="14">
        <f>ROUND(I174*(SUM(J174:M174))*68%,0)</f>
        <v/>
      </c>
      <c r="O174" s="61" t="n"/>
      <c r="P174" s="59" t="n"/>
      <c r="Q174" s="59" t="n"/>
      <c r="R174" s="58" t="n"/>
      <c r="S174" s="15">
        <f>I174*J174</f>
        <v/>
      </c>
      <c r="T174" s="15">
        <f>SUM(S174:S174)*68%</f>
        <v/>
      </c>
      <c r="U174" s="15">
        <f>I174*K174*40%*O174</f>
        <v/>
      </c>
      <c r="V174" s="15">
        <f>IF(P174&gt;=6750,(I174*K174*40%),0)</f>
        <v/>
      </c>
      <c r="W174" s="15">
        <f>IF(P174&lt;6750,0,IF(Q174="",0,IF(OR(Q174="KURANG",Q174="SANGAT KURANG"),I174*K174*10%,I174*K174*20%)))</f>
        <v/>
      </c>
      <c r="X174" s="15">
        <f>SUM(U174:W174)*68%</f>
        <v/>
      </c>
      <c r="Y174" s="15">
        <f>I174*L174</f>
        <v/>
      </c>
      <c r="Z174" s="15">
        <f>Y174 * 68%</f>
        <v/>
      </c>
      <c r="AA174" s="15">
        <f>I174*M174</f>
        <v/>
      </c>
      <c r="AB174" s="15">
        <f>AA174*68%</f>
        <v/>
      </c>
      <c r="AC174" s="16">
        <f>ROUND((T174+X174+Z174+AB174),0)</f>
        <v/>
      </c>
      <c r="AD174" s="16">
        <f>AG174</f>
        <v/>
      </c>
      <c r="AE174" s="16">
        <f>AI174</f>
        <v/>
      </c>
      <c r="AF174" s="16">
        <f>AC174+AD174+AE174</f>
        <v/>
      </c>
      <c r="AG174" s="16" t="n"/>
      <c r="AH174" s="17" t="n"/>
      <c r="AI174" s="17">
        <f>AH174*4</f>
        <v/>
      </c>
      <c r="AJ174" s="15">
        <f>AF174-AG174-AH174-AI174</f>
        <v/>
      </c>
      <c r="AK174" s="18" t="n">
        <v>167</v>
      </c>
      <c r="AL174" s="40" t="n"/>
    </row>
    <row r="175" ht="23.5" customHeight="1">
      <c r="A175" s="6" t="inlineStr">
        <is>
          <t>168</t>
        </is>
      </c>
      <c r="B175" s="28" t="n"/>
      <c r="C175" s="55" t="n"/>
      <c r="D175" s="19" t="n"/>
      <c r="E175" s="24" t="n"/>
      <c r="F175" s="25" t="n"/>
      <c r="G175" s="25" t="n"/>
      <c r="H175" s="24" t="n"/>
      <c r="I175" s="11" t="n"/>
      <c r="J175" s="57" t="n"/>
      <c r="K175" s="12" t="n"/>
      <c r="L175" s="13" t="n"/>
      <c r="M175" s="13" t="n"/>
      <c r="N175" s="14">
        <f>ROUND(I175*(SUM(J175:M175))*68%,0)</f>
        <v/>
      </c>
      <c r="O175" s="61" t="n"/>
      <c r="P175" s="59" t="n"/>
      <c r="Q175" s="59" t="n"/>
      <c r="R175" s="58" t="n"/>
      <c r="S175" s="15">
        <f>I175*J175</f>
        <v/>
      </c>
      <c r="T175" s="15">
        <f>SUM(S175:S175)*68%</f>
        <v/>
      </c>
      <c r="U175" s="15">
        <f>I175*K175*40%*O175</f>
        <v/>
      </c>
      <c r="V175" s="15">
        <f>IF(P175&gt;=6750,(I175*K175*40%),0)</f>
        <v/>
      </c>
      <c r="W175" s="15">
        <f>IF(P175&lt;6750,0,IF(Q175="",0,IF(OR(Q175="KURANG",Q175="SANGAT KURANG"),I175*K175*10%,I175*K175*20%)))</f>
        <v/>
      </c>
      <c r="X175" s="15">
        <f>SUM(U175:W175)*68%</f>
        <v/>
      </c>
      <c r="Y175" s="15">
        <f>I175*L175</f>
        <v/>
      </c>
      <c r="Z175" s="15">
        <f>Y175 * 68%</f>
        <v/>
      </c>
      <c r="AA175" s="15">
        <f>I175*M175</f>
        <v/>
      </c>
      <c r="AB175" s="15">
        <f>AA175*68%</f>
        <v/>
      </c>
      <c r="AC175" s="16">
        <f>ROUND((T175+X175+Z175+AB175),0)</f>
        <v/>
      </c>
      <c r="AD175" s="16">
        <f>AG175</f>
        <v/>
      </c>
      <c r="AE175" s="16">
        <f>AI175</f>
        <v/>
      </c>
      <c r="AF175" s="16">
        <f>AC175+AD175+AE175</f>
        <v/>
      </c>
      <c r="AG175" s="16" t="n"/>
      <c r="AH175" s="17" t="n"/>
      <c r="AI175" s="17">
        <f>AH175*4</f>
        <v/>
      </c>
      <c r="AJ175" s="15">
        <f>AF175-AG175-AH175-AI175</f>
        <v/>
      </c>
      <c r="AK175" s="18" t="n">
        <v>168</v>
      </c>
      <c r="AL175" s="23" t="n"/>
    </row>
    <row r="176" ht="23.5" customHeight="1">
      <c r="A176" s="6" t="inlineStr">
        <is>
          <t>169</t>
        </is>
      </c>
      <c r="B176" s="28" t="n"/>
      <c r="C176" s="55" t="n"/>
      <c r="D176" s="19" t="n"/>
      <c r="E176" s="24" t="n"/>
      <c r="F176" s="25" t="n"/>
      <c r="G176" s="25" t="n"/>
      <c r="H176" s="24" t="n"/>
      <c r="I176" s="11" t="n"/>
      <c r="J176" s="57" t="n"/>
      <c r="K176" s="12" t="n"/>
      <c r="L176" s="13" t="n"/>
      <c r="M176" s="13" t="n"/>
      <c r="N176" s="14">
        <f>ROUND(I176*(SUM(J176:M176))*68%,0)</f>
        <v/>
      </c>
      <c r="O176" s="61" t="n"/>
      <c r="P176" s="59" t="n"/>
      <c r="Q176" s="59" t="n"/>
      <c r="R176" s="58" t="n"/>
      <c r="S176" s="15">
        <f>I176*J176</f>
        <v/>
      </c>
      <c r="T176" s="15">
        <f>SUM(S176:S176)*68%</f>
        <v/>
      </c>
      <c r="U176" s="15">
        <f>I176*K176*40%*O176</f>
        <v/>
      </c>
      <c r="V176" s="15">
        <f>IF(P176&gt;=6750,(I176*K176*40%),0)</f>
        <v/>
      </c>
      <c r="W176" s="15">
        <f>IF(P176&lt;6750,0,IF(Q176="",0,IF(OR(Q176="KURANG",Q176="SANGAT KURANG"),I176*K176*10%,I176*K176*20%)))</f>
        <v/>
      </c>
      <c r="X176" s="15">
        <f>SUM(U176:W176)*68%</f>
        <v/>
      </c>
      <c r="Y176" s="15">
        <f>I176*L176</f>
        <v/>
      </c>
      <c r="Z176" s="15">
        <f>Y176 * 68%</f>
        <v/>
      </c>
      <c r="AA176" s="15">
        <f>I176*M176</f>
        <v/>
      </c>
      <c r="AB176" s="15">
        <f>AA176*68%</f>
        <v/>
      </c>
      <c r="AC176" s="16">
        <f>ROUND((T176+X176+Z176+AB176),0)</f>
        <v/>
      </c>
      <c r="AD176" s="16">
        <f>AG176</f>
        <v/>
      </c>
      <c r="AE176" s="16">
        <f>AI176</f>
        <v/>
      </c>
      <c r="AF176" s="16">
        <f>AC176+AD176+AE176</f>
        <v/>
      </c>
      <c r="AG176" s="16" t="n"/>
      <c r="AH176" s="17" t="n"/>
      <c r="AI176" s="17">
        <f>AH176*4</f>
        <v/>
      </c>
      <c r="AJ176" s="15">
        <f>AF176-AG176-AH176-AI176</f>
        <v/>
      </c>
      <c r="AK176" s="18" t="n">
        <v>169</v>
      </c>
      <c r="AL176" s="23" t="n"/>
    </row>
    <row r="177" ht="23.5" customHeight="1">
      <c r="A177" s="6" t="inlineStr">
        <is>
          <t>170</t>
        </is>
      </c>
      <c r="B177" s="28" t="n"/>
      <c r="C177" s="55" t="n"/>
      <c r="D177" s="19" t="n"/>
      <c r="E177" s="24" t="n"/>
      <c r="F177" s="25" t="n"/>
      <c r="G177" s="25" t="n"/>
      <c r="H177" s="24" t="n"/>
      <c r="I177" s="11" t="n"/>
      <c r="J177" s="57" t="n"/>
      <c r="K177" s="12" t="n"/>
      <c r="L177" s="13" t="n"/>
      <c r="M177" s="13" t="n"/>
      <c r="N177" s="14">
        <f>ROUND(I177*(SUM(J177:M177))*68%,0)</f>
        <v/>
      </c>
      <c r="O177" s="61" t="n"/>
      <c r="P177" s="59" t="n"/>
      <c r="Q177" s="59" t="n"/>
      <c r="R177" s="58" t="n"/>
      <c r="S177" s="15">
        <f>I177*J177</f>
        <v/>
      </c>
      <c r="T177" s="15">
        <f>SUM(S177:S177)*68%</f>
        <v/>
      </c>
      <c r="U177" s="15">
        <f>I177*K177*40%*O177</f>
        <v/>
      </c>
      <c r="V177" s="15">
        <f>IF(P177&gt;=6750,(I177*K177*40%),0)</f>
        <v/>
      </c>
      <c r="W177" s="15">
        <f>IF(P177&lt;6750,0,IF(Q177="",0,IF(OR(Q177="KURANG",Q177="SANGAT KURANG"),I177*K177*10%,I177*K177*20%)))</f>
        <v/>
      </c>
      <c r="X177" s="15">
        <f>SUM(U177:W177)*68%</f>
        <v/>
      </c>
      <c r="Y177" s="15">
        <f>I177*L177</f>
        <v/>
      </c>
      <c r="Z177" s="15">
        <f>Y177 * 68%</f>
        <v/>
      </c>
      <c r="AA177" s="15">
        <f>I177*M177</f>
        <v/>
      </c>
      <c r="AB177" s="15">
        <f>AA177*68%</f>
        <v/>
      </c>
      <c r="AC177" s="16">
        <f>ROUND((T177+X177+Z177+AB177),0)</f>
        <v/>
      </c>
      <c r="AD177" s="16">
        <f>AG177</f>
        <v/>
      </c>
      <c r="AE177" s="16">
        <f>AI177</f>
        <v/>
      </c>
      <c r="AF177" s="16">
        <f>AC177+AD177+AE177</f>
        <v/>
      </c>
      <c r="AG177" s="16" t="n"/>
      <c r="AH177" s="17" t="n"/>
      <c r="AI177" s="17">
        <f>AH177*4</f>
        <v/>
      </c>
      <c r="AJ177" s="15">
        <f>AF177-AG177-AH177-AI177</f>
        <v/>
      </c>
      <c r="AK177" s="18" t="n">
        <v>170</v>
      </c>
      <c r="AL177" s="40" t="n"/>
    </row>
    <row r="178" ht="23.5" customHeight="1">
      <c r="A178" s="6" t="inlineStr">
        <is>
          <t>171</t>
        </is>
      </c>
      <c r="B178" s="28" t="n"/>
      <c r="C178" s="55" t="n"/>
      <c r="D178" s="19" t="n"/>
      <c r="E178" s="24" t="n"/>
      <c r="F178" s="25" t="n"/>
      <c r="G178" s="25" t="n"/>
      <c r="H178" s="24" t="n"/>
      <c r="I178" s="11" t="n"/>
      <c r="J178" s="57" t="n"/>
      <c r="K178" s="12" t="n"/>
      <c r="L178" s="13" t="n"/>
      <c r="M178" s="13" t="n"/>
      <c r="N178" s="14">
        <f>ROUND(I178*(SUM(J178:M178))*68%,0)</f>
        <v/>
      </c>
      <c r="O178" s="61" t="n"/>
      <c r="P178" s="59" t="n"/>
      <c r="Q178" s="59" t="n"/>
      <c r="R178" s="58" t="n"/>
      <c r="S178" s="15">
        <f>I178*J178</f>
        <v/>
      </c>
      <c r="T178" s="15">
        <f>SUM(S178:S178)*68%</f>
        <v/>
      </c>
      <c r="U178" s="15">
        <f>I178*K178*40%*O178</f>
        <v/>
      </c>
      <c r="V178" s="15">
        <f>IF(P178&gt;=6750,(I178*K178*40%),0)</f>
        <v/>
      </c>
      <c r="W178" s="15">
        <f>IF(P178&lt;6750,0,IF(Q178="",0,IF(OR(Q178="KURANG",Q178="SANGAT KURANG"),I178*K178*10%,I178*K178*20%)))</f>
        <v/>
      </c>
      <c r="X178" s="15">
        <f>SUM(U178:W178)*68%</f>
        <v/>
      </c>
      <c r="Y178" s="15">
        <f>I178*L178</f>
        <v/>
      </c>
      <c r="Z178" s="15">
        <f>Y178 * 68%</f>
        <v/>
      </c>
      <c r="AA178" s="15">
        <f>I178*M178</f>
        <v/>
      </c>
      <c r="AB178" s="15">
        <f>AA178*68%</f>
        <v/>
      </c>
      <c r="AC178" s="16">
        <f>ROUND((T178+X178+Z178+AB178),0)</f>
        <v/>
      </c>
      <c r="AD178" s="16">
        <f>AG178</f>
        <v/>
      </c>
      <c r="AE178" s="16">
        <f>AI178</f>
        <v/>
      </c>
      <c r="AF178" s="16">
        <f>AC178+AD178+AE178</f>
        <v/>
      </c>
      <c r="AG178" s="16" t="n"/>
      <c r="AH178" s="17" t="n"/>
      <c r="AI178" s="17">
        <f>AH178*4</f>
        <v/>
      </c>
      <c r="AJ178" s="15">
        <f>AF178-AG178-AH178-AI178</f>
        <v/>
      </c>
      <c r="AK178" s="18" t="n">
        <v>171</v>
      </c>
      <c r="AL178" s="23" t="n"/>
    </row>
    <row r="179" ht="23.5" customHeight="1">
      <c r="A179" s="6" t="inlineStr">
        <is>
          <t>172</t>
        </is>
      </c>
      <c r="B179" s="24" t="n"/>
      <c r="C179" s="55" t="n"/>
      <c r="D179" s="19" t="n"/>
      <c r="E179" s="24" t="n"/>
      <c r="F179" s="25" t="n"/>
      <c r="G179" s="25" t="n"/>
      <c r="H179" s="24" t="n"/>
      <c r="I179" s="11" t="n"/>
      <c r="J179" s="57" t="n"/>
      <c r="K179" s="12" t="n"/>
      <c r="L179" s="13" t="n"/>
      <c r="M179" s="13" t="n"/>
      <c r="N179" s="14">
        <f>ROUND(I179*(SUM(J179:M179))*68%,0)</f>
        <v/>
      </c>
      <c r="O179" s="61" t="n"/>
      <c r="P179" s="59" t="n"/>
      <c r="Q179" s="59" t="n"/>
      <c r="R179" s="58" t="n"/>
      <c r="S179" s="15">
        <f>I179*J179</f>
        <v/>
      </c>
      <c r="T179" s="15">
        <f>SUM(S179:S179)*68%</f>
        <v/>
      </c>
      <c r="U179" s="15">
        <f>I179*K179*40%*O179</f>
        <v/>
      </c>
      <c r="V179" s="15">
        <f>IF(P179&gt;=6750,(I179*K179*40%),0)</f>
        <v/>
      </c>
      <c r="W179" s="15">
        <f>IF(P179&lt;6750,0,IF(Q179="",0,IF(OR(Q179="KURANG",Q179="SANGAT KURANG"),I179*K179*10%,I179*K179*20%)))</f>
        <v/>
      </c>
      <c r="X179" s="15">
        <f>SUM(U179:W179)*68%</f>
        <v/>
      </c>
      <c r="Y179" s="15">
        <f>I179*L179</f>
        <v/>
      </c>
      <c r="Z179" s="15">
        <f>Y179 * 68%</f>
        <v/>
      </c>
      <c r="AA179" s="15">
        <f>I179*M179</f>
        <v/>
      </c>
      <c r="AB179" s="15">
        <f>AA179*68%</f>
        <v/>
      </c>
      <c r="AC179" s="16">
        <f>ROUND((T179+X179+Z179+AB179),0)</f>
        <v/>
      </c>
      <c r="AD179" s="16">
        <f>AG179</f>
        <v/>
      </c>
      <c r="AE179" s="16">
        <f>AI179</f>
        <v/>
      </c>
      <c r="AF179" s="16">
        <f>AC179+AD179+AE179</f>
        <v/>
      </c>
      <c r="AG179" s="16" t="n"/>
      <c r="AH179" s="17" t="n"/>
      <c r="AI179" s="17">
        <f>AH179*4</f>
        <v/>
      </c>
      <c r="AJ179" s="15">
        <f>AF179-AG179-AH179-AI179</f>
        <v/>
      </c>
      <c r="AK179" s="18" t="n">
        <v>172</v>
      </c>
      <c r="AL179" s="23" t="n"/>
    </row>
    <row r="180" ht="23.5" customHeight="1">
      <c r="A180" s="6" t="inlineStr">
        <is>
          <t>173</t>
        </is>
      </c>
      <c r="B180" s="54" t="n"/>
      <c r="C180" s="55" t="n"/>
      <c r="D180" s="19" t="n"/>
      <c r="E180" s="26" t="n"/>
      <c r="F180" s="27" t="n"/>
      <c r="G180" s="25" t="n"/>
      <c r="H180" s="24" t="n"/>
      <c r="I180" s="11" t="n"/>
      <c r="J180" s="57" t="n"/>
      <c r="K180" s="12" t="n"/>
      <c r="L180" s="13" t="n"/>
      <c r="M180" s="13" t="n"/>
      <c r="N180" s="14">
        <f>ROUND(I180*(SUM(J180:M180))*68%,0)</f>
        <v/>
      </c>
      <c r="O180" s="61" t="n"/>
      <c r="P180" s="59" t="n"/>
      <c r="Q180" s="59" t="n"/>
      <c r="R180" s="58" t="n"/>
      <c r="S180" s="15">
        <f>I180*J180</f>
        <v/>
      </c>
      <c r="T180" s="15">
        <f>SUM(S180:S180)*68%</f>
        <v/>
      </c>
      <c r="U180" s="15">
        <f>I180*K180*40%*O180</f>
        <v/>
      </c>
      <c r="V180" s="15">
        <f>IF(P180&gt;=6750,(I180*K180*40%),0)</f>
        <v/>
      </c>
      <c r="W180" s="15">
        <f>IF(P180&lt;6750,0,IF(Q180="",0,IF(OR(Q180="KURANG",Q180="SANGAT KURANG"),I180*K180*10%,I180*K180*20%)))</f>
        <v/>
      </c>
      <c r="X180" s="15">
        <f>SUM(U180:W180)*68%</f>
        <v/>
      </c>
      <c r="Y180" s="15">
        <f>I180*L180</f>
        <v/>
      </c>
      <c r="Z180" s="15">
        <f>Y180 * 68%</f>
        <v/>
      </c>
      <c r="AA180" s="15">
        <f>I180*M180</f>
        <v/>
      </c>
      <c r="AB180" s="15">
        <f>AA180*68%</f>
        <v/>
      </c>
      <c r="AC180" s="16">
        <f>ROUND((T180+X180+Z180+AB180),0)</f>
        <v/>
      </c>
      <c r="AD180" s="16">
        <f>AG180</f>
        <v/>
      </c>
      <c r="AE180" s="16">
        <f>AI180</f>
        <v/>
      </c>
      <c r="AF180" s="16">
        <f>AC180+AD180+AE180</f>
        <v/>
      </c>
      <c r="AG180" s="16" t="n"/>
      <c r="AH180" s="17" t="n"/>
      <c r="AI180" s="17">
        <f>AH180*4</f>
        <v/>
      </c>
      <c r="AJ180" s="15">
        <f>AF180-AG180-AH180-AI180</f>
        <v/>
      </c>
      <c r="AK180" s="18" t="n">
        <v>173</v>
      </c>
      <c r="AL180" s="40" t="n"/>
    </row>
    <row r="181" ht="23.5" customHeight="1">
      <c r="A181" s="6" t="inlineStr">
        <is>
          <t>174</t>
        </is>
      </c>
      <c r="B181" s="28" t="n"/>
      <c r="C181" s="55" t="n"/>
      <c r="D181" s="19" t="n"/>
      <c r="E181" s="24" t="n"/>
      <c r="F181" s="27" t="n"/>
      <c r="G181" s="25" t="n"/>
      <c r="H181" s="24" t="n"/>
      <c r="I181" s="11" t="n"/>
      <c r="J181" s="57" t="n"/>
      <c r="K181" s="12" t="n"/>
      <c r="L181" s="13" t="n"/>
      <c r="M181" s="13" t="n"/>
      <c r="N181" s="14">
        <f>ROUND(I181*(SUM(J181:M181))*68%,0)</f>
        <v/>
      </c>
      <c r="O181" s="61" t="n"/>
      <c r="P181" s="59" t="n"/>
      <c r="Q181" s="59" t="n"/>
      <c r="R181" s="58" t="n"/>
      <c r="S181" s="15">
        <f>I181*J181</f>
        <v/>
      </c>
      <c r="T181" s="15">
        <f>SUM(S181:S181)*68%</f>
        <v/>
      </c>
      <c r="U181" s="15">
        <f>I181*K181*40%*O181</f>
        <v/>
      </c>
      <c r="V181" s="15">
        <f>IF(P181&gt;=6750,(I181*K181*40%),0)</f>
        <v/>
      </c>
      <c r="W181" s="15">
        <f>IF(P181&lt;6750,0,IF(Q181="",0,IF(OR(Q181="KURANG",Q181="SANGAT KURANG"),I181*K181*10%,I181*K181*20%)))</f>
        <v/>
      </c>
      <c r="X181" s="15">
        <f>SUM(U181:W181)*68%</f>
        <v/>
      </c>
      <c r="Y181" s="15">
        <f>I181*L181</f>
        <v/>
      </c>
      <c r="Z181" s="15">
        <f>Y181 * 68%</f>
        <v/>
      </c>
      <c r="AA181" s="15">
        <f>I181*M181</f>
        <v/>
      </c>
      <c r="AB181" s="15">
        <f>AA181*68%</f>
        <v/>
      </c>
      <c r="AC181" s="16">
        <f>ROUND((T181+X181+Z181+AB181),0)</f>
        <v/>
      </c>
      <c r="AD181" s="16">
        <f>AG181</f>
        <v/>
      </c>
      <c r="AE181" s="16">
        <f>AI181</f>
        <v/>
      </c>
      <c r="AF181" s="16">
        <f>AC181+AD181+AE181</f>
        <v/>
      </c>
      <c r="AG181" s="16" t="n"/>
      <c r="AH181" s="17" t="n"/>
      <c r="AI181" s="17">
        <f>AH181*4</f>
        <v/>
      </c>
      <c r="AJ181" s="15">
        <f>AF181-AG181-AH181-AI181</f>
        <v/>
      </c>
      <c r="AK181" s="18" t="n">
        <v>174</v>
      </c>
      <c r="AL181" s="23" t="n"/>
    </row>
    <row r="182" ht="23.5" customHeight="1">
      <c r="A182" s="6" t="inlineStr">
        <is>
          <t>175</t>
        </is>
      </c>
      <c r="B182" s="28" t="n"/>
      <c r="C182" s="55" t="n"/>
      <c r="D182" s="19" t="n"/>
      <c r="E182" s="24" t="n"/>
      <c r="F182" s="25" t="n"/>
      <c r="G182" s="10" t="n"/>
      <c r="H182" s="8" t="n"/>
      <c r="I182" s="11" t="n"/>
      <c r="J182" s="57" t="n"/>
      <c r="K182" s="12" t="n"/>
      <c r="L182" s="13" t="n"/>
      <c r="M182" s="13" t="n"/>
      <c r="N182" s="14">
        <f>ROUND(I182*(SUM(J182:M182))*68%,0)</f>
        <v/>
      </c>
      <c r="O182" s="61" t="n"/>
      <c r="P182" s="59" t="n"/>
      <c r="Q182" s="59" t="n"/>
      <c r="R182" s="58" t="n"/>
      <c r="S182" s="15">
        <f>I182*J182</f>
        <v/>
      </c>
      <c r="T182" s="15">
        <f>SUM(S182:S182)*68%</f>
        <v/>
      </c>
      <c r="U182" s="15">
        <f>I182*K182*40%*O182</f>
        <v/>
      </c>
      <c r="V182" s="15">
        <f>IF(P182&gt;=6750,(I182*K182*40%),0)</f>
        <v/>
      </c>
      <c r="W182" s="15">
        <f>IF(P182&lt;6750,0,IF(Q182="",0,IF(OR(Q182="KURANG",Q182="SANGAT KURANG"),I182*K182*10%,I182*K182*20%)))</f>
        <v/>
      </c>
      <c r="X182" s="15">
        <f>SUM(U182:W182)*68%</f>
        <v/>
      </c>
      <c r="Y182" s="15">
        <f>I182*L182</f>
        <v/>
      </c>
      <c r="Z182" s="15">
        <f>Y182 * 68%</f>
        <v/>
      </c>
      <c r="AA182" s="15">
        <f>I182*M182</f>
        <v/>
      </c>
      <c r="AB182" s="15">
        <f>AA182*68%</f>
        <v/>
      </c>
      <c r="AC182" s="16">
        <f>ROUND((T182+X182+Z182+AB182),0)</f>
        <v/>
      </c>
      <c r="AD182" s="16">
        <f>AG182</f>
        <v/>
      </c>
      <c r="AE182" s="16">
        <f>AI182</f>
        <v/>
      </c>
      <c r="AF182" s="16">
        <f>AC182+AD182+AE182</f>
        <v/>
      </c>
      <c r="AG182" s="16" t="n"/>
      <c r="AH182" s="17" t="n"/>
      <c r="AI182" s="17">
        <f>AH182*4</f>
        <v/>
      </c>
      <c r="AJ182" s="15">
        <f>AF182-AG182-AH182-AI182</f>
        <v/>
      </c>
      <c r="AK182" s="18" t="n">
        <v>175</v>
      </c>
      <c r="AL182" s="23" t="n"/>
    </row>
    <row r="183" ht="23.5" customHeight="1">
      <c r="A183" s="6" t="inlineStr">
        <is>
          <t>176</t>
        </is>
      </c>
      <c r="B183" s="24" t="n"/>
      <c r="C183" s="55" t="n"/>
      <c r="D183" s="19" t="n"/>
      <c r="E183" s="24" t="n"/>
      <c r="F183" s="25" t="n"/>
      <c r="G183" s="10" t="n"/>
      <c r="H183" s="8" t="n"/>
      <c r="I183" s="11" t="n"/>
      <c r="J183" s="57" t="n"/>
      <c r="K183" s="12" t="n"/>
      <c r="L183" s="13" t="n"/>
      <c r="M183" s="13" t="n"/>
      <c r="N183" s="14">
        <f>ROUND(I183*(SUM(J183:M183))*68%,0)</f>
        <v/>
      </c>
      <c r="O183" s="61" t="n"/>
      <c r="P183" s="59" t="n"/>
      <c r="Q183" s="59" t="n"/>
      <c r="R183" s="58" t="n"/>
      <c r="S183" s="15">
        <f>I183*J183</f>
        <v/>
      </c>
      <c r="T183" s="15">
        <f>SUM(S183:S183)*68%</f>
        <v/>
      </c>
      <c r="U183" s="15">
        <f>I183*K183*40%*O183</f>
        <v/>
      </c>
      <c r="V183" s="15">
        <f>IF(P183&gt;=6750,(I183*K183*40%),0)</f>
        <v/>
      </c>
      <c r="W183" s="15">
        <f>IF(P183&lt;6750,0,IF(Q183="",0,IF(OR(Q183="KURANG",Q183="SANGAT KURANG"),I183*K183*10%,I183*K183*20%)))</f>
        <v/>
      </c>
      <c r="X183" s="15">
        <f>SUM(U183:W183)*68%</f>
        <v/>
      </c>
      <c r="Y183" s="15">
        <f>I183*L183</f>
        <v/>
      </c>
      <c r="Z183" s="15">
        <f>Y183 * 68%</f>
        <v/>
      </c>
      <c r="AA183" s="15">
        <f>I183*M183</f>
        <v/>
      </c>
      <c r="AB183" s="15">
        <f>AA183*68%</f>
        <v/>
      </c>
      <c r="AC183" s="16">
        <f>ROUND((T183+X183+Z183+AB183),0)</f>
        <v/>
      </c>
      <c r="AD183" s="16">
        <f>AG183</f>
        <v/>
      </c>
      <c r="AE183" s="16">
        <f>AI183</f>
        <v/>
      </c>
      <c r="AF183" s="16">
        <f>AC183+AD183+AE183</f>
        <v/>
      </c>
      <c r="AG183" s="16" t="n"/>
      <c r="AH183" s="17" t="n"/>
      <c r="AI183" s="17">
        <f>AH183*4</f>
        <v/>
      </c>
      <c r="AJ183" s="15">
        <f>AF183-AG183-AH183-AI183</f>
        <v/>
      </c>
      <c r="AK183" s="18" t="n">
        <v>176</v>
      </c>
      <c r="AL183" s="40" t="n"/>
    </row>
    <row r="184" ht="23.5" customHeight="1">
      <c r="A184" s="6" t="inlineStr">
        <is>
          <t>177</t>
        </is>
      </c>
      <c r="B184" s="28" t="n"/>
      <c r="C184" s="55" t="n"/>
      <c r="D184" s="19" t="n"/>
      <c r="E184" s="24" t="n"/>
      <c r="F184" s="25" t="n"/>
      <c r="G184" s="10" t="n"/>
      <c r="H184" s="8" t="n"/>
      <c r="I184" s="11" t="n"/>
      <c r="J184" s="57" t="n"/>
      <c r="K184" s="12" t="n"/>
      <c r="L184" s="13" t="n"/>
      <c r="M184" s="13" t="n"/>
      <c r="N184" s="14">
        <f>ROUND(I184*(SUM(J184:M184))*68%,0)</f>
        <v/>
      </c>
      <c r="O184" s="61" t="n"/>
      <c r="P184" s="59" t="n"/>
      <c r="Q184" s="59" t="n"/>
      <c r="R184" s="58" t="n"/>
      <c r="S184" s="15">
        <f>I184*J184</f>
        <v/>
      </c>
      <c r="T184" s="15">
        <f>SUM(S184:S184)*68%</f>
        <v/>
      </c>
      <c r="U184" s="15">
        <f>I184*K184*40%*O184</f>
        <v/>
      </c>
      <c r="V184" s="15">
        <f>IF(P184&gt;=6750,(I184*K184*40%),0)</f>
        <v/>
      </c>
      <c r="W184" s="15">
        <f>IF(P184&lt;6750,0,IF(Q184="",0,IF(OR(Q184="KURANG",Q184="SANGAT KURANG"),I184*K184*10%,I184*K184*20%)))</f>
        <v/>
      </c>
      <c r="X184" s="15">
        <f>SUM(U184:W184)*68%</f>
        <v/>
      </c>
      <c r="Y184" s="15">
        <f>I184*L184</f>
        <v/>
      </c>
      <c r="Z184" s="15">
        <f>Y184 * 68%</f>
        <v/>
      </c>
      <c r="AA184" s="15">
        <f>I184*M184</f>
        <v/>
      </c>
      <c r="AB184" s="15">
        <f>AA184*68%</f>
        <v/>
      </c>
      <c r="AC184" s="16">
        <f>ROUND((T184+X184+Z184+AB184),0)</f>
        <v/>
      </c>
      <c r="AD184" s="16">
        <f>AG184</f>
        <v/>
      </c>
      <c r="AE184" s="16">
        <f>AI184</f>
        <v/>
      </c>
      <c r="AF184" s="16">
        <f>AC184+AD184+AE184</f>
        <v/>
      </c>
      <c r="AG184" s="16" t="n"/>
      <c r="AH184" s="17" t="n"/>
      <c r="AI184" s="17">
        <f>AH184*4</f>
        <v/>
      </c>
      <c r="AJ184" s="15">
        <f>AF184-AG184-AH184-AI184</f>
        <v/>
      </c>
      <c r="AK184" s="18" t="n">
        <v>177</v>
      </c>
      <c r="AL184" s="23" t="n"/>
    </row>
    <row r="185" ht="23.5" customHeight="1">
      <c r="A185" s="6" t="inlineStr">
        <is>
          <t>178</t>
        </is>
      </c>
      <c r="B185" s="28" t="n"/>
      <c r="C185" s="55" t="n"/>
      <c r="D185" s="19" t="n"/>
      <c r="E185" s="24" t="n"/>
      <c r="F185" s="25" t="n"/>
      <c r="G185" s="10" t="n"/>
      <c r="H185" s="8" t="n"/>
      <c r="I185" s="11" t="n"/>
      <c r="J185" s="57" t="n"/>
      <c r="K185" s="12" t="n"/>
      <c r="L185" s="13" t="n"/>
      <c r="M185" s="13" t="n"/>
      <c r="N185" s="14">
        <f>ROUND(I185*(SUM(J185:M185))*68%,0)</f>
        <v/>
      </c>
      <c r="O185" s="61" t="n"/>
      <c r="P185" s="59" t="n"/>
      <c r="Q185" s="59" t="n"/>
      <c r="R185" s="58" t="n"/>
      <c r="S185" s="15">
        <f>I185*J185</f>
        <v/>
      </c>
      <c r="T185" s="15">
        <f>SUM(S185:S185)*68%</f>
        <v/>
      </c>
      <c r="U185" s="15">
        <f>I185*K185*40%*O185</f>
        <v/>
      </c>
      <c r="V185" s="15">
        <f>IF(P185&gt;=6750,(I185*K185*40%),0)</f>
        <v/>
      </c>
      <c r="W185" s="15">
        <f>IF(P185&lt;6750,0,IF(Q185="",0,IF(OR(Q185="KURANG",Q185="SANGAT KURANG"),I185*K185*10%,I185*K185*20%)))</f>
        <v/>
      </c>
      <c r="X185" s="15">
        <f>SUM(U185:W185)*68%</f>
        <v/>
      </c>
      <c r="Y185" s="15">
        <f>I185*L185</f>
        <v/>
      </c>
      <c r="Z185" s="15">
        <f>Y185 * 68%</f>
        <v/>
      </c>
      <c r="AA185" s="15">
        <f>I185*M185</f>
        <v/>
      </c>
      <c r="AB185" s="15">
        <f>AA185*68%</f>
        <v/>
      </c>
      <c r="AC185" s="16">
        <f>ROUND((T185+X185+Z185+AB185),0)</f>
        <v/>
      </c>
      <c r="AD185" s="16">
        <f>AG185</f>
        <v/>
      </c>
      <c r="AE185" s="16">
        <f>AI185</f>
        <v/>
      </c>
      <c r="AF185" s="16">
        <f>AC185+AD185+AE185</f>
        <v/>
      </c>
      <c r="AG185" s="16" t="n"/>
      <c r="AH185" s="17" t="n"/>
      <c r="AI185" s="17">
        <f>AH185*4</f>
        <v/>
      </c>
      <c r="AJ185" s="15">
        <f>AF185-AG185-AH185-AI185</f>
        <v/>
      </c>
      <c r="AK185" s="18" t="n">
        <v>178</v>
      </c>
      <c r="AL185" s="23" t="n"/>
    </row>
    <row r="186" ht="23.5" customHeight="1">
      <c r="A186" s="6" t="inlineStr">
        <is>
          <t>179</t>
        </is>
      </c>
      <c r="B186" s="24" t="n"/>
      <c r="C186" s="55" t="n"/>
      <c r="D186" s="19" t="n"/>
      <c r="E186" s="24" t="n"/>
      <c r="F186" s="25" t="n"/>
      <c r="G186" s="10" t="n"/>
      <c r="H186" s="8" t="n"/>
      <c r="I186" s="11" t="n"/>
      <c r="J186" s="57" t="n"/>
      <c r="K186" s="12" t="n"/>
      <c r="L186" s="13" t="n"/>
      <c r="M186" s="13" t="n"/>
      <c r="N186" s="14">
        <f>ROUND(I186*(SUM(J186:M186))*68%,0)</f>
        <v/>
      </c>
      <c r="O186" s="61" t="n"/>
      <c r="P186" s="59" t="n"/>
      <c r="Q186" s="59" t="n"/>
      <c r="R186" s="58" t="n"/>
      <c r="S186" s="15">
        <f>I186*J186</f>
        <v/>
      </c>
      <c r="T186" s="15">
        <f>SUM(S186:S186)*68%</f>
        <v/>
      </c>
      <c r="U186" s="15">
        <f>I186*K186*40%*O186</f>
        <v/>
      </c>
      <c r="V186" s="15">
        <f>IF(P186&gt;=6750,(I186*K186*40%),0)</f>
        <v/>
      </c>
      <c r="W186" s="15">
        <f>IF(P186&lt;6750,0,IF(Q186="",0,IF(OR(Q186="KURANG",Q186="SANGAT KURANG"),I186*K186*10%,I186*K186*20%)))</f>
        <v/>
      </c>
      <c r="X186" s="15">
        <f>SUM(U186:W186)*68%</f>
        <v/>
      </c>
      <c r="Y186" s="15">
        <f>I186*L186</f>
        <v/>
      </c>
      <c r="Z186" s="15">
        <f>Y186 * 68%</f>
        <v/>
      </c>
      <c r="AA186" s="15">
        <f>I186*M186</f>
        <v/>
      </c>
      <c r="AB186" s="15">
        <f>AA186*68%</f>
        <v/>
      </c>
      <c r="AC186" s="16">
        <f>ROUND((T186+X186+Z186+AB186),0)</f>
        <v/>
      </c>
      <c r="AD186" s="16">
        <f>AG186</f>
        <v/>
      </c>
      <c r="AE186" s="16">
        <f>AI186</f>
        <v/>
      </c>
      <c r="AF186" s="16">
        <f>AC186+AD186+AE186</f>
        <v/>
      </c>
      <c r="AG186" s="16" t="n"/>
      <c r="AH186" s="17" t="n"/>
      <c r="AI186" s="17">
        <f>AH186*4</f>
        <v/>
      </c>
      <c r="AJ186" s="15">
        <f>AF186-AG186-AH186-AI186</f>
        <v/>
      </c>
      <c r="AK186" s="18" t="n">
        <v>179</v>
      </c>
      <c r="AL186" s="40" t="n"/>
    </row>
    <row r="187" ht="23.5" customHeight="1">
      <c r="A187" s="6" t="inlineStr">
        <is>
          <t>180</t>
        </is>
      </c>
      <c r="B187" s="24" t="n"/>
      <c r="C187" s="55" t="n"/>
      <c r="D187" s="19" t="n"/>
      <c r="E187" s="24" t="n"/>
      <c r="F187" s="25" t="n"/>
      <c r="G187" s="10" t="n"/>
      <c r="H187" s="8" t="n"/>
      <c r="I187" s="11" t="n"/>
      <c r="J187" s="57" t="n"/>
      <c r="K187" s="12" t="n"/>
      <c r="L187" s="13" t="n"/>
      <c r="M187" s="13" t="n"/>
      <c r="N187" s="14">
        <f>ROUND(I187*(SUM(J187:M187))*68%,0)</f>
        <v/>
      </c>
      <c r="O187" s="61" t="n"/>
      <c r="P187" s="59" t="n"/>
      <c r="Q187" s="59" t="n"/>
      <c r="R187" s="58" t="n"/>
      <c r="S187" s="15">
        <f>I187*J187</f>
        <v/>
      </c>
      <c r="T187" s="15">
        <f>SUM(S187:S187)*68%</f>
        <v/>
      </c>
      <c r="U187" s="15">
        <f>I187*K187*40%*O187</f>
        <v/>
      </c>
      <c r="V187" s="15">
        <f>IF(P187&gt;=6750,(I187*K187*40%),0)</f>
        <v/>
      </c>
      <c r="W187" s="15">
        <f>IF(P187&lt;6750,0,IF(Q187="",0,IF(OR(Q187="KURANG",Q187="SANGAT KURANG"),I187*K187*10%,I187*K187*20%)))</f>
        <v/>
      </c>
      <c r="X187" s="15">
        <f>SUM(U187:W187)*68%</f>
        <v/>
      </c>
      <c r="Y187" s="15">
        <f>I187*L187</f>
        <v/>
      </c>
      <c r="Z187" s="15">
        <f>Y187 * 68%</f>
        <v/>
      </c>
      <c r="AA187" s="15">
        <f>I187*M187</f>
        <v/>
      </c>
      <c r="AB187" s="15">
        <f>AA187*68%</f>
        <v/>
      </c>
      <c r="AC187" s="16">
        <f>ROUND((T187+X187+Z187+AB187),0)</f>
        <v/>
      </c>
      <c r="AD187" s="16">
        <f>AG187</f>
        <v/>
      </c>
      <c r="AE187" s="16">
        <f>AI187</f>
        <v/>
      </c>
      <c r="AF187" s="16">
        <f>AC187+AD187+AE187</f>
        <v/>
      </c>
      <c r="AG187" s="16" t="n"/>
      <c r="AH187" s="17" t="n"/>
      <c r="AI187" s="17">
        <f>AH187*4</f>
        <v/>
      </c>
      <c r="AJ187" s="15">
        <f>AF187-AG187-AH187-AI187</f>
        <v/>
      </c>
      <c r="AK187" s="18" t="n">
        <v>180</v>
      </c>
      <c r="AL187" s="23" t="n"/>
    </row>
    <row r="188" ht="23.5" customHeight="1">
      <c r="A188" s="6" t="inlineStr">
        <is>
          <t>181</t>
        </is>
      </c>
      <c r="B188" s="24" t="n"/>
      <c r="C188" s="55" t="n"/>
      <c r="D188" s="19" t="n"/>
      <c r="E188" s="24" t="n"/>
      <c r="F188" s="25" t="n"/>
      <c r="G188" s="10" t="n"/>
      <c r="H188" s="8" t="n"/>
      <c r="I188" s="11" t="n"/>
      <c r="J188" s="57" t="n"/>
      <c r="K188" s="12" t="n"/>
      <c r="L188" s="13" t="n"/>
      <c r="M188" s="13" t="n"/>
      <c r="N188" s="14">
        <f>ROUND(I188*(SUM(J188:M188))*68%,0)</f>
        <v/>
      </c>
      <c r="O188" s="61" t="n"/>
      <c r="P188" s="59" t="n"/>
      <c r="Q188" s="59" t="n"/>
      <c r="R188" s="58" t="n"/>
      <c r="S188" s="15">
        <f>I188*J188</f>
        <v/>
      </c>
      <c r="T188" s="15">
        <f>SUM(S188:S188)*68%</f>
        <v/>
      </c>
      <c r="U188" s="15">
        <f>I188*K188*40%*O188</f>
        <v/>
      </c>
      <c r="V188" s="15">
        <f>IF(P188&gt;=6750,(I188*K188*40%),0)</f>
        <v/>
      </c>
      <c r="W188" s="15">
        <f>IF(P188&lt;6750,0,IF(Q188="",0,IF(OR(Q188="KURANG",Q188="SANGAT KURANG"),I188*K188*10%,I188*K188*20%)))</f>
        <v/>
      </c>
      <c r="X188" s="15">
        <f>SUM(U188:W188)*68%</f>
        <v/>
      </c>
      <c r="Y188" s="15">
        <f>I188*L188</f>
        <v/>
      </c>
      <c r="Z188" s="15">
        <f>Y188 * 68%</f>
        <v/>
      </c>
      <c r="AA188" s="15">
        <f>I188*M188</f>
        <v/>
      </c>
      <c r="AB188" s="15">
        <f>AA188*68%</f>
        <v/>
      </c>
      <c r="AC188" s="16">
        <f>ROUND((T188+X188+Z188+AB188),0)</f>
        <v/>
      </c>
      <c r="AD188" s="16">
        <f>AG188</f>
        <v/>
      </c>
      <c r="AE188" s="16">
        <f>AI188</f>
        <v/>
      </c>
      <c r="AF188" s="16">
        <f>AC188+AD188+AE188</f>
        <v/>
      </c>
      <c r="AG188" s="16" t="n"/>
      <c r="AH188" s="17" t="n"/>
      <c r="AI188" s="17">
        <f>AH188*4</f>
        <v/>
      </c>
      <c r="AJ188" s="15">
        <f>AF188-AG188-AH188-AI188</f>
        <v/>
      </c>
      <c r="AK188" s="18" t="n">
        <v>181</v>
      </c>
      <c r="AL188" s="23" t="n"/>
    </row>
    <row r="189" ht="23.5" customHeight="1">
      <c r="A189" s="6" t="inlineStr">
        <is>
          <t>182</t>
        </is>
      </c>
      <c r="B189" s="28" t="n"/>
      <c r="C189" s="55" t="n"/>
      <c r="D189" s="19" t="n"/>
      <c r="E189" s="24" t="n"/>
      <c r="F189" s="25" t="n"/>
      <c r="G189" s="10" t="n"/>
      <c r="H189" s="8" t="n"/>
      <c r="I189" s="11" t="n"/>
      <c r="J189" s="57" t="n"/>
      <c r="K189" s="12" t="n"/>
      <c r="L189" s="13" t="n"/>
      <c r="M189" s="13" t="n"/>
      <c r="N189" s="14">
        <f>ROUND(I189*(SUM(J189:M189))*68%,0)</f>
        <v/>
      </c>
      <c r="O189" s="61" t="n"/>
      <c r="P189" s="59" t="n"/>
      <c r="Q189" s="59" t="n"/>
      <c r="R189" s="58" t="n"/>
      <c r="S189" s="15">
        <f>I189*J189</f>
        <v/>
      </c>
      <c r="T189" s="15">
        <f>SUM(S189:S189)*68%</f>
        <v/>
      </c>
      <c r="U189" s="15">
        <f>I189*K189*40%*O189</f>
        <v/>
      </c>
      <c r="V189" s="15">
        <f>IF(P189&gt;=6750,(I189*K189*40%),0)</f>
        <v/>
      </c>
      <c r="W189" s="15">
        <f>IF(P189&lt;6750,0,IF(Q189="",0,IF(OR(Q189="KURANG",Q189="SANGAT KURANG"),I189*K189*10%,I189*K189*20%)))</f>
        <v/>
      </c>
      <c r="X189" s="15">
        <f>SUM(U189:W189)*68%</f>
        <v/>
      </c>
      <c r="Y189" s="15">
        <f>I189*L189</f>
        <v/>
      </c>
      <c r="Z189" s="15">
        <f>Y189 * 68%</f>
        <v/>
      </c>
      <c r="AA189" s="15">
        <f>I189*M189</f>
        <v/>
      </c>
      <c r="AB189" s="15">
        <f>AA189*68%</f>
        <v/>
      </c>
      <c r="AC189" s="16">
        <f>ROUND((T189+X189+Z189+AB189),0)</f>
        <v/>
      </c>
      <c r="AD189" s="16">
        <f>AG189</f>
        <v/>
      </c>
      <c r="AE189" s="16">
        <f>AI189</f>
        <v/>
      </c>
      <c r="AF189" s="16">
        <f>AC189+AD189+AE189</f>
        <v/>
      </c>
      <c r="AG189" s="16" t="n"/>
      <c r="AH189" s="17" t="n"/>
      <c r="AI189" s="17">
        <f>AH189*4</f>
        <v/>
      </c>
      <c r="AJ189" s="15">
        <f>AF189-AG189-AH189-AI189</f>
        <v/>
      </c>
      <c r="AK189" s="18" t="n">
        <v>182</v>
      </c>
      <c r="AL189" s="40" t="n"/>
    </row>
    <row r="190" ht="23.5" customHeight="1">
      <c r="A190" s="6" t="inlineStr">
        <is>
          <t>183</t>
        </is>
      </c>
      <c r="B190" s="24" t="n"/>
      <c r="C190" s="55" t="n"/>
      <c r="D190" s="19" t="n"/>
      <c r="E190" s="24" t="n"/>
      <c r="F190" s="25" t="n"/>
      <c r="G190" s="10" t="n"/>
      <c r="H190" s="8" t="n"/>
      <c r="I190" s="11" t="n"/>
      <c r="J190" s="57" t="n"/>
      <c r="K190" s="12" t="n"/>
      <c r="L190" s="22" t="n"/>
      <c r="M190" s="13" t="n"/>
      <c r="N190" s="14">
        <f>ROUND(I190*(SUM(J190:M190))*68%,0)</f>
        <v/>
      </c>
      <c r="O190" s="61" t="n"/>
      <c r="P190" s="59" t="n"/>
      <c r="Q190" s="59" t="n"/>
      <c r="R190" s="58" t="n"/>
      <c r="S190" s="15">
        <f>I190*J190</f>
        <v/>
      </c>
      <c r="T190" s="15">
        <f>SUM(S190:S190)*68%</f>
        <v/>
      </c>
      <c r="U190" s="15">
        <f>I190*K190*40%*O190</f>
        <v/>
      </c>
      <c r="V190" s="15">
        <f>IF(P190&gt;=6750,(I190*K190*40%),0)</f>
        <v/>
      </c>
      <c r="W190" s="15">
        <f>IF(P190&lt;6750,0,IF(Q190="",0,IF(OR(Q190="KURANG",Q190="SANGAT KURANG"),I190*K190*10%,I190*K190*20%)))</f>
        <v/>
      </c>
      <c r="X190" s="15">
        <f>SUM(U190:W190)*68%</f>
        <v/>
      </c>
      <c r="Y190" s="15">
        <f>I190*L190</f>
        <v/>
      </c>
      <c r="Z190" s="15">
        <f>Y190 * 68%</f>
        <v/>
      </c>
      <c r="AA190" s="15">
        <f>I190*M190</f>
        <v/>
      </c>
      <c r="AB190" s="15">
        <f>AA190*68%</f>
        <v/>
      </c>
      <c r="AC190" s="16">
        <f>ROUND((T190+X190+Z190+AB190),0)</f>
        <v/>
      </c>
      <c r="AD190" s="16">
        <f>AG190</f>
        <v/>
      </c>
      <c r="AE190" s="16">
        <f>AI190</f>
        <v/>
      </c>
      <c r="AF190" s="16">
        <f>AC190+AD190+AE190</f>
        <v/>
      </c>
      <c r="AG190" s="16" t="n"/>
      <c r="AH190" s="17" t="n"/>
      <c r="AI190" s="17">
        <f>AH190*4</f>
        <v/>
      </c>
      <c r="AJ190" s="15">
        <f>AF190-AG190-AH190-AI190</f>
        <v/>
      </c>
      <c r="AK190" s="18" t="n">
        <v>183</v>
      </c>
      <c r="AL190" s="23" t="n"/>
    </row>
    <row r="191" ht="23.5" customHeight="1">
      <c r="A191" s="6" t="inlineStr">
        <is>
          <t>184</t>
        </is>
      </c>
      <c r="B191" s="28" t="n"/>
      <c r="C191" s="55" t="n"/>
      <c r="D191" s="19" t="n"/>
      <c r="E191" s="24" t="n"/>
      <c r="F191" s="25" t="n"/>
      <c r="G191" s="10" t="n"/>
      <c r="H191" s="8" t="n"/>
      <c r="I191" s="11" t="n"/>
      <c r="J191" s="57" t="n"/>
      <c r="K191" s="12" t="n"/>
      <c r="L191" s="22" t="n"/>
      <c r="M191" s="13" t="n"/>
      <c r="N191" s="14">
        <f>ROUND(I191*(SUM(J191:M191))*68%,0)</f>
        <v/>
      </c>
      <c r="O191" s="61" t="n"/>
      <c r="P191" s="59" t="n"/>
      <c r="Q191" s="59" t="n"/>
      <c r="R191" s="58" t="n"/>
      <c r="S191" s="15">
        <f>I191*J191</f>
        <v/>
      </c>
      <c r="T191" s="15">
        <f>SUM(S191:S191)*68%</f>
        <v/>
      </c>
      <c r="U191" s="15">
        <f>I191*K191*40%*O191</f>
        <v/>
      </c>
      <c r="V191" s="15">
        <f>IF(P191&gt;=6750,(I191*K191*40%),0)</f>
        <v/>
      </c>
      <c r="W191" s="15">
        <f>IF(P191&lt;6750,0,IF(Q191="",0,IF(OR(Q191="KURANG",Q191="SANGAT KURANG"),I191*K191*10%,I191*K191*20%)))</f>
        <v/>
      </c>
      <c r="X191" s="15">
        <f>SUM(U191:W191)*68%</f>
        <v/>
      </c>
      <c r="Y191" s="15">
        <f>I191*L191</f>
        <v/>
      </c>
      <c r="Z191" s="15">
        <f>Y191 * 68%</f>
        <v/>
      </c>
      <c r="AA191" s="15">
        <f>I191*M191</f>
        <v/>
      </c>
      <c r="AB191" s="15">
        <f>AA191*68%</f>
        <v/>
      </c>
      <c r="AC191" s="16">
        <f>ROUND((T191+X191+Z191+AB191),0)</f>
        <v/>
      </c>
      <c r="AD191" s="16">
        <f>AG191</f>
        <v/>
      </c>
      <c r="AE191" s="16">
        <f>AI191</f>
        <v/>
      </c>
      <c r="AF191" s="16">
        <f>AC191+AD191+AE191</f>
        <v/>
      </c>
      <c r="AG191" s="16" t="n"/>
      <c r="AH191" s="17" t="n"/>
      <c r="AI191" s="17">
        <f>AH191*4</f>
        <v/>
      </c>
      <c r="AJ191" s="15">
        <f>AF191-AG191-AH191-AI191</f>
        <v/>
      </c>
      <c r="AK191" s="18" t="n">
        <v>184</v>
      </c>
      <c r="AL191" s="23" t="n"/>
    </row>
    <row r="192" ht="23.5" customHeight="1">
      <c r="A192" s="6" t="inlineStr">
        <is>
          <t>185</t>
        </is>
      </c>
      <c r="B192" s="24" t="n"/>
      <c r="C192" s="55" t="n"/>
      <c r="D192" s="19" t="n"/>
      <c r="E192" s="24" t="n"/>
      <c r="F192" s="25" t="n"/>
      <c r="G192" s="10" t="n"/>
      <c r="H192" s="8" t="n"/>
      <c r="I192" s="11" t="n"/>
      <c r="J192" s="57" t="n"/>
      <c r="K192" s="12" t="n"/>
      <c r="L192" s="22" t="n"/>
      <c r="M192" s="13" t="n"/>
      <c r="N192" s="14">
        <f>ROUND(I192*(SUM(J192:M192))*68%,0)</f>
        <v/>
      </c>
      <c r="O192" s="61" t="n"/>
      <c r="P192" s="59" t="n"/>
      <c r="Q192" s="59" t="n"/>
      <c r="R192" s="58" t="n"/>
      <c r="S192" s="15">
        <f>I192*J192</f>
        <v/>
      </c>
      <c r="T192" s="15">
        <f>SUM(S192:S192)*68%</f>
        <v/>
      </c>
      <c r="U192" s="15">
        <f>I192*K192*40%*O192</f>
        <v/>
      </c>
      <c r="V192" s="15">
        <f>IF(P192&gt;=6750,(I192*K192*40%),0)</f>
        <v/>
      </c>
      <c r="W192" s="15">
        <f>IF(P192&lt;6750,0,IF(Q192="",0,IF(OR(Q192="KURANG",Q192="SANGAT KURANG"),I192*K192*10%,I192*K192*20%)))</f>
        <v/>
      </c>
      <c r="X192" s="15">
        <f>SUM(U192:W192)*68%</f>
        <v/>
      </c>
      <c r="Y192" s="15">
        <f>I192*L192</f>
        <v/>
      </c>
      <c r="Z192" s="15">
        <f>Y192 * 68%</f>
        <v/>
      </c>
      <c r="AA192" s="15">
        <f>I192*M192</f>
        <v/>
      </c>
      <c r="AB192" s="15">
        <f>AA192*68%</f>
        <v/>
      </c>
      <c r="AC192" s="16">
        <f>ROUND((T192+X192+Z192+AB192),0)</f>
        <v/>
      </c>
      <c r="AD192" s="16">
        <f>AG192</f>
        <v/>
      </c>
      <c r="AE192" s="16">
        <f>AI192</f>
        <v/>
      </c>
      <c r="AF192" s="16">
        <f>AC192+AD192+AE192</f>
        <v/>
      </c>
      <c r="AG192" s="16" t="n"/>
      <c r="AH192" s="17" t="n"/>
      <c r="AI192" s="17">
        <f>AH192*4</f>
        <v/>
      </c>
      <c r="AJ192" s="15">
        <f>AF192-AG192-AH192-AI192</f>
        <v/>
      </c>
      <c r="AK192" s="18" t="n">
        <v>185</v>
      </c>
      <c r="AL192" s="40" t="n"/>
    </row>
    <row r="193" ht="23.5" customHeight="1">
      <c r="A193" s="6" t="inlineStr">
        <is>
          <t>186</t>
        </is>
      </c>
      <c r="B193" s="24" t="n"/>
      <c r="C193" s="55" t="n"/>
      <c r="D193" s="19" t="n"/>
      <c r="E193" s="24" t="n"/>
      <c r="F193" s="25" t="n"/>
      <c r="G193" s="10" t="n"/>
      <c r="H193" s="8" t="n"/>
      <c r="I193" s="11" t="n"/>
      <c r="J193" s="57" t="n"/>
      <c r="K193" s="12" t="n"/>
      <c r="L193" s="22" t="n"/>
      <c r="M193" s="13" t="n"/>
      <c r="N193" s="14">
        <f>ROUND(I193*(SUM(J193:M193))*68%,0)</f>
        <v/>
      </c>
      <c r="O193" s="61" t="n"/>
      <c r="P193" s="59" t="n"/>
      <c r="Q193" s="59" t="n"/>
      <c r="R193" s="58" t="n"/>
      <c r="S193" s="15">
        <f>I193*J193</f>
        <v/>
      </c>
      <c r="T193" s="15">
        <f>SUM(S193:S193)*68%</f>
        <v/>
      </c>
      <c r="U193" s="15">
        <f>I193*K193*40%*O193</f>
        <v/>
      </c>
      <c r="V193" s="15">
        <f>IF(P193&gt;=6750,(I193*K193*40%),0)</f>
        <v/>
      </c>
      <c r="W193" s="15">
        <f>IF(P193&lt;6750,0,IF(Q193="",0,IF(OR(Q193="KURANG",Q193="SANGAT KURANG"),I193*K193*10%,I193*K193*20%)))</f>
        <v/>
      </c>
      <c r="X193" s="15">
        <f>SUM(U193:W193)*68%</f>
        <v/>
      </c>
      <c r="Y193" s="15">
        <f>I193*L193</f>
        <v/>
      </c>
      <c r="Z193" s="15">
        <f>Y193 * 68%</f>
        <v/>
      </c>
      <c r="AA193" s="15">
        <f>I193*M193</f>
        <v/>
      </c>
      <c r="AB193" s="15">
        <f>AA193*68%</f>
        <v/>
      </c>
      <c r="AC193" s="16">
        <f>ROUND((T193+X193+Z193+AB193),0)</f>
        <v/>
      </c>
      <c r="AD193" s="16">
        <f>AG193</f>
        <v/>
      </c>
      <c r="AE193" s="16">
        <f>AI193</f>
        <v/>
      </c>
      <c r="AF193" s="16">
        <f>AC193+AD193+AE193</f>
        <v/>
      </c>
      <c r="AG193" s="16" t="n"/>
      <c r="AH193" s="17" t="n"/>
      <c r="AI193" s="17">
        <f>AH193*4</f>
        <v/>
      </c>
      <c r="AJ193" s="15">
        <f>AF193-AG193-AH193-AI193</f>
        <v/>
      </c>
      <c r="AK193" s="18" t="n">
        <v>186</v>
      </c>
      <c r="AL193" s="23" t="n"/>
    </row>
    <row r="194" ht="23.5" customHeight="1">
      <c r="A194" s="6" t="inlineStr">
        <is>
          <t>187</t>
        </is>
      </c>
      <c r="B194" s="24" t="n"/>
      <c r="C194" s="55" t="n"/>
      <c r="D194" s="19" t="n"/>
      <c r="E194" s="24" t="n"/>
      <c r="F194" s="25" t="n"/>
      <c r="G194" s="10" t="n"/>
      <c r="H194" s="8" t="n"/>
      <c r="I194" s="11" t="n"/>
      <c r="J194" s="57" t="n"/>
      <c r="K194" s="12" t="n"/>
      <c r="L194" s="22" t="n"/>
      <c r="M194" s="13" t="n"/>
      <c r="N194" s="14">
        <f>ROUND(I194*(SUM(J194:M194))*68%,0)</f>
        <v/>
      </c>
      <c r="O194" s="61" t="n"/>
      <c r="P194" s="59" t="n"/>
      <c r="Q194" s="59" t="n"/>
      <c r="R194" s="58" t="n"/>
      <c r="S194" s="15">
        <f>I194*J194</f>
        <v/>
      </c>
      <c r="T194" s="15">
        <f>SUM(S194:S194)*68%</f>
        <v/>
      </c>
      <c r="U194" s="15">
        <f>I194*K194*40%*O194</f>
        <v/>
      </c>
      <c r="V194" s="15">
        <f>IF(P194&gt;=6750,(I194*K194*40%),0)</f>
        <v/>
      </c>
      <c r="W194" s="15">
        <f>IF(P194&lt;6750,0,IF(Q194="",0,IF(OR(Q194="KURANG",Q194="SANGAT KURANG"),I194*K194*10%,I194*K194*20%)))</f>
        <v/>
      </c>
      <c r="X194" s="15">
        <f>SUM(U194:W194)*68%</f>
        <v/>
      </c>
      <c r="Y194" s="15">
        <f>I194*L194</f>
        <v/>
      </c>
      <c r="Z194" s="15">
        <f>Y194 * 68%</f>
        <v/>
      </c>
      <c r="AA194" s="15">
        <f>I194*M194</f>
        <v/>
      </c>
      <c r="AB194" s="15">
        <f>AA194*68%</f>
        <v/>
      </c>
      <c r="AC194" s="16">
        <f>ROUND((T194+X194+Z194+AB194),0)</f>
        <v/>
      </c>
      <c r="AD194" s="16">
        <f>AG194</f>
        <v/>
      </c>
      <c r="AE194" s="16">
        <f>AI194</f>
        <v/>
      </c>
      <c r="AF194" s="16">
        <f>AC194+AD194+AE194</f>
        <v/>
      </c>
      <c r="AG194" s="16" t="n"/>
      <c r="AH194" s="17" t="n"/>
      <c r="AI194" s="17">
        <f>AH194*4</f>
        <v/>
      </c>
      <c r="AJ194" s="15">
        <f>AF194-AG194-AH194-AI194</f>
        <v/>
      </c>
      <c r="AK194" s="18" t="n">
        <v>187</v>
      </c>
      <c r="AL194" s="23" t="n"/>
    </row>
    <row r="195" ht="23.5" customHeight="1">
      <c r="A195" s="6" t="inlineStr">
        <is>
          <t>188</t>
        </is>
      </c>
      <c r="B195" s="24" t="n"/>
      <c r="C195" s="55" t="n"/>
      <c r="D195" s="19" t="n"/>
      <c r="E195" s="24" t="n"/>
      <c r="F195" s="25" t="n"/>
      <c r="G195" s="10" t="n"/>
      <c r="H195" s="8" t="n"/>
      <c r="I195" s="11" t="n"/>
      <c r="J195" s="57" t="n"/>
      <c r="K195" s="12" t="n"/>
      <c r="L195" s="22" t="n"/>
      <c r="M195" s="13" t="n"/>
      <c r="N195" s="14">
        <f>ROUND(I195*(SUM(J195:M195))*68%,0)</f>
        <v/>
      </c>
      <c r="O195" s="61" t="n"/>
      <c r="P195" s="59" t="n"/>
      <c r="Q195" s="59" t="n"/>
      <c r="R195" s="58" t="n"/>
      <c r="S195" s="15">
        <f>I195*J195</f>
        <v/>
      </c>
      <c r="T195" s="15">
        <f>SUM(S195:S195)*68%</f>
        <v/>
      </c>
      <c r="U195" s="15">
        <f>I195*K195*40%*O195</f>
        <v/>
      </c>
      <c r="V195" s="15">
        <f>IF(P195&gt;=6750,(I195*K195*40%),0)</f>
        <v/>
      </c>
      <c r="W195" s="15">
        <f>IF(P195&lt;6750,0,IF(Q195="",0,IF(OR(Q195="KURANG",Q195="SANGAT KURANG"),I195*K195*10%,I195*K195*20%)))</f>
        <v/>
      </c>
      <c r="X195" s="15">
        <f>SUM(U195:W195)*68%</f>
        <v/>
      </c>
      <c r="Y195" s="15">
        <f>I195*L195</f>
        <v/>
      </c>
      <c r="Z195" s="15">
        <f>Y195 * 68%</f>
        <v/>
      </c>
      <c r="AA195" s="15">
        <f>I195*M195</f>
        <v/>
      </c>
      <c r="AB195" s="15">
        <f>AA195*68%</f>
        <v/>
      </c>
      <c r="AC195" s="16">
        <f>ROUND((T195+X195+Z195+AB195),0)</f>
        <v/>
      </c>
      <c r="AD195" s="16">
        <f>AG195</f>
        <v/>
      </c>
      <c r="AE195" s="16">
        <f>AI195</f>
        <v/>
      </c>
      <c r="AF195" s="16">
        <f>AC195+AD195+AE195</f>
        <v/>
      </c>
      <c r="AG195" s="16" t="n"/>
      <c r="AH195" s="17" t="n"/>
      <c r="AI195" s="17">
        <f>AH195*4</f>
        <v/>
      </c>
      <c r="AJ195" s="15">
        <f>AF195-AG195-AH195-AI195</f>
        <v/>
      </c>
      <c r="AK195" s="18" t="n">
        <v>188</v>
      </c>
      <c r="AL195" s="40" t="n"/>
    </row>
    <row r="196" ht="23.5" customHeight="1">
      <c r="A196" s="6" t="inlineStr">
        <is>
          <t>189</t>
        </is>
      </c>
      <c r="B196" s="24" t="n"/>
      <c r="C196" s="55" t="n"/>
      <c r="D196" s="19" t="n"/>
      <c r="E196" s="24" t="n"/>
      <c r="F196" s="25" t="n"/>
      <c r="G196" s="10" t="n"/>
      <c r="H196" s="8" t="n"/>
      <c r="I196" s="11" t="n"/>
      <c r="J196" s="57" t="n"/>
      <c r="K196" s="12" t="n"/>
      <c r="L196" s="22" t="n"/>
      <c r="M196" s="13" t="n"/>
      <c r="N196" s="14">
        <f>ROUND(I196*(SUM(J196:M196))*68%,0)</f>
        <v/>
      </c>
      <c r="O196" s="61" t="n"/>
      <c r="P196" s="59" t="n"/>
      <c r="Q196" s="59" t="n"/>
      <c r="R196" s="58" t="n"/>
      <c r="S196" s="15">
        <f>I196*J196</f>
        <v/>
      </c>
      <c r="T196" s="15">
        <f>SUM(S196:S196)*68%</f>
        <v/>
      </c>
      <c r="U196" s="15">
        <f>I196*K196*40%*O196</f>
        <v/>
      </c>
      <c r="V196" s="15">
        <f>IF(P196&gt;=6750,(I196*K196*40%),0)</f>
        <v/>
      </c>
      <c r="W196" s="15">
        <f>IF(P196&lt;6750,0,IF(Q196="",0,IF(OR(Q196="KURANG",Q196="SANGAT KURANG"),I196*K196*10%,I196*K196*20%)))</f>
        <v/>
      </c>
      <c r="X196" s="15">
        <f>SUM(U196:W196)*68%</f>
        <v/>
      </c>
      <c r="Y196" s="15">
        <f>I196*L196</f>
        <v/>
      </c>
      <c r="Z196" s="15">
        <f>Y196 * 68%</f>
        <v/>
      </c>
      <c r="AA196" s="15">
        <f>I196*M196</f>
        <v/>
      </c>
      <c r="AB196" s="15">
        <f>AA196*68%</f>
        <v/>
      </c>
      <c r="AC196" s="16">
        <f>ROUND((T196+X196+Z196+AB196),0)</f>
        <v/>
      </c>
      <c r="AD196" s="16">
        <f>AG196</f>
        <v/>
      </c>
      <c r="AE196" s="16">
        <f>AI196</f>
        <v/>
      </c>
      <c r="AF196" s="16">
        <f>AC196+AD196+AE196</f>
        <v/>
      </c>
      <c r="AG196" s="16" t="n"/>
      <c r="AH196" s="17" t="n"/>
      <c r="AI196" s="17">
        <f>AH196*4</f>
        <v/>
      </c>
      <c r="AJ196" s="15">
        <f>AF196-AG196-AH196-AI196</f>
        <v/>
      </c>
      <c r="AK196" s="18" t="n">
        <v>189</v>
      </c>
      <c r="AL196" s="23" t="n"/>
    </row>
    <row r="197" ht="23.5" customHeight="1">
      <c r="A197" s="6" t="inlineStr">
        <is>
          <t>190</t>
        </is>
      </c>
      <c r="B197" s="28" t="n"/>
      <c r="C197" s="55" t="n"/>
      <c r="D197" s="19" t="n"/>
      <c r="E197" s="24" t="n"/>
      <c r="F197" s="25" t="n"/>
      <c r="G197" s="10" t="n"/>
      <c r="H197" s="8" t="n"/>
      <c r="I197" s="11" t="n"/>
      <c r="J197" s="57" t="n"/>
      <c r="K197" s="12" t="n"/>
      <c r="L197" s="22" t="n"/>
      <c r="M197" s="13" t="n"/>
      <c r="N197" s="14">
        <f>ROUND(I197*(SUM(J197:M197))*68%,0)</f>
        <v/>
      </c>
      <c r="O197" s="61" t="n"/>
      <c r="P197" s="59" t="n"/>
      <c r="Q197" s="59" t="n"/>
      <c r="R197" s="58" t="n"/>
      <c r="S197" s="15">
        <f>I197*J197</f>
        <v/>
      </c>
      <c r="T197" s="15">
        <f>SUM(S197:S197)*68%</f>
        <v/>
      </c>
      <c r="U197" s="15">
        <f>I197*K197*40%*O197</f>
        <v/>
      </c>
      <c r="V197" s="15">
        <f>IF(P197&gt;=6750,(I197*K197*40%),0)</f>
        <v/>
      </c>
      <c r="W197" s="15">
        <f>IF(P197&lt;6750,0,IF(Q197="",0,IF(OR(Q197="KURANG",Q197="SANGAT KURANG"),I197*K197*10%,I197*K197*20%)))</f>
        <v/>
      </c>
      <c r="X197" s="15">
        <f>SUM(U197:W197)*68%</f>
        <v/>
      </c>
      <c r="Y197" s="15">
        <f>I197*L197</f>
        <v/>
      </c>
      <c r="Z197" s="15">
        <f>Y197 * 68%</f>
        <v/>
      </c>
      <c r="AA197" s="15">
        <f>I197*M197</f>
        <v/>
      </c>
      <c r="AB197" s="15">
        <f>AA197*68%</f>
        <v/>
      </c>
      <c r="AC197" s="16">
        <f>ROUND((T197+X197+Z197+AB197),0)</f>
        <v/>
      </c>
      <c r="AD197" s="16">
        <f>AG197</f>
        <v/>
      </c>
      <c r="AE197" s="16">
        <f>AI197</f>
        <v/>
      </c>
      <c r="AF197" s="16">
        <f>AC197+AD197+AE197</f>
        <v/>
      </c>
      <c r="AG197" s="16" t="n"/>
      <c r="AH197" s="17" t="n"/>
      <c r="AI197" s="17">
        <f>AH197*4</f>
        <v/>
      </c>
      <c r="AJ197" s="15">
        <f>AF197-AG197-AH197-AI197</f>
        <v/>
      </c>
      <c r="AK197" s="18" t="n">
        <v>190</v>
      </c>
      <c r="AL197" s="23" t="n"/>
    </row>
    <row r="198" ht="23.5" customHeight="1">
      <c r="A198" s="6" t="inlineStr">
        <is>
          <t>191</t>
        </is>
      </c>
      <c r="B198" s="30" t="n"/>
      <c r="C198" s="55" t="n"/>
      <c r="D198" s="29" t="n"/>
      <c r="E198" s="30" t="n"/>
      <c r="F198" s="31" t="n"/>
      <c r="G198" s="32" t="n"/>
      <c r="H198" s="33" t="n"/>
      <c r="I198" s="11" t="n"/>
      <c r="J198" s="57" t="n"/>
      <c r="K198" s="12" t="n"/>
      <c r="L198" s="22" t="n"/>
      <c r="M198" s="13" t="n"/>
      <c r="N198" s="14">
        <f>ROUND(I198*(SUM(J198:M198))*68%,0)</f>
        <v/>
      </c>
      <c r="O198" s="61" t="n"/>
      <c r="P198" s="59" t="n"/>
      <c r="Q198" s="59" t="n"/>
      <c r="R198" s="58" t="n"/>
      <c r="S198" s="15">
        <f>I198*J198</f>
        <v/>
      </c>
      <c r="T198" s="15">
        <f>SUM(S198:S198)*68%</f>
        <v/>
      </c>
      <c r="U198" s="15">
        <f>I198*K198*40%*O198</f>
        <v/>
      </c>
      <c r="V198" s="15">
        <f>IF(P198&gt;=6750,(I198*K198*40%),0)</f>
        <v/>
      </c>
      <c r="W198" s="15">
        <f>IF(P198&lt;6750,0,IF(Q198="",0,IF(OR(Q198="KURANG",Q198="SANGAT KURANG"),I198*K198*10%,I198*K198*20%)))</f>
        <v/>
      </c>
      <c r="X198" s="15">
        <f>SUM(U198:W198)*68%</f>
        <v/>
      </c>
      <c r="Y198" s="15">
        <f>I198*L198</f>
        <v/>
      </c>
      <c r="Z198" s="15">
        <f>Y198 * 68%</f>
        <v/>
      </c>
      <c r="AA198" s="15">
        <f>I198*M198</f>
        <v/>
      </c>
      <c r="AB198" s="15">
        <f>AA198*68%</f>
        <v/>
      </c>
      <c r="AC198" s="16">
        <f>ROUND((T198+X198+Z198+AB198),0)</f>
        <v/>
      </c>
      <c r="AD198" s="16">
        <f>AG198</f>
        <v/>
      </c>
      <c r="AE198" s="16">
        <f>AI198</f>
        <v/>
      </c>
      <c r="AF198" s="16">
        <f>AC198+AD198+AE198</f>
        <v/>
      </c>
      <c r="AG198" s="16" t="n"/>
      <c r="AH198" s="17" t="n"/>
      <c r="AI198" s="17">
        <f>AH198*4</f>
        <v/>
      </c>
      <c r="AJ198" s="15">
        <f>AF198-AG198-AH198-AI198</f>
        <v/>
      </c>
      <c r="AK198" s="18" t="n">
        <v>191</v>
      </c>
      <c r="AL198" s="40" t="n"/>
    </row>
    <row r="199" ht="23.5" customHeight="1">
      <c r="A199" s="6" t="inlineStr">
        <is>
          <t>192</t>
        </is>
      </c>
      <c r="B199" s="24" t="n"/>
      <c r="C199" s="55" t="n"/>
      <c r="D199" s="19" t="n"/>
      <c r="E199" s="24" t="n"/>
      <c r="F199" s="25" t="n"/>
      <c r="G199" s="25" t="n"/>
      <c r="H199" s="24" t="n"/>
      <c r="I199" s="11" t="n"/>
      <c r="J199" s="57" t="n"/>
      <c r="K199" s="12" t="n"/>
      <c r="L199" s="22" t="n"/>
      <c r="M199" s="13" t="n"/>
      <c r="N199" s="14">
        <f>ROUND(I199*(SUM(J199:M199))*68%,0)</f>
        <v/>
      </c>
      <c r="O199" s="61" t="n"/>
      <c r="P199" s="59" t="n"/>
      <c r="Q199" s="59" t="n"/>
      <c r="R199" s="58" t="n"/>
      <c r="S199" s="15">
        <f>I199*J199</f>
        <v/>
      </c>
      <c r="T199" s="15">
        <f>SUM(S199:S199)*68%</f>
        <v/>
      </c>
      <c r="U199" s="15">
        <f>I199*K199*40%*O199</f>
        <v/>
      </c>
      <c r="V199" s="15">
        <f>IF(P199&gt;=6750,(I199*K199*40%),0)</f>
        <v/>
      </c>
      <c r="W199" s="15">
        <f>IF(P199&lt;6750,0,IF(Q199="",0,IF(OR(Q199="KURANG",Q199="SANGAT KURANG"),I199*K199*10%,I199*K199*20%)))</f>
        <v/>
      </c>
      <c r="X199" s="15">
        <f>SUM(U199:W199)*68%</f>
        <v/>
      </c>
      <c r="Y199" s="15">
        <f>I199*L199</f>
        <v/>
      </c>
      <c r="Z199" s="15">
        <f>Y199 * 68%</f>
        <v/>
      </c>
      <c r="AA199" s="15">
        <f>I199*M199</f>
        <v/>
      </c>
      <c r="AB199" s="15">
        <f>AA199*68%</f>
        <v/>
      </c>
      <c r="AC199" s="16">
        <f>ROUND((T199+X199+Z199+AB199),0)</f>
        <v/>
      </c>
      <c r="AD199" s="16">
        <f>AG199</f>
        <v/>
      </c>
      <c r="AE199" s="16">
        <f>AI199</f>
        <v/>
      </c>
      <c r="AF199" s="16">
        <f>AC199+AD199+AE199</f>
        <v/>
      </c>
      <c r="AG199" s="16" t="n"/>
      <c r="AH199" s="17" t="n"/>
      <c r="AI199" s="17">
        <f>AH199*4</f>
        <v/>
      </c>
      <c r="AJ199" s="15">
        <f>AF199-AG199-AH199-AI199</f>
        <v/>
      </c>
      <c r="AK199" s="18" t="n">
        <v>192</v>
      </c>
      <c r="AL199" s="23" t="n"/>
    </row>
    <row r="200" ht="23.5" customHeight="1">
      <c r="A200" s="6" t="inlineStr">
        <is>
          <t>193</t>
        </is>
      </c>
      <c r="B200" s="24" t="n"/>
      <c r="C200" s="55" t="n"/>
      <c r="D200" s="19" t="n"/>
      <c r="E200" s="24" t="n"/>
      <c r="F200" s="25" t="n"/>
      <c r="G200" s="25" t="n"/>
      <c r="H200" s="24" t="n"/>
      <c r="I200" s="11" t="n"/>
      <c r="J200" s="57" t="n"/>
      <c r="K200" s="12" t="n"/>
      <c r="L200" s="22" t="n"/>
      <c r="M200" s="13" t="n"/>
      <c r="N200" s="14">
        <f>ROUND(I200*(SUM(J200:M200))*68%,0)</f>
        <v/>
      </c>
      <c r="O200" s="61" t="n"/>
      <c r="P200" s="59" t="n"/>
      <c r="Q200" s="59" t="n"/>
      <c r="R200" s="58" t="n"/>
      <c r="S200" s="15">
        <f>I200*J200</f>
        <v/>
      </c>
      <c r="T200" s="15">
        <f>SUM(S200:S200)*68%</f>
        <v/>
      </c>
      <c r="U200" s="15">
        <f>I200*K200*40%*O200</f>
        <v/>
      </c>
      <c r="V200" s="15">
        <f>IF(P200&gt;=6750,(I200*K200*40%),0)</f>
        <v/>
      </c>
      <c r="W200" s="15">
        <f>IF(P200&lt;6750,0,IF(Q200="",0,IF(OR(Q200="KURANG",Q200="SANGAT KURANG"),I200*K200*10%,I200*K200*20%)))</f>
        <v/>
      </c>
      <c r="X200" s="15">
        <f>SUM(U200:W200)*68%</f>
        <v/>
      </c>
      <c r="Y200" s="15">
        <f>I200*L200</f>
        <v/>
      </c>
      <c r="Z200" s="15">
        <f>Y200 * 68%</f>
        <v/>
      </c>
      <c r="AA200" s="15">
        <f>I200*M200</f>
        <v/>
      </c>
      <c r="AB200" s="15">
        <f>AA200*68%</f>
        <v/>
      </c>
      <c r="AC200" s="16">
        <f>ROUND((T200+X200+Z200+AB200),0)</f>
        <v/>
      </c>
      <c r="AD200" s="16">
        <f>AG200</f>
        <v/>
      </c>
      <c r="AE200" s="16">
        <f>AI200</f>
        <v/>
      </c>
      <c r="AF200" s="16">
        <f>AC200+AD200+AE200</f>
        <v/>
      </c>
      <c r="AG200" s="16" t="n"/>
      <c r="AH200" s="17" t="n"/>
      <c r="AI200" s="17">
        <f>AH200*4</f>
        <v/>
      </c>
      <c r="AJ200" s="15">
        <f>AF200-AG200-AH200-AI200</f>
        <v/>
      </c>
      <c r="AK200" s="18" t="n">
        <v>193</v>
      </c>
      <c r="AL200" s="23" t="n"/>
    </row>
    <row r="201" ht="23.5" customHeight="1">
      <c r="A201" s="6" t="inlineStr">
        <is>
          <t>194</t>
        </is>
      </c>
      <c r="B201" s="24" t="n"/>
      <c r="C201" s="55" t="n"/>
      <c r="D201" s="19" t="n"/>
      <c r="E201" s="24" t="n"/>
      <c r="F201" s="25" t="n"/>
      <c r="G201" s="25" t="n"/>
      <c r="H201" s="24" t="n"/>
      <c r="I201" s="11" t="n"/>
      <c r="J201" s="57" t="n"/>
      <c r="K201" s="12" t="n"/>
      <c r="L201" s="22" t="n"/>
      <c r="M201" s="13" t="n"/>
      <c r="N201" s="14">
        <f>ROUND(I201*(SUM(J201:M201))*68%,0)</f>
        <v/>
      </c>
      <c r="O201" s="61" t="n"/>
      <c r="P201" s="59" t="n"/>
      <c r="Q201" s="59" t="n"/>
      <c r="R201" s="58" t="n"/>
      <c r="S201" s="15">
        <f>I201*J201</f>
        <v/>
      </c>
      <c r="T201" s="15">
        <f>SUM(S201:S201)*68%</f>
        <v/>
      </c>
      <c r="U201" s="15">
        <f>I201*K201*40%*O201</f>
        <v/>
      </c>
      <c r="V201" s="15">
        <f>IF(P201&gt;=6750,(I201*K201*40%),0)</f>
        <v/>
      </c>
      <c r="W201" s="15">
        <f>IF(P201&lt;6750,0,IF(Q201="",0,IF(OR(Q201="KURANG",Q201="SANGAT KURANG"),I201*K201*10%,I201*K201*20%)))</f>
        <v/>
      </c>
      <c r="X201" s="15">
        <f>SUM(U201:W201)*68%</f>
        <v/>
      </c>
      <c r="Y201" s="15">
        <f>I201*L201</f>
        <v/>
      </c>
      <c r="Z201" s="15">
        <f>Y201 * 68%</f>
        <v/>
      </c>
      <c r="AA201" s="15">
        <f>I201*M201</f>
        <v/>
      </c>
      <c r="AB201" s="15">
        <f>AA201*68%</f>
        <v/>
      </c>
      <c r="AC201" s="16">
        <f>ROUND((T201+X201+Z201+AB201),0)</f>
        <v/>
      </c>
      <c r="AD201" s="16">
        <f>AG201</f>
        <v/>
      </c>
      <c r="AE201" s="16">
        <f>AI201</f>
        <v/>
      </c>
      <c r="AF201" s="16">
        <f>AC201+AD201+AE201</f>
        <v/>
      </c>
      <c r="AG201" s="16" t="n"/>
      <c r="AH201" s="17" t="n"/>
      <c r="AI201" s="17">
        <f>AH201*4</f>
        <v/>
      </c>
      <c r="AJ201" s="15">
        <f>AF201-AG201-AH201-AI201</f>
        <v/>
      </c>
      <c r="AK201" s="18" t="n">
        <v>194</v>
      </c>
      <c r="AL201" s="40" t="n"/>
    </row>
    <row r="202" ht="23.5" customHeight="1">
      <c r="A202" s="6" t="inlineStr">
        <is>
          <t>195</t>
        </is>
      </c>
      <c r="B202" s="28" t="n"/>
      <c r="C202" s="55" t="n"/>
      <c r="D202" s="19" t="n"/>
      <c r="E202" s="24" t="n"/>
      <c r="F202" s="25" t="n"/>
      <c r="G202" s="25" t="n"/>
      <c r="H202" s="25" t="n"/>
      <c r="I202" s="11" t="n"/>
      <c r="J202" s="57" t="n"/>
      <c r="K202" s="12" t="n"/>
      <c r="L202" s="22" t="n"/>
      <c r="M202" s="13" t="n"/>
      <c r="N202" s="14">
        <f>ROUND(I202*(SUM(J202:M202))*68%,0)</f>
        <v/>
      </c>
      <c r="O202" s="61" t="n"/>
      <c r="P202" s="59" t="n"/>
      <c r="Q202" s="59" t="n"/>
      <c r="R202" s="58" t="n"/>
      <c r="S202" s="15">
        <f>I202*J202</f>
        <v/>
      </c>
      <c r="T202" s="15">
        <f>SUM(S202:S202)*68%</f>
        <v/>
      </c>
      <c r="U202" s="15">
        <f>I202*K202*40%*O202</f>
        <v/>
      </c>
      <c r="V202" s="15">
        <f>IF(P202&gt;=6750,(I202*K202*40%),0)</f>
        <v/>
      </c>
      <c r="W202" s="15">
        <f>IF(P202&lt;6750,0,IF(Q202="",0,IF(OR(Q202="KURANG",Q202="SANGAT KURANG"),I202*K202*10%,I202*K202*20%)))</f>
        <v/>
      </c>
      <c r="X202" s="15">
        <f>SUM(U202:W202)*68%</f>
        <v/>
      </c>
      <c r="Y202" s="15">
        <f>I202*L202</f>
        <v/>
      </c>
      <c r="Z202" s="15">
        <f>Y202 * 68%</f>
        <v/>
      </c>
      <c r="AA202" s="15">
        <f>I202*M202</f>
        <v/>
      </c>
      <c r="AB202" s="15">
        <f>AA202*68%</f>
        <v/>
      </c>
      <c r="AC202" s="16">
        <f>ROUND((T202+X202+Z202+AB202),0)</f>
        <v/>
      </c>
      <c r="AD202" s="16">
        <f>AG202</f>
        <v/>
      </c>
      <c r="AE202" s="16">
        <f>AI202</f>
        <v/>
      </c>
      <c r="AF202" s="16">
        <f>AC202+AD202+AE202</f>
        <v/>
      </c>
      <c r="AG202" s="16" t="n"/>
      <c r="AH202" s="17" t="n"/>
      <c r="AI202" s="17">
        <f>AH202*4</f>
        <v/>
      </c>
      <c r="AJ202" s="15">
        <f>AF202-AG202-AH202-AI202</f>
        <v/>
      </c>
      <c r="AK202" s="18" t="n">
        <v>195</v>
      </c>
      <c r="AL202" s="23" t="n"/>
    </row>
    <row r="203" ht="23.5" customHeight="1">
      <c r="A203" s="6" t="inlineStr">
        <is>
          <t>196</t>
        </is>
      </c>
      <c r="B203" s="28" t="n"/>
      <c r="C203" s="55" t="n"/>
      <c r="D203" s="19" t="n"/>
      <c r="E203" s="24" t="n"/>
      <c r="F203" s="25" t="n"/>
      <c r="G203" s="25" t="n"/>
      <c r="H203" s="25" t="n"/>
      <c r="I203" s="11" t="n"/>
      <c r="J203" s="57" t="n"/>
      <c r="K203" s="12" t="n"/>
      <c r="L203" s="22" t="n"/>
      <c r="M203" s="13" t="n"/>
      <c r="N203" s="14">
        <f>ROUND(I203*(SUM(J203:M203))*68%,0)</f>
        <v/>
      </c>
      <c r="O203" s="61" t="n"/>
      <c r="P203" s="59" t="n"/>
      <c r="Q203" s="59" t="n"/>
      <c r="R203" s="58" t="n"/>
      <c r="S203" s="15">
        <f>I203*J203</f>
        <v/>
      </c>
      <c r="T203" s="15">
        <f>SUM(S203:S203)*68%</f>
        <v/>
      </c>
      <c r="U203" s="15">
        <f>I203*K203*40%*O203</f>
        <v/>
      </c>
      <c r="V203" s="15">
        <f>IF(P203&gt;=6750,(I203*K203*40%),0)</f>
        <v/>
      </c>
      <c r="W203" s="15">
        <f>IF(P203&lt;6750,0,IF(Q203="",0,IF(OR(Q203="KURANG",Q203="SANGAT KURANG"),I203*K203*10%,I203*K203*20%)))</f>
        <v/>
      </c>
      <c r="X203" s="15">
        <f>SUM(U203:W203)*68%</f>
        <v/>
      </c>
      <c r="Y203" s="15">
        <f>I203*L203</f>
        <v/>
      </c>
      <c r="Z203" s="15">
        <f>Y203 * 68%</f>
        <v/>
      </c>
      <c r="AA203" s="15">
        <f>I203*M203</f>
        <v/>
      </c>
      <c r="AB203" s="15">
        <f>AA203*68%</f>
        <v/>
      </c>
      <c r="AC203" s="16">
        <f>ROUND((T203+X203+Z203+AB203),0)</f>
        <v/>
      </c>
      <c r="AD203" s="16">
        <f>AG203</f>
        <v/>
      </c>
      <c r="AE203" s="16">
        <f>AI203</f>
        <v/>
      </c>
      <c r="AF203" s="16">
        <f>AC203+AD203+AE203</f>
        <v/>
      </c>
      <c r="AG203" s="16" t="n"/>
      <c r="AH203" s="17" t="n"/>
      <c r="AI203" s="17">
        <f>AH203*4</f>
        <v/>
      </c>
      <c r="AJ203" s="15">
        <f>AF203-AG203-AH203-AI203</f>
        <v/>
      </c>
      <c r="AK203" s="18" t="n">
        <v>196</v>
      </c>
      <c r="AL203" s="23" t="n"/>
    </row>
    <row r="204" ht="23.5" customHeight="1">
      <c r="A204" s="6" t="inlineStr">
        <is>
          <t>197</t>
        </is>
      </c>
      <c r="B204" s="28" t="n"/>
      <c r="C204" s="55" t="n"/>
      <c r="D204" s="19" t="n"/>
      <c r="E204" s="24" t="n"/>
      <c r="F204" s="25" t="n"/>
      <c r="G204" s="25" t="n"/>
      <c r="H204" s="25" t="n"/>
      <c r="I204" s="11" t="n"/>
      <c r="J204" s="57" t="n"/>
      <c r="K204" s="12" t="n"/>
      <c r="L204" s="22" t="n"/>
      <c r="M204" s="13" t="n"/>
      <c r="N204" s="14">
        <f>ROUND(I204*(SUM(J204:M204))*68%,0)</f>
        <v/>
      </c>
      <c r="O204" s="61" t="n"/>
      <c r="P204" s="59" t="n"/>
      <c r="Q204" s="59" t="n"/>
      <c r="R204" s="58" t="n"/>
      <c r="S204" s="15">
        <f>I204*J204</f>
        <v/>
      </c>
      <c r="T204" s="15">
        <f>SUM(S204:S204)*68%</f>
        <v/>
      </c>
      <c r="U204" s="15">
        <f>I204*K204*40%*O204</f>
        <v/>
      </c>
      <c r="V204" s="15">
        <f>IF(P204&gt;=6750,(I204*K204*40%),0)</f>
        <v/>
      </c>
      <c r="W204" s="15">
        <f>IF(P204&lt;6750,0,IF(Q204="",0,IF(OR(Q204="KURANG",Q204="SANGAT KURANG"),I204*K204*10%,I204*K204*20%)))</f>
        <v/>
      </c>
      <c r="X204" s="15">
        <f>SUM(U204:W204)*68%</f>
        <v/>
      </c>
      <c r="Y204" s="15">
        <f>I204*L204</f>
        <v/>
      </c>
      <c r="Z204" s="15">
        <f>Y204 * 68%</f>
        <v/>
      </c>
      <c r="AA204" s="15">
        <f>I204*M204</f>
        <v/>
      </c>
      <c r="AB204" s="15">
        <f>AA204*68%</f>
        <v/>
      </c>
      <c r="AC204" s="16">
        <f>ROUND((T204+X204+Z204+AB204),0)</f>
        <v/>
      </c>
      <c r="AD204" s="16">
        <f>AG204</f>
        <v/>
      </c>
      <c r="AE204" s="16">
        <f>AI204</f>
        <v/>
      </c>
      <c r="AF204" s="16">
        <f>AC204+AD204+AE204</f>
        <v/>
      </c>
      <c r="AG204" s="16" t="n"/>
      <c r="AH204" s="17" t="n"/>
      <c r="AI204" s="17">
        <f>AH204*4</f>
        <v/>
      </c>
      <c r="AJ204" s="15">
        <f>AF204-AG204-AH204-AI204</f>
        <v/>
      </c>
      <c r="AK204" s="18" t="n">
        <v>197</v>
      </c>
      <c r="AL204" s="40" t="n"/>
    </row>
    <row r="205" ht="23.5" customHeight="1">
      <c r="A205" s="6" t="inlineStr">
        <is>
          <t>198</t>
        </is>
      </c>
      <c r="B205" s="24" t="n"/>
      <c r="C205" s="55" t="n"/>
      <c r="D205" s="19" t="n"/>
      <c r="E205" s="24" t="n"/>
      <c r="F205" s="25" t="n"/>
      <c r="G205" s="25" t="n"/>
      <c r="H205" s="25" t="n"/>
      <c r="I205" s="11" t="n"/>
      <c r="J205" s="57" t="n"/>
      <c r="K205" s="12" t="n"/>
      <c r="L205" s="22" t="n"/>
      <c r="M205" s="13" t="n"/>
      <c r="N205" s="14">
        <f>ROUND(I205*(SUM(J205:M205))*68%,0)</f>
        <v/>
      </c>
      <c r="O205" s="61" t="n"/>
      <c r="P205" s="59" t="n"/>
      <c r="Q205" s="59" t="n"/>
      <c r="R205" s="58" t="n"/>
      <c r="S205" s="15">
        <f>I205*J205</f>
        <v/>
      </c>
      <c r="T205" s="15">
        <f>SUM(S205:S205)*68%</f>
        <v/>
      </c>
      <c r="U205" s="15">
        <f>I205*K205*40%*O205</f>
        <v/>
      </c>
      <c r="V205" s="15">
        <f>IF(P205&gt;=6750,(I205*K205*40%),0)</f>
        <v/>
      </c>
      <c r="W205" s="15">
        <f>IF(P205&lt;6750,0,IF(Q205="",0,IF(OR(Q205="KURANG",Q205="SANGAT KURANG"),I205*K205*10%,I205*K205*20%)))</f>
        <v/>
      </c>
      <c r="X205" s="15">
        <f>SUM(U205:W205)*68%</f>
        <v/>
      </c>
      <c r="Y205" s="15">
        <f>I205*L205</f>
        <v/>
      </c>
      <c r="Z205" s="15">
        <f>Y205 * 68%</f>
        <v/>
      </c>
      <c r="AA205" s="15">
        <f>I205*M205</f>
        <v/>
      </c>
      <c r="AB205" s="15">
        <f>AA205*68%</f>
        <v/>
      </c>
      <c r="AC205" s="16">
        <f>ROUND((T205+X205+Z205+AB205),0)</f>
        <v/>
      </c>
      <c r="AD205" s="16">
        <f>AG205</f>
        <v/>
      </c>
      <c r="AE205" s="16">
        <f>AI205</f>
        <v/>
      </c>
      <c r="AF205" s="16">
        <f>AC205+AD205+AE205</f>
        <v/>
      </c>
      <c r="AG205" s="16" t="n"/>
      <c r="AH205" s="17" t="n"/>
      <c r="AI205" s="17">
        <f>AH205*4</f>
        <v/>
      </c>
      <c r="AJ205" s="15">
        <f>AF205-AG205-AH205-AI205</f>
        <v/>
      </c>
      <c r="AK205" s="18" t="n">
        <v>198</v>
      </c>
      <c r="AL205" s="23" t="n"/>
    </row>
    <row r="206" ht="23.5" customHeight="1">
      <c r="A206" s="6" t="inlineStr">
        <is>
          <t>199</t>
        </is>
      </c>
      <c r="B206" s="24" t="n"/>
      <c r="C206" s="55" t="n"/>
      <c r="D206" s="19" t="n"/>
      <c r="E206" s="24" t="n"/>
      <c r="F206" s="25" t="n"/>
      <c r="G206" s="25" t="n"/>
      <c r="H206" s="25" t="n"/>
      <c r="I206" s="11" t="n"/>
      <c r="J206" s="57" t="n"/>
      <c r="K206" s="12" t="n"/>
      <c r="L206" s="22" t="n"/>
      <c r="M206" s="13" t="n"/>
      <c r="N206" s="14">
        <f>ROUND(I206*(SUM(J206:M206))*68%,0)</f>
        <v/>
      </c>
      <c r="O206" s="61" t="n"/>
      <c r="P206" s="59" t="n"/>
      <c r="Q206" s="59" t="n"/>
      <c r="R206" s="58" t="n"/>
      <c r="S206" s="15">
        <f>I206*J206</f>
        <v/>
      </c>
      <c r="T206" s="15">
        <f>SUM(S206:S206)*68%</f>
        <v/>
      </c>
      <c r="U206" s="15">
        <f>I206*K206*40%*O206</f>
        <v/>
      </c>
      <c r="V206" s="15">
        <f>IF(P206&gt;=6750,(I206*K206*40%),0)</f>
        <v/>
      </c>
      <c r="W206" s="15">
        <f>IF(P206&lt;6750,0,IF(Q206="",0,IF(OR(Q206="KURANG",Q206="SANGAT KURANG"),I206*K206*10%,I206*K206*20%)))</f>
        <v/>
      </c>
      <c r="X206" s="15">
        <f>SUM(U206:W206)*68%</f>
        <v/>
      </c>
      <c r="Y206" s="15">
        <f>I206*L206</f>
        <v/>
      </c>
      <c r="Z206" s="15">
        <f>Y206 * 68%</f>
        <v/>
      </c>
      <c r="AA206" s="15">
        <f>I206*M206</f>
        <v/>
      </c>
      <c r="AB206" s="15">
        <f>AA206*68%</f>
        <v/>
      </c>
      <c r="AC206" s="16">
        <f>ROUND((T206+X206+Z206+AB206),0)</f>
        <v/>
      </c>
      <c r="AD206" s="16">
        <f>AG206</f>
        <v/>
      </c>
      <c r="AE206" s="16">
        <f>AI206</f>
        <v/>
      </c>
      <c r="AF206" s="16">
        <f>AC206+AD206+AE206</f>
        <v/>
      </c>
      <c r="AG206" s="16" t="n"/>
      <c r="AH206" s="17" t="n"/>
      <c r="AI206" s="17">
        <f>AH206*4</f>
        <v/>
      </c>
      <c r="AJ206" s="15">
        <f>AF206-AG206-AH206-AI206</f>
        <v/>
      </c>
      <c r="AK206" s="18" t="n">
        <v>199</v>
      </c>
      <c r="AL206" s="23" t="n"/>
    </row>
    <row r="207" ht="23.5" customHeight="1">
      <c r="A207" s="6" t="inlineStr">
        <is>
          <t>200</t>
        </is>
      </c>
      <c r="B207" s="28" t="n"/>
      <c r="C207" s="55" t="n"/>
      <c r="D207" s="19" t="n"/>
      <c r="E207" s="24" t="n"/>
      <c r="F207" s="25" t="n"/>
      <c r="G207" s="25" t="n"/>
      <c r="H207" s="25" t="n"/>
      <c r="I207" s="11" t="n"/>
      <c r="J207" s="57" t="n"/>
      <c r="K207" s="12" t="n"/>
      <c r="L207" s="22" t="n"/>
      <c r="M207" s="13" t="n"/>
      <c r="N207" s="14">
        <f>ROUND(I207*(SUM(J207:M207))*68%,0)</f>
        <v/>
      </c>
      <c r="O207" s="61" t="n"/>
      <c r="P207" s="59" t="n"/>
      <c r="Q207" s="59" t="n"/>
      <c r="R207" s="58" t="n"/>
      <c r="S207" s="15">
        <f>I207*J207</f>
        <v/>
      </c>
      <c r="T207" s="15">
        <f>SUM(S207:S207)*68%</f>
        <v/>
      </c>
      <c r="U207" s="15">
        <f>I207*K207*40%*O207</f>
        <v/>
      </c>
      <c r="V207" s="15">
        <f>IF(P207&gt;=6750,(I207*K207*40%),0)</f>
        <v/>
      </c>
      <c r="W207" s="15">
        <f>IF(P207&lt;6750,0,IF(Q207="",0,IF(OR(Q207="KURANG",Q207="SANGAT KURANG"),I207*K207*10%,I207*K207*20%)))</f>
        <v/>
      </c>
      <c r="X207" s="15">
        <f>SUM(U207:W207)*68%</f>
        <v/>
      </c>
      <c r="Y207" s="15">
        <f>I207*L207</f>
        <v/>
      </c>
      <c r="Z207" s="15">
        <f>Y207 * 68%</f>
        <v/>
      </c>
      <c r="AA207" s="15">
        <f>I207*M207</f>
        <v/>
      </c>
      <c r="AB207" s="15">
        <f>AA207*68%</f>
        <v/>
      </c>
      <c r="AC207" s="16">
        <f>ROUND((T207+X207+Z207+AB207),0)</f>
        <v/>
      </c>
      <c r="AD207" s="16">
        <f>AG207</f>
        <v/>
      </c>
      <c r="AE207" s="16">
        <f>AI207</f>
        <v/>
      </c>
      <c r="AF207" s="16">
        <f>AC207+AD207+AE207</f>
        <v/>
      </c>
      <c r="AG207" s="16" t="n"/>
      <c r="AH207" s="17" t="n"/>
      <c r="AI207" s="17">
        <f>AH207*4</f>
        <v/>
      </c>
      <c r="AJ207" s="15">
        <f>AF207-AG207-AH207-AI207</f>
        <v/>
      </c>
      <c r="AK207" s="18" t="n">
        <v>200</v>
      </c>
      <c r="AL207" s="40" t="n"/>
    </row>
    <row r="208" ht="23.5" customHeight="1">
      <c r="A208" s="6" t="inlineStr">
        <is>
          <t>201</t>
        </is>
      </c>
      <c r="B208" s="28" t="n"/>
      <c r="C208" s="55" t="n"/>
      <c r="D208" s="19" t="n"/>
      <c r="E208" s="24" t="n"/>
      <c r="F208" s="25" t="n"/>
      <c r="G208" s="25" t="n"/>
      <c r="H208" s="25" t="n"/>
      <c r="I208" s="11" t="n"/>
      <c r="J208" s="57" t="n"/>
      <c r="K208" s="12" t="n"/>
      <c r="L208" s="22" t="n"/>
      <c r="M208" s="13" t="n"/>
      <c r="N208" s="14">
        <f>ROUND(I208*(SUM(J208:M208))*68%,0)</f>
        <v/>
      </c>
      <c r="O208" s="61" t="n"/>
      <c r="P208" s="59" t="n"/>
      <c r="Q208" s="59" t="n"/>
      <c r="R208" s="58" t="n"/>
      <c r="S208" s="15">
        <f>I208*J208</f>
        <v/>
      </c>
      <c r="T208" s="15">
        <f>SUM(S208:S208)*68%</f>
        <v/>
      </c>
      <c r="U208" s="15">
        <f>I208*K208*40%*O208</f>
        <v/>
      </c>
      <c r="V208" s="15">
        <f>IF(P208&gt;=6750,(I208*K208*40%),0)</f>
        <v/>
      </c>
      <c r="W208" s="15">
        <f>IF(P208&lt;6750,0,IF(Q208="",0,IF(OR(Q208="KURANG",Q208="SANGAT KURANG"),I208*K208*10%,I208*K208*20%)))</f>
        <v/>
      </c>
      <c r="X208" s="15">
        <f>SUM(U208:W208)*68%</f>
        <v/>
      </c>
      <c r="Y208" s="15">
        <f>I208*L208</f>
        <v/>
      </c>
      <c r="Z208" s="15">
        <f>Y208 * 68%</f>
        <v/>
      </c>
      <c r="AA208" s="15">
        <f>I208*M208</f>
        <v/>
      </c>
      <c r="AB208" s="15">
        <f>AA208*68%</f>
        <v/>
      </c>
      <c r="AC208" s="16">
        <f>ROUND((T208+X208+Z208+AB208),0)</f>
        <v/>
      </c>
      <c r="AD208" s="16">
        <f>AG208</f>
        <v/>
      </c>
      <c r="AE208" s="16">
        <f>AI208</f>
        <v/>
      </c>
      <c r="AF208" s="16">
        <f>AC208+AD208+AE208</f>
        <v/>
      </c>
      <c r="AG208" s="16" t="n"/>
      <c r="AH208" s="17" t="n"/>
      <c r="AI208" s="17">
        <f>AH208*4</f>
        <v/>
      </c>
      <c r="AJ208" s="15">
        <f>AF208-AG208-AH208-AI208</f>
        <v/>
      </c>
      <c r="AK208" s="18" t="n">
        <v>201</v>
      </c>
      <c r="AL208" s="23" t="n"/>
    </row>
    <row r="209" ht="23.5" customHeight="1">
      <c r="A209" s="6" t="inlineStr">
        <is>
          <t>202</t>
        </is>
      </c>
      <c r="B209" s="24" t="n"/>
      <c r="C209" s="55" t="n"/>
      <c r="D209" s="19" t="n"/>
      <c r="E209" s="24" t="n"/>
      <c r="F209" s="25" t="n"/>
      <c r="G209" s="25" t="n"/>
      <c r="H209" s="25" t="n"/>
      <c r="I209" s="11" t="n"/>
      <c r="J209" s="57" t="n"/>
      <c r="K209" s="12" t="n"/>
      <c r="L209" s="22" t="n"/>
      <c r="M209" s="13" t="n"/>
      <c r="N209" s="14">
        <f>ROUND(I209*(SUM(J209:M209))*68%,0)</f>
        <v/>
      </c>
      <c r="O209" s="61" t="n"/>
      <c r="P209" s="59" t="n"/>
      <c r="Q209" s="59" t="n"/>
      <c r="R209" s="58" t="n"/>
      <c r="S209" s="15">
        <f>I209*J209</f>
        <v/>
      </c>
      <c r="T209" s="15">
        <f>SUM(S209:S209)*68%</f>
        <v/>
      </c>
      <c r="U209" s="15">
        <f>I209*K209*40%*O209</f>
        <v/>
      </c>
      <c r="V209" s="15">
        <f>IF(P209&gt;=6750,(I209*K209*40%),0)</f>
        <v/>
      </c>
      <c r="W209" s="15">
        <f>IF(P209&lt;6750,0,IF(Q209="",0,IF(OR(Q209="KURANG",Q209="SANGAT KURANG"),I209*K209*10%,I209*K209*20%)))</f>
        <v/>
      </c>
      <c r="X209" s="15">
        <f>SUM(U209:W209)*68%</f>
        <v/>
      </c>
      <c r="Y209" s="15">
        <f>I209*L209</f>
        <v/>
      </c>
      <c r="Z209" s="15">
        <f>Y209 * 68%</f>
        <v/>
      </c>
      <c r="AA209" s="15">
        <f>I209*M209</f>
        <v/>
      </c>
      <c r="AB209" s="15">
        <f>AA209*68%</f>
        <v/>
      </c>
      <c r="AC209" s="16">
        <f>ROUND((T209+X209+Z209+AB209),0)</f>
        <v/>
      </c>
      <c r="AD209" s="16">
        <f>AG209</f>
        <v/>
      </c>
      <c r="AE209" s="16">
        <f>AI209</f>
        <v/>
      </c>
      <c r="AF209" s="16">
        <f>AC209+AD209+AE209</f>
        <v/>
      </c>
      <c r="AG209" s="16" t="n"/>
      <c r="AH209" s="17" t="n"/>
      <c r="AI209" s="17">
        <f>AH209*4</f>
        <v/>
      </c>
      <c r="AJ209" s="15">
        <f>AF209-AG209-AH209-AI209</f>
        <v/>
      </c>
      <c r="AK209" s="18" t="n">
        <v>202</v>
      </c>
      <c r="AL209" s="23" t="n"/>
    </row>
    <row r="210" ht="23.5" customHeight="1">
      <c r="A210" s="6" t="inlineStr">
        <is>
          <t>203</t>
        </is>
      </c>
      <c r="B210" s="24" t="n"/>
      <c r="C210" s="55" t="n"/>
      <c r="D210" s="19" t="n"/>
      <c r="E210" s="24" t="n"/>
      <c r="F210" s="25" t="n"/>
      <c r="G210" s="25" t="n"/>
      <c r="H210" s="25" t="n"/>
      <c r="I210" s="11" t="n"/>
      <c r="J210" s="57" t="n"/>
      <c r="K210" s="12" t="n"/>
      <c r="L210" s="22" t="n"/>
      <c r="M210" s="13" t="n"/>
      <c r="N210" s="14">
        <f>ROUND(I210*(SUM(J210:M210))*68%,0)</f>
        <v/>
      </c>
      <c r="O210" s="61" t="n"/>
      <c r="P210" s="59" t="n"/>
      <c r="Q210" s="59" t="n"/>
      <c r="R210" s="58" t="n"/>
      <c r="S210" s="15">
        <f>I210*J210</f>
        <v/>
      </c>
      <c r="T210" s="15">
        <f>SUM(S210:S210)*68%</f>
        <v/>
      </c>
      <c r="U210" s="15">
        <f>I210*K210*40%*O210</f>
        <v/>
      </c>
      <c r="V210" s="15">
        <f>IF(P210&gt;=6750,(I210*K210*40%),0)</f>
        <v/>
      </c>
      <c r="W210" s="15">
        <f>IF(P210&lt;6750,0,IF(Q210="",0,IF(OR(Q210="KURANG",Q210="SANGAT KURANG"),I210*K210*10%,I210*K210*20%)))</f>
        <v/>
      </c>
      <c r="X210" s="15">
        <f>SUM(U210:W210)*68%</f>
        <v/>
      </c>
      <c r="Y210" s="15">
        <f>I210*L210</f>
        <v/>
      </c>
      <c r="Z210" s="15">
        <f>Y210 * 68%</f>
        <v/>
      </c>
      <c r="AA210" s="15">
        <f>I210*M210</f>
        <v/>
      </c>
      <c r="AB210" s="15">
        <f>AA210*68%</f>
        <v/>
      </c>
      <c r="AC210" s="16">
        <f>ROUND((T210+X210+Z210+AB210),0)</f>
        <v/>
      </c>
      <c r="AD210" s="16">
        <f>AG210</f>
        <v/>
      </c>
      <c r="AE210" s="16">
        <f>AI210</f>
        <v/>
      </c>
      <c r="AF210" s="16">
        <f>AC210+AD210+AE210</f>
        <v/>
      </c>
      <c r="AG210" s="16" t="n"/>
      <c r="AH210" s="17" t="n"/>
      <c r="AI210" s="17">
        <f>AH210*4</f>
        <v/>
      </c>
      <c r="AJ210" s="15">
        <f>AF210-AG210-AH210-AI210</f>
        <v/>
      </c>
      <c r="AK210" s="18" t="n">
        <v>203</v>
      </c>
      <c r="AL210" s="40" t="n"/>
    </row>
    <row r="211" ht="23.5" customHeight="1">
      <c r="A211" s="6" t="inlineStr">
        <is>
          <t>204</t>
        </is>
      </c>
      <c r="B211" s="24" t="n"/>
      <c r="C211" s="55" t="n"/>
      <c r="D211" s="19" t="n"/>
      <c r="E211" s="24" t="n"/>
      <c r="F211" s="25" t="n"/>
      <c r="G211" s="25" t="n"/>
      <c r="H211" s="25" t="n"/>
      <c r="I211" s="11" t="n"/>
      <c r="J211" s="57" t="n"/>
      <c r="K211" s="12" t="n"/>
      <c r="L211" s="22" t="n"/>
      <c r="M211" s="13" t="n"/>
      <c r="N211" s="14">
        <f>ROUND(I211*(SUM(J211:M211))*68%,0)</f>
        <v/>
      </c>
      <c r="O211" s="61" t="n"/>
      <c r="P211" s="59" t="n"/>
      <c r="Q211" s="59" t="n"/>
      <c r="R211" s="58" t="n"/>
      <c r="S211" s="15">
        <f>I211*J211</f>
        <v/>
      </c>
      <c r="T211" s="15">
        <f>SUM(S211:S211)*68%</f>
        <v/>
      </c>
      <c r="U211" s="15">
        <f>I211*K211*40%*O211</f>
        <v/>
      </c>
      <c r="V211" s="15">
        <f>IF(P211&gt;=6750,(I211*K211*40%),0)</f>
        <v/>
      </c>
      <c r="W211" s="15">
        <f>IF(P211&lt;6750,0,IF(Q211="",0,IF(OR(Q211="KURANG",Q211="SANGAT KURANG"),I211*K211*10%,I211*K211*20%)))</f>
        <v/>
      </c>
      <c r="X211" s="15">
        <f>SUM(U211:W211)*68%</f>
        <v/>
      </c>
      <c r="Y211" s="15">
        <f>I211*L211</f>
        <v/>
      </c>
      <c r="Z211" s="15">
        <f>Y211 * 68%</f>
        <v/>
      </c>
      <c r="AA211" s="15">
        <f>I211*M211</f>
        <v/>
      </c>
      <c r="AB211" s="15">
        <f>AA211*68%</f>
        <v/>
      </c>
      <c r="AC211" s="16">
        <f>ROUND((T211+X211+Z211+AB211),0)</f>
        <v/>
      </c>
      <c r="AD211" s="16">
        <f>AG211</f>
        <v/>
      </c>
      <c r="AE211" s="16">
        <f>AI211</f>
        <v/>
      </c>
      <c r="AF211" s="16">
        <f>AC211+AD211+AE211</f>
        <v/>
      </c>
      <c r="AG211" s="16" t="n"/>
      <c r="AH211" s="17" t="n"/>
      <c r="AI211" s="17">
        <f>AH211*4</f>
        <v/>
      </c>
      <c r="AJ211" s="15">
        <f>AF211-AG211-AH211-AI211</f>
        <v/>
      </c>
      <c r="AK211" s="18" t="n">
        <v>204</v>
      </c>
      <c r="AL211" s="23" t="n"/>
    </row>
    <row r="212" ht="23.5" customHeight="1">
      <c r="A212" s="6" t="inlineStr">
        <is>
          <t>205</t>
        </is>
      </c>
      <c r="B212" s="24" t="n"/>
      <c r="C212" s="55" t="n"/>
      <c r="D212" s="19" t="n"/>
      <c r="E212" s="24" t="n"/>
      <c r="F212" s="25" t="n"/>
      <c r="G212" s="25" t="n"/>
      <c r="H212" s="25" t="n"/>
      <c r="I212" s="11" t="n"/>
      <c r="J212" s="57" t="n"/>
      <c r="K212" s="12" t="n"/>
      <c r="L212" s="22" t="n"/>
      <c r="M212" s="13" t="n"/>
      <c r="N212" s="14">
        <f>ROUND(I212*(SUM(J212:M212))*68%,0)</f>
        <v/>
      </c>
      <c r="O212" s="61" t="n"/>
      <c r="P212" s="59" t="n"/>
      <c r="Q212" s="59" t="n"/>
      <c r="R212" s="58" t="n"/>
      <c r="S212" s="15">
        <f>I212*J212</f>
        <v/>
      </c>
      <c r="T212" s="15">
        <f>SUM(S212:S212)*68%</f>
        <v/>
      </c>
      <c r="U212" s="15">
        <f>I212*K212*40%*O212</f>
        <v/>
      </c>
      <c r="V212" s="15">
        <f>IF(P212&gt;=6750,(I212*K212*40%),0)</f>
        <v/>
      </c>
      <c r="W212" s="15">
        <f>IF(P212&lt;6750,0,IF(Q212="",0,IF(OR(Q212="KURANG",Q212="SANGAT KURANG"),I212*K212*10%,I212*K212*20%)))</f>
        <v/>
      </c>
      <c r="X212" s="15">
        <f>SUM(U212:W212)*68%</f>
        <v/>
      </c>
      <c r="Y212" s="15">
        <f>I212*L212</f>
        <v/>
      </c>
      <c r="Z212" s="15">
        <f>Y212 * 68%</f>
        <v/>
      </c>
      <c r="AA212" s="15">
        <f>I212*M212</f>
        <v/>
      </c>
      <c r="AB212" s="15">
        <f>AA212*68%</f>
        <v/>
      </c>
      <c r="AC212" s="16">
        <f>ROUND((T212+X212+Z212+AB212),0)</f>
        <v/>
      </c>
      <c r="AD212" s="16">
        <f>AG212</f>
        <v/>
      </c>
      <c r="AE212" s="16">
        <f>AI212</f>
        <v/>
      </c>
      <c r="AF212" s="16">
        <f>AC212+AD212+AE212</f>
        <v/>
      </c>
      <c r="AG212" s="16" t="n"/>
      <c r="AH212" s="17" t="n"/>
      <c r="AI212" s="17">
        <f>AH212*4</f>
        <v/>
      </c>
      <c r="AJ212" s="15">
        <f>AF212-AG212-AH212-AI212</f>
        <v/>
      </c>
      <c r="AK212" s="18" t="n">
        <v>205</v>
      </c>
      <c r="AL212" s="23" t="n"/>
    </row>
    <row r="213" ht="23.5" customHeight="1">
      <c r="A213" s="6" t="inlineStr">
        <is>
          <t>206</t>
        </is>
      </c>
      <c r="B213" s="24" t="n"/>
      <c r="C213" s="55" t="n"/>
      <c r="D213" s="19" t="n"/>
      <c r="E213" s="24" t="n"/>
      <c r="F213" s="25" t="n"/>
      <c r="G213" s="25" t="n"/>
      <c r="H213" s="25" t="n"/>
      <c r="I213" s="11" t="n"/>
      <c r="J213" s="57" t="n"/>
      <c r="K213" s="12" t="n"/>
      <c r="L213" s="22" t="n"/>
      <c r="M213" s="13" t="n"/>
      <c r="N213" s="14">
        <f>ROUND(I213*(SUM(J213:M213))*68%,0)</f>
        <v/>
      </c>
      <c r="O213" s="61" t="n"/>
      <c r="P213" s="59" t="n"/>
      <c r="Q213" s="59" t="n"/>
      <c r="R213" s="58" t="n"/>
      <c r="S213" s="15">
        <f>I213*J213</f>
        <v/>
      </c>
      <c r="T213" s="15">
        <f>SUM(S213:S213)*68%</f>
        <v/>
      </c>
      <c r="U213" s="15">
        <f>I213*K213*40%*O213</f>
        <v/>
      </c>
      <c r="V213" s="15">
        <f>IF(P213&gt;=6750,(I213*K213*40%),0)</f>
        <v/>
      </c>
      <c r="W213" s="15">
        <f>IF(P213&lt;6750,0,IF(Q213="",0,IF(OR(Q213="KURANG",Q213="SANGAT KURANG"),I213*K213*10%,I213*K213*20%)))</f>
        <v/>
      </c>
      <c r="X213" s="15">
        <f>SUM(U213:W213)*68%</f>
        <v/>
      </c>
      <c r="Y213" s="15">
        <f>I213*L213</f>
        <v/>
      </c>
      <c r="Z213" s="15">
        <f>Y213 * 68%</f>
        <v/>
      </c>
      <c r="AA213" s="15">
        <f>I213*M213</f>
        <v/>
      </c>
      <c r="AB213" s="15">
        <f>AA213*68%</f>
        <v/>
      </c>
      <c r="AC213" s="16">
        <f>ROUND((T213+X213+Z213+AB213),0)</f>
        <v/>
      </c>
      <c r="AD213" s="16">
        <f>AG213</f>
        <v/>
      </c>
      <c r="AE213" s="16">
        <f>AI213</f>
        <v/>
      </c>
      <c r="AF213" s="16">
        <f>AC213+AD213+AE213</f>
        <v/>
      </c>
      <c r="AG213" s="16" t="n"/>
      <c r="AH213" s="17" t="n"/>
      <c r="AI213" s="17">
        <f>AH213*4</f>
        <v/>
      </c>
      <c r="AJ213" s="15">
        <f>AF213-AG213-AH213-AI213</f>
        <v/>
      </c>
      <c r="AK213" s="18" t="n">
        <v>206</v>
      </c>
      <c r="AL213" s="40" t="n"/>
    </row>
    <row r="214" ht="23.5" customHeight="1">
      <c r="A214" s="6" t="inlineStr">
        <is>
          <t>207</t>
        </is>
      </c>
      <c r="B214" s="24" t="n"/>
      <c r="C214" s="55" t="n"/>
      <c r="D214" s="19" t="n"/>
      <c r="E214" s="24" t="n"/>
      <c r="F214" s="25" t="n"/>
      <c r="G214" s="25" t="n"/>
      <c r="H214" s="25" t="n"/>
      <c r="I214" s="11" t="n"/>
      <c r="J214" s="57" t="n"/>
      <c r="K214" s="12" t="n"/>
      <c r="L214" s="22" t="n"/>
      <c r="M214" s="13" t="n"/>
      <c r="N214" s="14">
        <f>ROUND(I214*(SUM(J214:M214))*68%,0)</f>
        <v/>
      </c>
      <c r="O214" s="61" t="n"/>
      <c r="P214" s="59" t="n"/>
      <c r="Q214" s="59" t="n"/>
      <c r="R214" s="58" t="n"/>
      <c r="S214" s="15">
        <f>I214*J214</f>
        <v/>
      </c>
      <c r="T214" s="15">
        <f>SUM(S214:S214)*68%</f>
        <v/>
      </c>
      <c r="U214" s="15">
        <f>I214*K214*40%*O214</f>
        <v/>
      </c>
      <c r="V214" s="15">
        <f>IF(P214&gt;=6750,(I214*K214*40%),0)</f>
        <v/>
      </c>
      <c r="W214" s="15">
        <f>IF(P214&lt;6750,0,IF(Q214="",0,IF(OR(Q214="KURANG",Q214="SANGAT KURANG"),I214*K214*10%,I214*K214*20%)))</f>
        <v/>
      </c>
      <c r="X214" s="15">
        <f>SUM(U214:W214)*68%</f>
        <v/>
      </c>
      <c r="Y214" s="15">
        <f>I214*L214</f>
        <v/>
      </c>
      <c r="Z214" s="15">
        <f>Y214 * 68%</f>
        <v/>
      </c>
      <c r="AA214" s="15">
        <f>I214*M214</f>
        <v/>
      </c>
      <c r="AB214" s="15">
        <f>AA214*68%</f>
        <v/>
      </c>
      <c r="AC214" s="16">
        <f>ROUND((T214+X214+Z214+AB214),0)</f>
        <v/>
      </c>
      <c r="AD214" s="16">
        <f>AG214</f>
        <v/>
      </c>
      <c r="AE214" s="16">
        <f>AI214</f>
        <v/>
      </c>
      <c r="AF214" s="16">
        <f>AC214+AD214+AE214</f>
        <v/>
      </c>
      <c r="AG214" s="16" t="n"/>
      <c r="AH214" s="17" t="n"/>
      <c r="AI214" s="17">
        <f>AH214*4</f>
        <v/>
      </c>
      <c r="AJ214" s="15">
        <f>AF214-AG214-AH214-AI214</f>
        <v/>
      </c>
      <c r="AK214" s="18" t="n">
        <v>207</v>
      </c>
      <c r="AL214" s="23" t="n"/>
    </row>
    <row r="215" ht="23.5" customHeight="1">
      <c r="A215" s="6" t="inlineStr">
        <is>
          <t>208</t>
        </is>
      </c>
      <c r="B215" s="28" t="n"/>
      <c r="C215" s="55" t="n"/>
      <c r="D215" s="19" t="n"/>
      <c r="E215" s="24" t="n"/>
      <c r="F215" s="25" t="n"/>
      <c r="G215" s="25" t="n"/>
      <c r="H215" s="25" t="n"/>
      <c r="I215" s="11" t="n"/>
      <c r="J215" s="57" t="n"/>
      <c r="K215" s="12" t="n"/>
      <c r="L215" s="22" t="n"/>
      <c r="M215" s="13" t="n"/>
      <c r="N215" s="14">
        <f>ROUND(I215*(SUM(J215:M215))*68%,0)</f>
        <v/>
      </c>
      <c r="O215" s="61" t="n"/>
      <c r="P215" s="59" t="n"/>
      <c r="Q215" s="59" t="n"/>
      <c r="R215" s="58" t="n"/>
      <c r="S215" s="15">
        <f>I215*J215</f>
        <v/>
      </c>
      <c r="T215" s="15">
        <f>SUM(S215:S215)*68%</f>
        <v/>
      </c>
      <c r="U215" s="15">
        <f>I215*K215*40%*O215</f>
        <v/>
      </c>
      <c r="V215" s="15">
        <f>IF(P215&gt;=6750,(I215*K215*40%),0)</f>
        <v/>
      </c>
      <c r="W215" s="15">
        <f>IF(P215&lt;6750,0,IF(Q215="",0,IF(OR(Q215="KURANG",Q215="SANGAT KURANG"),I215*K215*10%,I215*K215*20%)))</f>
        <v/>
      </c>
      <c r="X215" s="15">
        <f>SUM(U215:W215)*68%</f>
        <v/>
      </c>
      <c r="Y215" s="15">
        <f>I215*L215</f>
        <v/>
      </c>
      <c r="Z215" s="15">
        <f>Y215 * 68%</f>
        <v/>
      </c>
      <c r="AA215" s="15">
        <f>I215*M215</f>
        <v/>
      </c>
      <c r="AB215" s="15">
        <f>AA215*68%</f>
        <v/>
      </c>
      <c r="AC215" s="16">
        <f>ROUND((T215+X215+Z215+AB215),0)</f>
        <v/>
      </c>
      <c r="AD215" s="16">
        <f>AG215</f>
        <v/>
      </c>
      <c r="AE215" s="16">
        <f>AI215</f>
        <v/>
      </c>
      <c r="AF215" s="16">
        <f>AC215+AD215+AE215</f>
        <v/>
      </c>
      <c r="AG215" s="16" t="n"/>
      <c r="AH215" s="17" t="n"/>
      <c r="AI215" s="17">
        <f>AH215*4</f>
        <v/>
      </c>
      <c r="AJ215" s="15">
        <f>AF215-AG215-AH215-AI215</f>
        <v/>
      </c>
      <c r="AK215" s="18" t="n">
        <v>208</v>
      </c>
      <c r="AL215" s="23" t="n"/>
    </row>
    <row r="216" ht="23.5" customHeight="1">
      <c r="A216" s="6" t="inlineStr">
        <is>
          <t>209</t>
        </is>
      </c>
      <c r="B216" s="28" t="n"/>
      <c r="C216" s="55" t="n"/>
      <c r="D216" s="19" t="n"/>
      <c r="E216" s="24" t="n"/>
      <c r="F216" s="25" t="n"/>
      <c r="G216" s="25" t="n"/>
      <c r="H216" s="25" t="n"/>
      <c r="I216" s="11" t="n"/>
      <c r="J216" s="57" t="n"/>
      <c r="K216" s="12" t="n"/>
      <c r="L216" s="22" t="n"/>
      <c r="M216" s="13" t="n"/>
      <c r="N216" s="14">
        <f>ROUND(I216*(SUM(J216:M216))*68%,0)</f>
        <v/>
      </c>
      <c r="O216" s="61" t="n"/>
      <c r="P216" s="59" t="n"/>
      <c r="Q216" s="59" t="n"/>
      <c r="R216" s="58" t="n"/>
      <c r="S216" s="15">
        <f>I216*J216</f>
        <v/>
      </c>
      <c r="T216" s="15">
        <f>SUM(S216:S216)*68%</f>
        <v/>
      </c>
      <c r="U216" s="15">
        <f>I216*K216*40%*O216</f>
        <v/>
      </c>
      <c r="V216" s="15">
        <f>IF(P216&gt;=6750,(I216*K216*40%),0)</f>
        <v/>
      </c>
      <c r="W216" s="15">
        <f>IF(P216&lt;6750,0,IF(Q216="",0,IF(OR(Q216="KURANG",Q216="SANGAT KURANG"),I216*K216*10%,I216*K216*20%)))</f>
        <v/>
      </c>
      <c r="X216" s="15">
        <f>SUM(U216:W216)*68%</f>
        <v/>
      </c>
      <c r="Y216" s="15">
        <f>I216*L216</f>
        <v/>
      </c>
      <c r="Z216" s="15">
        <f>Y216 * 68%</f>
        <v/>
      </c>
      <c r="AA216" s="15">
        <f>I216*M216</f>
        <v/>
      </c>
      <c r="AB216" s="15">
        <f>AA216*68%</f>
        <v/>
      </c>
      <c r="AC216" s="16">
        <f>ROUND((T216+X216+Z216+AB216),0)</f>
        <v/>
      </c>
      <c r="AD216" s="16">
        <f>AG216</f>
        <v/>
      </c>
      <c r="AE216" s="16">
        <f>AI216</f>
        <v/>
      </c>
      <c r="AF216" s="16">
        <f>AC216+AD216+AE216</f>
        <v/>
      </c>
      <c r="AG216" s="16" t="n"/>
      <c r="AH216" s="17" t="n"/>
      <c r="AI216" s="17">
        <f>AH216*4</f>
        <v/>
      </c>
      <c r="AJ216" s="15">
        <f>AF216-AG216-AH216-AI216</f>
        <v/>
      </c>
      <c r="AK216" s="18" t="n">
        <v>209</v>
      </c>
      <c r="AL216" s="40" t="n"/>
    </row>
    <row r="217" ht="23.5" customHeight="1">
      <c r="A217" s="6" t="inlineStr">
        <is>
          <t>210</t>
        </is>
      </c>
      <c r="B217" s="24" t="n"/>
      <c r="C217" s="55" t="n"/>
      <c r="D217" s="19" t="n"/>
      <c r="E217" s="24" t="n"/>
      <c r="F217" s="25" t="n"/>
      <c r="G217" s="25" t="n"/>
      <c r="H217" s="25" t="n"/>
      <c r="I217" s="11" t="n"/>
      <c r="J217" s="57" t="n"/>
      <c r="K217" s="12" t="n"/>
      <c r="L217" s="22" t="n"/>
      <c r="M217" s="13" t="n"/>
      <c r="N217" s="14">
        <f>ROUND(I217*(SUM(J217:M217))*68%,0)</f>
        <v/>
      </c>
      <c r="O217" s="61" t="n"/>
      <c r="P217" s="59" t="n"/>
      <c r="Q217" s="59" t="n"/>
      <c r="R217" s="58" t="n"/>
      <c r="S217" s="15">
        <f>I217*J217</f>
        <v/>
      </c>
      <c r="T217" s="15">
        <f>SUM(S217:S217)*68%</f>
        <v/>
      </c>
      <c r="U217" s="15">
        <f>I217*K217*40%*O217</f>
        <v/>
      </c>
      <c r="V217" s="15">
        <f>IF(P217&gt;=6750,(I217*K217*40%),0)</f>
        <v/>
      </c>
      <c r="W217" s="15">
        <f>IF(P217&lt;6750,0,IF(Q217="",0,IF(OR(Q217="KURANG",Q217="SANGAT KURANG"),I217*K217*10%,I217*K217*20%)))</f>
        <v/>
      </c>
      <c r="X217" s="15">
        <f>SUM(U217:W217)*68%</f>
        <v/>
      </c>
      <c r="Y217" s="15">
        <f>I217*L217</f>
        <v/>
      </c>
      <c r="Z217" s="15">
        <f>Y217 * 68%</f>
        <v/>
      </c>
      <c r="AA217" s="15">
        <f>I217*M217</f>
        <v/>
      </c>
      <c r="AB217" s="15">
        <f>AA217*68%</f>
        <v/>
      </c>
      <c r="AC217" s="16">
        <f>ROUND((T217+X217+Z217+AB217),0)</f>
        <v/>
      </c>
      <c r="AD217" s="16">
        <f>AG217</f>
        <v/>
      </c>
      <c r="AE217" s="16">
        <f>AI217</f>
        <v/>
      </c>
      <c r="AF217" s="16">
        <f>AC217+AD217+AE217</f>
        <v/>
      </c>
      <c r="AG217" s="16" t="n"/>
      <c r="AH217" s="17" t="n"/>
      <c r="AI217" s="17">
        <f>AH217*4</f>
        <v/>
      </c>
      <c r="AJ217" s="15">
        <f>AF217-AG217-AH217-AI217</f>
        <v/>
      </c>
      <c r="AK217" s="18" t="n">
        <v>210</v>
      </c>
      <c r="AL217" s="23" t="n"/>
    </row>
    <row r="218" ht="23.5" customHeight="1">
      <c r="A218" s="6" t="inlineStr">
        <is>
          <t>211</t>
        </is>
      </c>
      <c r="B218" s="24" t="n"/>
      <c r="C218" s="55" t="n"/>
      <c r="D218" s="19" t="n"/>
      <c r="E218" s="24" t="n"/>
      <c r="F218" s="25" t="n"/>
      <c r="G218" s="25" t="n"/>
      <c r="H218" s="25" t="n"/>
      <c r="I218" s="11" t="n"/>
      <c r="J218" s="57" t="n"/>
      <c r="K218" s="12" t="n"/>
      <c r="L218" s="22" t="n"/>
      <c r="M218" s="13" t="n"/>
      <c r="N218" s="14">
        <f>ROUND(I218*(SUM(J218:M218))*68%,0)</f>
        <v/>
      </c>
      <c r="O218" s="61" t="n"/>
      <c r="P218" s="59" t="n"/>
      <c r="Q218" s="59" t="n"/>
      <c r="R218" s="58" t="n"/>
      <c r="S218" s="15">
        <f>I218*J218</f>
        <v/>
      </c>
      <c r="T218" s="15">
        <f>SUM(S218:S218)*68%</f>
        <v/>
      </c>
      <c r="U218" s="15">
        <f>I218*K218*40%*O218</f>
        <v/>
      </c>
      <c r="V218" s="15">
        <f>IF(P218&gt;=6750,(I218*K218*40%),0)</f>
        <v/>
      </c>
      <c r="W218" s="15">
        <f>IF(P218&lt;6750,0,IF(Q218="",0,IF(OR(Q218="KURANG",Q218="SANGAT KURANG"),I218*K218*10%,I218*K218*20%)))</f>
        <v/>
      </c>
      <c r="X218" s="15">
        <f>SUM(U218:W218)*68%</f>
        <v/>
      </c>
      <c r="Y218" s="15">
        <f>I218*L218</f>
        <v/>
      </c>
      <c r="Z218" s="15">
        <f>Y218 * 68%</f>
        <v/>
      </c>
      <c r="AA218" s="15">
        <f>I218*M218</f>
        <v/>
      </c>
      <c r="AB218" s="15">
        <f>AA218*68%</f>
        <v/>
      </c>
      <c r="AC218" s="16">
        <f>ROUND((T218+X218+Z218+AB218),0)</f>
        <v/>
      </c>
      <c r="AD218" s="16">
        <f>AG218</f>
        <v/>
      </c>
      <c r="AE218" s="16">
        <f>AI218</f>
        <v/>
      </c>
      <c r="AF218" s="16">
        <f>AC218+AD218+AE218</f>
        <v/>
      </c>
      <c r="AG218" s="16" t="n"/>
      <c r="AH218" s="17" t="n"/>
      <c r="AI218" s="17">
        <f>AH218*4</f>
        <v/>
      </c>
      <c r="AJ218" s="15">
        <f>AF218-AG218-AH218-AI218</f>
        <v/>
      </c>
      <c r="AK218" s="18" t="n">
        <v>211</v>
      </c>
      <c r="AL218" s="23" t="n"/>
    </row>
    <row r="219" ht="23.5" customHeight="1">
      <c r="A219" s="6" t="inlineStr">
        <is>
          <t>212</t>
        </is>
      </c>
      <c r="B219" s="24" t="n"/>
      <c r="C219" s="55" t="n"/>
      <c r="D219" s="19" t="n"/>
      <c r="E219" s="24" t="n"/>
      <c r="F219" s="25" t="n"/>
      <c r="G219" s="25" t="n"/>
      <c r="H219" s="25" t="n"/>
      <c r="I219" s="11" t="n"/>
      <c r="J219" s="57" t="n"/>
      <c r="K219" s="12" t="n"/>
      <c r="L219" s="22" t="n"/>
      <c r="M219" s="13" t="n"/>
      <c r="N219" s="14">
        <f>ROUND(I219*(SUM(J219:M219))*68%,0)</f>
        <v/>
      </c>
      <c r="O219" s="61" t="n"/>
      <c r="P219" s="59" t="n"/>
      <c r="Q219" s="59" t="n"/>
      <c r="R219" s="58" t="n"/>
      <c r="S219" s="15">
        <f>I219*J219</f>
        <v/>
      </c>
      <c r="T219" s="15">
        <f>SUM(S219:S219)*68%</f>
        <v/>
      </c>
      <c r="U219" s="15">
        <f>I219*K219*40%*O219</f>
        <v/>
      </c>
      <c r="V219" s="15">
        <f>IF(P219&gt;=6750,(I219*K219*40%),0)</f>
        <v/>
      </c>
      <c r="W219" s="15">
        <f>IF(P219&lt;6750,0,IF(Q219="",0,IF(OR(Q219="KURANG",Q219="SANGAT KURANG"),I219*K219*10%,I219*K219*20%)))</f>
        <v/>
      </c>
      <c r="X219" s="15">
        <f>SUM(U219:W219)*68%</f>
        <v/>
      </c>
      <c r="Y219" s="15">
        <f>I219*L219</f>
        <v/>
      </c>
      <c r="Z219" s="15">
        <f>Y219 * 68%</f>
        <v/>
      </c>
      <c r="AA219" s="15">
        <f>I219*M219</f>
        <v/>
      </c>
      <c r="AB219" s="15">
        <f>AA219*68%</f>
        <v/>
      </c>
      <c r="AC219" s="16">
        <f>ROUND((T219+X219+Z219+AB219),0)</f>
        <v/>
      </c>
      <c r="AD219" s="16">
        <f>AG219</f>
        <v/>
      </c>
      <c r="AE219" s="16">
        <f>AI219</f>
        <v/>
      </c>
      <c r="AF219" s="16">
        <f>AC219+AD219+AE219</f>
        <v/>
      </c>
      <c r="AG219" s="16" t="n"/>
      <c r="AH219" s="17" t="n"/>
      <c r="AI219" s="17">
        <f>AH219*4</f>
        <v/>
      </c>
      <c r="AJ219" s="15">
        <f>AF219-AG219-AH219-AI219</f>
        <v/>
      </c>
      <c r="AK219" s="18" t="n">
        <v>212</v>
      </c>
      <c r="AL219" s="40" t="n"/>
    </row>
    <row r="220" ht="23.5" customHeight="1">
      <c r="A220" s="6" t="inlineStr">
        <is>
          <t>213</t>
        </is>
      </c>
      <c r="B220" s="24" t="n"/>
      <c r="C220" s="55" t="n"/>
      <c r="D220" s="19" t="n"/>
      <c r="E220" s="24" t="n"/>
      <c r="F220" s="25" t="n"/>
      <c r="G220" s="25" t="n"/>
      <c r="H220" s="25" t="n"/>
      <c r="I220" s="11" t="n"/>
      <c r="J220" s="57" t="n"/>
      <c r="K220" s="12" t="n"/>
      <c r="L220" s="22" t="n"/>
      <c r="M220" s="13" t="n"/>
      <c r="N220" s="14">
        <f>ROUND(I220*(SUM(J220:M220))*68%,0)</f>
        <v/>
      </c>
      <c r="O220" s="61" t="n"/>
      <c r="P220" s="59" t="n"/>
      <c r="Q220" s="59" t="n"/>
      <c r="R220" s="58" t="n"/>
      <c r="S220" s="15">
        <f>I220*J220</f>
        <v/>
      </c>
      <c r="T220" s="15">
        <f>SUM(S220:S220)*68%</f>
        <v/>
      </c>
      <c r="U220" s="15">
        <f>I220*K220*40%*O220</f>
        <v/>
      </c>
      <c r="V220" s="15">
        <f>IF(P220&gt;=6750,(I220*K220*40%),0)</f>
        <v/>
      </c>
      <c r="W220" s="15">
        <f>IF(P220&lt;6750,0,IF(Q220="",0,IF(OR(Q220="KURANG",Q220="SANGAT KURANG"),I220*K220*10%,I220*K220*20%)))</f>
        <v/>
      </c>
      <c r="X220" s="15">
        <f>SUM(U220:W220)*68%</f>
        <v/>
      </c>
      <c r="Y220" s="15">
        <f>I220*L220</f>
        <v/>
      </c>
      <c r="Z220" s="15">
        <f>Y220 * 68%</f>
        <v/>
      </c>
      <c r="AA220" s="15">
        <f>I220*M220</f>
        <v/>
      </c>
      <c r="AB220" s="15">
        <f>AA220*68%</f>
        <v/>
      </c>
      <c r="AC220" s="16">
        <f>ROUND((T220+X220+Z220+AB220),0)</f>
        <v/>
      </c>
      <c r="AD220" s="16">
        <f>AG220</f>
        <v/>
      </c>
      <c r="AE220" s="16">
        <f>AI220</f>
        <v/>
      </c>
      <c r="AF220" s="16">
        <f>AC220+AD220+AE220</f>
        <v/>
      </c>
      <c r="AG220" s="16" t="n"/>
      <c r="AH220" s="17" t="n"/>
      <c r="AI220" s="17">
        <f>AH220*4</f>
        <v/>
      </c>
      <c r="AJ220" s="15">
        <f>AF220-AG220-AH220-AI220</f>
        <v/>
      </c>
      <c r="AK220" s="18" t="n">
        <v>213</v>
      </c>
      <c r="AL220" s="23" t="n"/>
    </row>
    <row r="221" ht="23.5" customHeight="1">
      <c r="A221" s="6" t="inlineStr">
        <is>
          <t>214</t>
        </is>
      </c>
      <c r="B221" s="24" t="n"/>
      <c r="C221" s="55" t="n"/>
      <c r="D221" s="19" t="n"/>
      <c r="E221" s="24" t="n"/>
      <c r="F221" s="25" t="n"/>
      <c r="G221" s="25" t="n"/>
      <c r="H221" s="25" t="n"/>
      <c r="I221" s="11" t="n"/>
      <c r="J221" s="57" t="n"/>
      <c r="K221" s="12" t="n"/>
      <c r="L221" s="22" t="n"/>
      <c r="M221" s="13" t="n"/>
      <c r="N221" s="14">
        <f>ROUND(I221*(SUM(J221:M221))*68%,0)</f>
        <v/>
      </c>
      <c r="O221" s="61" t="n"/>
      <c r="P221" s="59" t="n"/>
      <c r="Q221" s="59" t="n"/>
      <c r="R221" s="58" t="n"/>
      <c r="S221" s="15">
        <f>I221*J221</f>
        <v/>
      </c>
      <c r="T221" s="15">
        <f>SUM(S221:S221)*68%</f>
        <v/>
      </c>
      <c r="U221" s="15">
        <f>I221*K221*40%*O221</f>
        <v/>
      </c>
      <c r="V221" s="15">
        <f>IF(P221&gt;=6750,(I221*K221*40%),0)</f>
        <v/>
      </c>
      <c r="W221" s="15">
        <f>IF(P221&lt;6750,0,IF(Q221="",0,IF(OR(Q221="KURANG",Q221="SANGAT KURANG"),I221*K221*10%,I221*K221*20%)))</f>
        <v/>
      </c>
      <c r="X221" s="15">
        <f>SUM(U221:W221)*68%</f>
        <v/>
      </c>
      <c r="Y221" s="15">
        <f>I221*L221</f>
        <v/>
      </c>
      <c r="Z221" s="15">
        <f>Y221 * 68%</f>
        <v/>
      </c>
      <c r="AA221" s="15">
        <f>I221*M221</f>
        <v/>
      </c>
      <c r="AB221" s="15">
        <f>AA221*68%</f>
        <v/>
      </c>
      <c r="AC221" s="16">
        <f>ROUND((T221+X221+Z221+AB221),0)</f>
        <v/>
      </c>
      <c r="AD221" s="16">
        <f>AG221</f>
        <v/>
      </c>
      <c r="AE221" s="16">
        <f>AI221</f>
        <v/>
      </c>
      <c r="AF221" s="16">
        <f>AC221+AD221+AE221</f>
        <v/>
      </c>
      <c r="AG221" s="16" t="n"/>
      <c r="AH221" s="17" t="n"/>
      <c r="AI221" s="17">
        <f>AH221*4</f>
        <v/>
      </c>
      <c r="AJ221" s="15">
        <f>AF221-AG221-AH221-AI221</f>
        <v/>
      </c>
      <c r="AK221" s="18" t="n">
        <v>214</v>
      </c>
      <c r="AL221" s="23" t="n"/>
    </row>
    <row r="222" ht="23.5" customHeight="1">
      <c r="A222" s="6" t="inlineStr">
        <is>
          <t>215</t>
        </is>
      </c>
      <c r="B222" s="24" t="n"/>
      <c r="C222" s="55" t="n"/>
      <c r="D222" s="19" t="n"/>
      <c r="E222" s="24" t="n"/>
      <c r="F222" s="25" t="n"/>
      <c r="G222" s="25" t="n"/>
      <c r="H222" s="25" t="n"/>
      <c r="I222" s="11" t="n"/>
      <c r="J222" s="57" t="n"/>
      <c r="K222" s="12" t="n"/>
      <c r="L222" s="22" t="n"/>
      <c r="M222" s="13" t="n"/>
      <c r="N222" s="14">
        <f>ROUND(I222*(SUM(J222:M222))*68%,0)</f>
        <v/>
      </c>
      <c r="O222" s="61" t="n"/>
      <c r="P222" s="59" t="n"/>
      <c r="Q222" s="59" t="n"/>
      <c r="R222" s="58" t="n"/>
      <c r="S222" s="15">
        <f>I222*J222</f>
        <v/>
      </c>
      <c r="T222" s="15">
        <f>SUM(S222:S222)*68%</f>
        <v/>
      </c>
      <c r="U222" s="15">
        <f>I222*K222*40%*O222</f>
        <v/>
      </c>
      <c r="V222" s="15">
        <f>IF(P222&gt;=6750,(I222*K222*40%),0)</f>
        <v/>
      </c>
      <c r="W222" s="15">
        <f>IF(P222&lt;6750,0,IF(Q222="",0,IF(OR(Q222="KURANG",Q222="SANGAT KURANG"),I222*K222*10%,I222*K222*20%)))</f>
        <v/>
      </c>
      <c r="X222" s="15">
        <f>SUM(U222:W222)*68%</f>
        <v/>
      </c>
      <c r="Y222" s="15">
        <f>I222*L222</f>
        <v/>
      </c>
      <c r="Z222" s="15">
        <f>Y222 * 68%</f>
        <v/>
      </c>
      <c r="AA222" s="15">
        <f>I222*M222</f>
        <v/>
      </c>
      <c r="AB222" s="15">
        <f>AA222*68%</f>
        <v/>
      </c>
      <c r="AC222" s="16">
        <f>ROUND((T222+X222+Z222+AB222),0)</f>
        <v/>
      </c>
      <c r="AD222" s="16">
        <f>AG222</f>
        <v/>
      </c>
      <c r="AE222" s="16">
        <f>AI222</f>
        <v/>
      </c>
      <c r="AF222" s="16">
        <f>AC222+AD222+AE222</f>
        <v/>
      </c>
      <c r="AG222" s="16" t="n"/>
      <c r="AH222" s="17" t="n"/>
      <c r="AI222" s="17">
        <f>AH222*4</f>
        <v/>
      </c>
      <c r="AJ222" s="15">
        <f>AF222-AG222-AH222-AI222</f>
        <v/>
      </c>
      <c r="AK222" s="18" t="n">
        <v>215</v>
      </c>
      <c r="AL222" s="40" t="n"/>
    </row>
    <row r="223" ht="23.5" customHeight="1">
      <c r="A223" s="6" t="inlineStr">
        <is>
          <t>216</t>
        </is>
      </c>
      <c r="B223" s="28" t="n"/>
      <c r="C223" s="55" t="n"/>
      <c r="D223" s="19" t="n"/>
      <c r="E223" s="24" t="n"/>
      <c r="F223" s="25" t="n"/>
      <c r="G223" s="25" t="n"/>
      <c r="H223" s="25" t="n"/>
      <c r="I223" s="11" t="n"/>
      <c r="J223" s="57" t="n"/>
      <c r="K223" s="12" t="n"/>
      <c r="L223" s="22" t="n"/>
      <c r="M223" s="13" t="n"/>
      <c r="N223" s="14">
        <f>ROUND(I223*(SUM(J223:M223))*68%,0)</f>
        <v/>
      </c>
      <c r="O223" s="61" t="n"/>
      <c r="P223" s="59" t="n"/>
      <c r="Q223" s="59" t="n"/>
      <c r="R223" s="58" t="n"/>
      <c r="S223" s="15">
        <f>I223*J223</f>
        <v/>
      </c>
      <c r="T223" s="15">
        <f>SUM(S223:S223)*68%</f>
        <v/>
      </c>
      <c r="U223" s="15">
        <f>I223*K223*40%*O223</f>
        <v/>
      </c>
      <c r="V223" s="15">
        <f>IF(P223&gt;=6750,(I223*K223*40%),0)</f>
        <v/>
      </c>
      <c r="W223" s="15">
        <f>IF(P223&lt;6750,0,IF(Q223="",0,IF(OR(Q223="KURANG",Q223="SANGAT KURANG"),I223*K223*10%,I223*K223*20%)))</f>
        <v/>
      </c>
      <c r="X223" s="15">
        <f>SUM(U223:W223)*68%</f>
        <v/>
      </c>
      <c r="Y223" s="15">
        <f>I223*L223</f>
        <v/>
      </c>
      <c r="Z223" s="15">
        <f>Y223 * 68%</f>
        <v/>
      </c>
      <c r="AA223" s="15">
        <f>I223*M223</f>
        <v/>
      </c>
      <c r="AB223" s="15">
        <f>AA223*68%</f>
        <v/>
      </c>
      <c r="AC223" s="16">
        <f>ROUND((T223+X223+Z223+AB223),0)</f>
        <v/>
      </c>
      <c r="AD223" s="16">
        <f>AG223</f>
        <v/>
      </c>
      <c r="AE223" s="16">
        <f>AI223</f>
        <v/>
      </c>
      <c r="AF223" s="16">
        <f>AC223+AD223+AE223</f>
        <v/>
      </c>
      <c r="AG223" s="16" t="n"/>
      <c r="AH223" s="17" t="n"/>
      <c r="AI223" s="17">
        <f>AH223*4</f>
        <v/>
      </c>
      <c r="AJ223" s="15">
        <f>AF223-AG223-AH223-AI223</f>
        <v/>
      </c>
      <c r="AK223" s="18" t="n">
        <v>216</v>
      </c>
      <c r="AL223" s="23" t="n"/>
    </row>
    <row r="224" ht="23.5" customHeight="1">
      <c r="A224" s="6" t="inlineStr">
        <is>
          <t>217</t>
        </is>
      </c>
      <c r="B224" s="28" t="n"/>
      <c r="C224" s="55" t="n"/>
      <c r="D224" s="19" t="n"/>
      <c r="E224" s="24" t="n"/>
      <c r="F224" s="25" t="n"/>
      <c r="G224" s="25" t="n"/>
      <c r="H224" s="25" t="n"/>
      <c r="I224" s="11" t="n"/>
      <c r="J224" s="57" t="n"/>
      <c r="K224" s="12" t="n"/>
      <c r="L224" s="22" t="n"/>
      <c r="M224" s="13" t="n"/>
      <c r="N224" s="14">
        <f>ROUND(I224*(SUM(J224:M224))*68%,0)</f>
        <v/>
      </c>
      <c r="O224" s="61" t="n"/>
      <c r="P224" s="59" t="n"/>
      <c r="Q224" s="59" t="n"/>
      <c r="R224" s="58" t="n"/>
      <c r="S224" s="15">
        <f>I224*J224</f>
        <v/>
      </c>
      <c r="T224" s="15">
        <f>SUM(S224:S224)*68%</f>
        <v/>
      </c>
      <c r="U224" s="15">
        <f>I224*K224*40%*O224</f>
        <v/>
      </c>
      <c r="V224" s="15">
        <f>IF(P224&gt;=6750,(I224*K224*40%),0)</f>
        <v/>
      </c>
      <c r="W224" s="15">
        <f>IF(P224&lt;6750,0,IF(Q224="",0,IF(OR(Q224="KURANG",Q224="SANGAT KURANG"),I224*K224*10%,I224*K224*20%)))</f>
        <v/>
      </c>
      <c r="X224" s="15">
        <f>SUM(U224:W224)*68%</f>
        <v/>
      </c>
      <c r="Y224" s="15">
        <f>I224*L224</f>
        <v/>
      </c>
      <c r="Z224" s="15">
        <f>Y224 * 68%</f>
        <v/>
      </c>
      <c r="AA224" s="15">
        <f>I224*M224</f>
        <v/>
      </c>
      <c r="AB224" s="15">
        <f>AA224*68%</f>
        <v/>
      </c>
      <c r="AC224" s="16">
        <f>ROUND((T224+X224+Z224+AB224),0)</f>
        <v/>
      </c>
      <c r="AD224" s="16">
        <f>AG224</f>
        <v/>
      </c>
      <c r="AE224" s="16">
        <f>AI224</f>
        <v/>
      </c>
      <c r="AF224" s="16">
        <f>AC224+AD224+AE224</f>
        <v/>
      </c>
      <c r="AG224" s="16" t="n"/>
      <c r="AH224" s="17" t="n"/>
      <c r="AI224" s="17">
        <f>AH224*4</f>
        <v/>
      </c>
      <c r="AJ224" s="15">
        <f>AF224-AG224-AH224-AI224</f>
        <v/>
      </c>
      <c r="AK224" s="18" t="n">
        <v>217</v>
      </c>
      <c r="AL224" s="23" t="n"/>
    </row>
    <row r="225" ht="23.5" customHeight="1">
      <c r="A225" s="6" t="inlineStr">
        <is>
          <t>218</t>
        </is>
      </c>
      <c r="B225" s="24" t="n"/>
      <c r="C225" s="55" t="n"/>
      <c r="D225" s="19" t="n"/>
      <c r="E225" s="24" t="n"/>
      <c r="F225" s="25" t="n"/>
      <c r="G225" s="25" t="n"/>
      <c r="H225" s="25" t="n"/>
      <c r="I225" s="11" t="n"/>
      <c r="J225" s="57" t="n"/>
      <c r="K225" s="12" t="n"/>
      <c r="L225" s="22" t="n"/>
      <c r="M225" s="13" t="n"/>
      <c r="N225" s="14">
        <f>ROUND(I225*(SUM(J225:M225))*68%,0)</f>
        <v/>
      </c>
      <c r="O225" s="61" t="n"/>
      <c r="P225" s="59" t="n"/>
      <c r="Q225" s="59" t="n"/>
      <c r="R225" s="58" t="n"/>
      <c r="S225" s="15">
        <f>I225*J225</f>
        <v/>
      </c>
      <c r="T225" s="15">
        <f>SUM(S225:S225)*68%</f>
        <v/>
      </c>
      <c r="U225" s="15">
        <f>I225*K225*40%*O225</f>
        <v/>
      </c>
      <c r="V225" s="15">
        <f>IF(P225&gt;=6750,(I225*K225*40%),0)</f>
        <v/>
      </c>
      <c r="W225" s="15">
        <f>IF(P225&lt;6750,0,IF(Q225="",0,IF(OR(Q225="KURANG",Q225="SANGAT KURANG"),I225*K225*10%,I225*K225*20%)))</f>
        <v/>
      </c>
      <c r="X225" s="15">
        <f>SUM(U225:W225)*68%</f>
        <v/>
      </c>
      <c r="Y225" s="15">
        <f>I225*L225</f>
        <v/>
      </c>
      <c r="Z225" s="15">
        <f>Y225 * 68%</f>
        <v/>
      </c>
      <c r="AA225" s="15">
        <f>I225*M225</f>
        <v/>
      </c>
      <c r="AB225" s="15">
        <f>AA225*68%</f>
        <v/>
      </c>
      <c r="AC225" s="16">
        <f>ROUND((T225+X225+Z225+AB225),0)</f>
        <v/>
      </c>
      <c r="AD225" s="16">
        <f>AG225</f>
        <v/>
      </c>
      <c r="AE225" s="16">
        <f>AI225</f>
        <v/>
      </c>
      <c r="AF225" s="16">
        <f>AC225+AD225+AE225</f>
        <v/>
      </c>
      <c r="AG225" s="16" t="n"/>
      <c r="AH225" s="17" t="n"/>
      <c r="AI225" s="17">
        <f>AH225*4</f>
        <v/>
      </c>
      <c r="AJ225" s="15">
        <f>AF225-AG225-AH225-AI225</f>
        <v/>
      </c>
      <c r="AK225" s="18" t="n">
        <v>218</v>
      </c>
      <c r="AL225" s="40" t="n"/>
    </row>
    <row r="226" ht="23.5" customHeight="1">
      <c r="A226" s="6" t="inlineStr">
        <is>
          <t>219</t>
        </is>
      </c>
      <c r="B226" s="24" t="n"/>
      <c r="C226" s="55" t="n"/>
      <c r="D226" s="19" t="n"/>
      <c r="E226" s="24" t="n"/>
      <c r="F226" s="25" t="n"/>
      <c r="G226" s="25" t="n"/>
      <c r="H226" s="25" t="n"/>
      <c r="I226" s="11" t="n"/>
      <c r="J226" s="57" t="n"/>
      <c r="K226" s="12" t="n"/>
      <c r="L226" s="22" t="n"/>
      <c r="M226" s="13" t="n"/>
      <c r="N226" s="14">
        <f>ROUND(I226*(SUM(J226:M226))*68%,0)</f>
        <v/>
      </c>
      <c r="O226" s="61" t="n"/>
      <c r="P226" s="59" t="n"/>
      <c r="Q226" s="59" t="n"/>
      <c r="R226" s="58" t="n"/>
      <c r="S226" s="15">
        <f>I226*J226</f>
        <v/>
      </c>
      <c r="T226" s="15">
        <f>SUM(S226:S226)*68%</f>
        <v/>
      </c>
      <c r="U226" s="15">
        <f>I226*K226*40%*O226</f>
        <v/>
      </c>
      <c r="V226" s="15">
        <f>IF(P226&gt;=6750,(I226*K226*40%),0)</f>
        <v/>
      </c>
      <c r="W226" s="15">
        <f>IF(P226&lt;6750,0,IF(Q226="",0,IF(OR(Q226="KURANG",Q226="SANGAT KURANG"),I226*K226*10%,I226*K226*20%)))</f>
        <v/>
      </c>
      <c r="X226" s="15">
        <f>SUM(U226:W226)*68%</f>
        <v/>
      </c>
      <c r="Y226" s="15">
        <f>I226*L226</f>
        <v/>
      </c>
      <c r="Z226" s="15">
        <f>Y226 * 68%</f>
        <v/>
      </c>
      <c r="AA226" s="15">
        <f>I226*M226</f>
        <v/>
      </c>
      <c r="AB226" s="15">
        <f>AA226*68%</f>
        <v/>
      </c>
      <c r="AC226" s="16">
        <f>ROUND((T226+X226+Z226+AB226),0)</f>
        <v/>
      </c>
      <c r="AD226" s="16">
        <f>AG226</f>
        <v/>
      </c>
      <c r="AE226" s="16">
        <f>AI226</f>
        <v/>
      </c>
      <c r="AF226" s="16">
        <f>AC226+AD226+AE226</f>
        <v/>
      </c>
      <c r="AG226" s="16" t="n"/>
      <c r="AH226" s="17" t="n"/>
      <c r="AI226" s="17">
        <f>AH226*4</f>
        <v/>
      </c>
      <c r="AJ226" s="15">
        <f>AF226-AG226-AH226-AI226</f>
        <v/>
      </c>
      <c r="AK226" s="18" t="n">
        <v>219</v>
      </c>
      <c r="AL226" s="23" t="n"/>
    </row>
    <row r="227" ht="23.5" customHeight="1">
      <c r="A227" s="6" t="inlineStr">
        <is>
          <t>220</t>
        </is>
      </c>
      <c r="B227" s="24" t="n"/>
      <c r="C227" s="55" t="n"/>
      <c r="D227" s="19" t="n"/>
      <c r="E227" s="24" t="n"/>
      <c r="F227" s="25" t="n"/>
      <c r="G227" s="25" t="n"/>
      <c r="H227" s="25" t="n"/>
      <c r="I227" s="11" t="n"/>
      <c r="J227" s="57" t="n"/>
      <c r="K227" s="12" t="n"/>
      <c r="L227" s="22" t="n"/>
      <c r="M227" s="13" t="n"/>
      <c r="N227" s="14">
        <f>ROUND(I227*(SUM(J227:M227))*68%,0)</f>
        <v/>
      </c>
      <c r="O227" s="61" t="n"/>
      <c r="P227" s="59" t="n"/>
      <c r="Q227" s="59" t="n"/>
      <c r="R227" s="58" t="n"/>
      <c r="S227" s="15">
        <f>I227*J227</f>
        <v/>
      </c>
      <c r="T227" s="15">
        <f>SUM(S227:S227)*68%</f>
        <v/>
      </c>
      <c r="U227" s="15">
        <f>I227*K227*40%*O227</f>
        <v/>
      </c>
      <c r="V227" s="15">
        <f>IF(P227&gt;=6750,(I227*K227*40%),0)</f>
        <v/>
      </c>
      <c r="W227" s="15">
        <f>IF(P227&lt;6750,0,IF(Q227="",0,IF(OR(Q227="KURANG",Q227="SANGAT KURANG"),I227*K227*10%,I227*K227*20%)))</f>
        <v/>
      </c>
      <c r="X227" s="15">
        <f>SUM(U227:W227)*68%</f>
        <v/>
      </c>
      <c r="Y227" s="15">
        <f>I227*L227</f>
        <v/>
      </c>
      <c r="Z227" s="15">
        <f>Y227 * 68%</f>
        <v/>
      </c>
      <c r="AA227" s="15">
        <f>I227*M227</f>
        <v/>
      </c>
      <c r="AB227" s="15">
        <f>AA227*68%</f>
        <v/>
      </c>
      <c r="AC227" s="16">
        <f>ROUND((T227+X227+Z227+AB227),0)</f>
        <v/>
      </c>
      <c r="AD227" s="16">
        <f>AG227</f>
        <v/>
      </c>
      <c r="AE227" s="16">
        <f>AI227</f>
        <v/>
      </c>
      <c r="AF227" s="16">
        <f>AC227+AD227+AE227</f>
        <v/>
      </c>
      <c r="AG227" s="16" t="n"/>
      <c r="AH227" s="17" t="n"/>
      <c r="AI227" s="17">
        <f>AH227*4</f>
        <v/>
      </c>
      <c r="AJ227" s="15">
        <f>AF227-AG227-AH227-AI227</f>
        <v/>
      </c>
      <c r="AK227" s="18" t="n">
        <v>220</v>
      </c>
      <c r="AL227" s="23" t="n"/>
    </row>
    <row r="228" ht="23.5" customHeight="1">
      <c r="A228" s="6" t="inlineStr">
        <is>
          <t>221</t>
        </is>
      </c>
      <c r="B228" s="24" t="n"/>
      <c r="C228" s="55" t="n"/>
      <c r="D228" s="19" t="n"/>
      <c r="E228" s="24" t="n"/>
      <c r="F228" s="25" t="n"/>
      <c r="G228" s="25" t="n"/>
      <c r="H228" s="25" t="n"/>
      <c r="I228" s="11" t="n"/>
      <c r="J228" s="57" t="n"/>
      <c r="K228" s="12" t="n"/>
      <c r="L228" s="22" t="n"/>
      <c r="M228" s="13" t="n"/>
      <c r="N228" s="14">
        <f>ROUND(I228*(SUM(J228:M228))*68%,0)</f>
        <v/>
      </c>
      <c r="O228" s="61" t="n"/>
      <c r="P228" s="59" t="n"/>
      <c r="Q228" s="59" t="n"/>
      <c r="R228" s="58" t="n"/>
      <c r="S228" s="15">
        <f>I228*J228</f>
        <v/>
      </c>
      <c r="T228" s="15">
        <f>SUM(S228:S228)*68%</f>
        <v/>
      </c>
      <c r="U228" s="15">
        <f>I228*K228*40%*O228</f>
        <v/>
      </c>
      <c r="V228" s="15">
        <f>IF(P228&gt;=6750,(I228*K228*40%),0)</f>
        <v/>
      </c>
      <c r="W228" s="15">
        <f>IF(P228&lt;6750,0,IF(Q228="",0,IF(OR(Q228="KURANG",Q228="SANGAT KURANG"),I228*K228*10%,I228*K228*20%)))</f>
        <v/>
      </c>
      <c r="X228" s="15">
        <f>SUM(U228:W228)*68%</f>
        <v/>
      </c>
      <c r="Y228" s="15">
        <f>I228*L228</f>
        <v/>
      </c>
      <c r="Z228" s="15">
        <f>Y228 * 68%</f>
        <v/>
      </c>
      <c r="AA228" s="15">
        <f>I228*M228</f>
        <v/>
      </c>
      <c r="AB228" s="15">
        <f>AA228*68%</f>
        <v/>
      </c>
      <c r="AC228" s="16">
        <f>ROUND((T228+X228+Z228+AB228),0)</f>
        <v/>
      </c>
      <c r="AD228" s="16">
        <f>AG228</f>
        <v/>
      </c>
      <c r="AE228" s="16">
        <f>AI228</f>
        <v/>
      </c>
      <c r="AF228" s="16">
        <f>AC228+AD228+AE228</f>
        <v/>
      </c>
      <c r="AG228" s="16" t="n"/>
      <c r="AH228" s="17" t="n"/>
      <c r="AI228" s="17">
        <f>AH228*4</f>
        <v/>
      </c>
      <c r="AJ228" s="15">
        <f>AF228-AG228-AH228-AI228</f>
        <v/>
      </c>
      <c r="AK228" s="18" t="n">
        <v>221</v>
      </c>
      <c r="AL228" s="40" t="n"/>
    </row>
    <row r="229" ht="23.5" customHeight="1">
      <c r="A229" s="6" t="inlineStr">
        <is>
          <t>222</t>
        </is>
      </c>
      <c r="B229" s="24" t="n"/>
      <c r="C229" s="55" t="n"/>
      <c r="D229" s="19" t="n"/>
      <c r="E229" s="24" t="n"/>
      <c r="F229" s="25" t="n"/>
      <c r="G229" s="25" t="n"/>
      <c r="H229" s="25" t="n"/>
      <c r="I229" s="11" t="n"/>
      <c r="J229" s="57" t="n"/>
      <c r="K229" s="12" t="n"/>
      <c r="L229" s="22" t="n"/>
      <c r="M229" s="13" t="n"/>
      <c r="N229" s="14">
        <f>ROUND(I229*(SUM(J229:M229))*68%,0)</f>
        <v/>
      </c>
      <c r="O229" s="61" t="n"/>
      <c r="P229" s="59" t="n"/>
      <c r="Q229" s="59" t="n"/>
      <c r="R229" s="58" t="n"/>
      <c r="S229" s="15">
        <f>I229*J229</f>
        <v/>
      </c>
      <c r="T229" s="15">
        <f>SUM(S229:S229)*68%</f>
        <v/>
      </c>
      <c r="U229" s="15">
        <f>I229*K229*40%*O229</f>
        <v/>
      </c>
      <c r="V229" s="15">
        <f>IF(P229&gt;=6750,(I229*K229*40%),0)</f>
        <v/>
      </c>
      <c r="W229" s="15">
        <f>IF(P229&lt;6750,0,IF(Q229="",0,IF(OR(Q229="KURANG",Q229="SANGAT KURANG"),I229*K229*10%,I229*K229*20%)))</f>
        <v/>
      </c>
      <c r="X229" s="15">
        <f>SUM(U229:W229)*68%</f>
        <v/>
      </c>
      <c r="Y229" s="15">
        <f>I229*L229</f>
        <v/>
      </c>
      <c r="Z229" s="15">
        <f>Y229 * 68%</f>
        <v/>
      </c>
      <c r="AA229" s="15">
        <f>I229*M229</f>
        <v/>
      </c>
      <c r="AB229" s="15">
        <f>AA229*68%</f>
        <v/>
      </c>
      <c r="AC229" s="16">
        <f>ROUND((T229+X229+Z229+AB229),0)</f>
        <v/>
      </c>
      <c r="AD229" s="16">
        <f>AG229</f>
        <v/>
      </c>
      <c r="AE229" s="16">
        <f>AI229</f>
        <v/>
      </c>
      <c r="AF229" s="16">
        <f>AC229+AD229+AE229</f>
        <v/>
      </c>
      <c r="AG229" s="16" t="n"/>
      <c r="AH229" s="17" t="n"/>
      <c r="AI229" s="17">
        <f>AH229*4</f>
        <v/>
      </c>
      <c r="AJ229" s="15">
        <f>AF229-AG229-AH229-AI229</f>
        <v/>
      </c>
      <c r="AK229" s="18" t="n">
        <v>222</v>
      </c>
      <c r="AL229" s="23" t="n"/>
    </row>
    <row r="230" ht="23.5" customHeight="1">
      <c r="A230" s="6" t="inlineStr">
        <is>
          <t>223</t>
        </is>
      </c>
      <c r="B230" s="24" t="n"/>
      <c r="C230" s="55" t="n"/>
      <c r="D230" s="19" t="n"/>
      <c r="E230" s="24" t="n"/>
      <c r="F230" s="25" t="n"/>
      <c r="G230" s="25" t="n"/>
      <c r="H230" s="25" t="n"/>
      <c r="I230" s="11" t="n"/>
      <c r="J230" s="57" t="n"/>
      <c r="K230" s="12" t="n"/>
      <c r="L230" s="22" t="n"/>
      <c r="M230" s="13" t="n"/>
      <c r="N230" s="14">
        <f>ROUND(I230*(SUM(J230:M230))*68%,0)</f>
        <v/>
      </c>
      <c r="O230" s="61" t="n"/>
      <c r="P230" s="59" t="n"/>
      <c r="Q230" s="59" t="n"/>
      <c r="R230" s="58" t="n"/>
      <c r="S230" s="15">
        <f>I230*J230</f>
        <v/>
      </c>
      <c r="T230" s="15">
        <f>SUM(S230:S230)*68%</f>
        <v/>
      </c>
      <c r="U230" s="15">
        <f>I230*K230*40%*O230</f>
        <v/>
      </c>
      <c r="V230" s="15">
        <f>IF(P230&gt;=6750,(I230*K230*40%),0)</f>
        <v/>
      </c>
      <c r="W230" s="15">
        <f>IF(P230&lt;6750,0,IF(Q230="",0,IF(OR(Q230="KURANG",Q230="SANGAT KURANG"),I230*K230*10%,I230*K230*20%)))</f>
        <v/>
      </c>
      <c r="X230" s="15">
        <f>SUM(U230:W230)*68%</f>
        <v/>
      </c>
      <c r="Y230" s="15">
        <f>I230*L230</f>
        <v/>
      </c>
      <c r="Z230" s="15">
        <f>Y230 * 68%</f>
        <v/>
      </c>
      <c r="AA230" s="15">
        <f>I230*M230</f>
        <v/>
      </c>
      <c r="AB230" s="15">
        <f>AA230*68%</f>
        <v/>
      </c>
      <c r="AC230" s="16">
        <f>ROUND((T230+X230+Z230+AB230),0)</f>
        <v/>
      </c>
      <c r="AD230" s="16">
        <f>AG230</f>
        <v/>
      </c>
      <c r="AE230" s="16">
        <f>AI230</f>
        <v/>
      </c>
      <c r="AF230" s="16">
        <f>AC230+AD230+AE230</f>
        <v/>
      </c>
      <c r="AG230" s="16" t="n"/>
      <c r="AH230" s="17" t="n"/>
      <c r="AI230" s="17">
        <f>AH230*4</f>
        <v/>
      </c>
      <c r="AJ230" s="15">
        <f>AF230-AG230-AH230-AI230</f>
        <v/>
      </c>
      <c r="AK230" s="18" t="n">
        <v>223</v>
      </c>
      <c r="AL230" s="23" t="n"/>
    </row>
    <row r="231" ht="23.5" customHeight="1">
      <c r="A231" s="6" t="inlineStr">
        <is>
          <t>224</t>
        </is>
      </c>
      <c r="B231" s="24" t="n"/>
      <c r="C231" s="55" t="n"/>
      <c r="D231" s="19" t="n"/>
      <c r="E231" s="24" t="n"/>
      <c r="F231" s="25" t="n"/>
      <c r="G231" s="25" t="n"/>
      <c r="H231" s="25" t="n"/>
      <c r="I231" s="11" t="n"/>
      <c r="J231" s="57" t="n"/>
      <c r="K231" s="12" t="n"/>
      <c r="L231" s="22" t="n"/>
      <c r="M231" s="13" t="n"/>
      <c r="N231" s="14">
        <f>ROUND(I231*(SUM(J231:M231))*68%,0)</f>
        <v/>
      </c>
      <c r="O231" s="61" t="n"/>
      <c r="P231" s="59" t="n"/>
      <c r="Q231" s="59" t="n"/>
      <c r="R231" s="58" t="n"/>
      <c r="S231" s="15">
        <f>I231*J231</f>
        <v/>
      </c>
      <c r="T231" s="15">
        <f>SUM(S231:S231)*68%</f>
        <v/>
      </c>
      <c r="U231" s="15">
        <f>I231*K231*40%*O231</f>
        <v/>
      </c>
      <c r="V231" s="15">
        <f>IF(P231&gt;=6750,(I231*K231*40%),0)</f>
        <v/>
      </c>
      <c r="W231" s="15">
        <f>IF(P231&lt;6750,0,IF(Q231="",0,IF(OR(Q231="KURANG",Q231="SANGAT KURANG"),I231*K231*10%,I231*K231*20%)))</f>
        <v/>
      </c>
      <c r="X231" s="15">
        <f>SUM(U231:W231)*68%</f>
        <v/>
      </c>
      <c r="Y231" s="15">
        <f>I231*L231</f>
        <v/>
      </c>
      <c r="Z231" s="15">
        <f>Y231 * 68%</f>
        <v/>
      </c>
      <c r="AA231" s="15">
        <f>I231*M231</f>
        <v/>
      </c>
      <c r="AB231" s="15">
        <f>AA231*68%</f>
        <v/>
      </c>
      <c r="AC231" s="16">
        <f>ROUND((T231+X231+Z231+AB231),0)</f>
        <v/>
      </c>
      <c r="AD231" s="16">
        <f>AG231</f>
        <v/>
      </c>
      <c r="AE231" s="16">
        <f>AI231</f>
        <v/>
      </c>
      <c r="AF231" s="16">
        <f>AC231+AD231+AE231</f>
        <v/>
      </c>
      <c r="AG231" s="16" t="n"/>
      <c r="AH231" s="17" t="n"/>
      <c r="AI231" s="17">
        <f>AH231*4</f>
        <v/>
      </c>
      <c r="AJ231" s="15">
        <f>AF231-AG231-AH231-AI231</f>
        <v/>
      </c>
      <c r="AK231" s="18" t="n">
        <v>224</v>
      </c>
      <c r="AL231" s="40" t="n"/>
    </row>
    <row r="232" ht="23.5" customHeight="1">
      <c r="A232" s="6" t="inlineStr">
        <is>
          <t>225</t>
        </is>
      </c>
      <c r="B232" s="24" t="n"/>
      <c r="C232" s="55" t="n"/>
      <c r="D232" s="19" t="n"/>
      <c r="E232" s="24" t="n"/>
      <c r="F232" s="25" t="n"/>
      <c r="G232" s="25" t="n"/>
      <c r="H232" s="25" t="n"/>
      <c r="I232" s="11" t="n"/>
      <c r="J232" s="57" t="n"/>
      <c r="K232" s="12" t="n"/>
      <c r="L232" s="22" t="n"/>
      <c r="M232" s="13" t="n"/>
      <c r="N232" s="14">
        <f>ROUND(I232*(SUM(J232:M232))*68%,0)</f>
        <v/>
      </c>
      <c r="O232" s="61" t="n"/>
      <c r="P232" s="59" t="n"/>
      <c r="Q232" s="59" t="n"/>
      <c r="R232" s="58" t="n"/>
      <c r="S232" s="15">
        <f>I232*J232</f>
        <v/>
      </c>
      <c r="T232" s="15">
        <f>SUM(S232:S232)*68%</f>
        <v/>
      </c>
      <c r="U232" s="15">
        <f>I232*K232*40%*O232</f>
        <v/>
      </c>
      <c r="V232" s="15">
        <f>IF(P232&gt;=6750,(I232*K232*40%),0)</f>
        <v/>
      </c>
      <c r="W232" s="15">
        <f>IF(P232&lt;6750,0,IF(Q232="",0,IF(OR(Q232="KURANG",Q232="SANGAT KURANG"),I232*K232*10%,I232*K232*20%)))</f>
        <v/>
      </c>
      <c r="X232" s="15">
        <f>SUM(U232:W232)*68%</f>
        <v/>
      </c>
      <c r="Y232" s="15">
        <f>I232*L232</f>
        <v/>
      </c>
      <c r="Z232" s="15">
        <f>Y232 * 68%</f>
        <v/>
      </c>
      <c r="AA232" s="15">
        <f>I232*M232</f>
        <v/>
      </c>
      <c r="AB232" s="15">
        <f>AA232*68%</f>
        <v/>
      </c>
      <c r="AC232" s="16">
        <f>ROUND((T232+X232+Z232+AB232),0)</f>
        <v/>
      </c>
      <c r="AD232" s="16">
        <f>AG232</f>
        <v/>
      </c>
      <c r="AE232" s="16">
        <f>AI232</f>
        <v/>
      </c>
      <c r="AF232" s="16">
        <f>AC232+AD232+AE232</f>
        <v/>
      </c>
      <c r="AG232" s="16" t="n"/>
      <c r="AH232" s="17" t="n"/>
      <c r="AI232" s="17">
        <f>AH232*4</f>
        <v/>
      </c>
      <c r="AJ232" s="15">
        <f>AF232-AG232-AH232-AI232</f>
        <v/>
      </c>
      <c r="AK232" s="18" t="n">
        <v>225</v>
      </c>
      <c r="AL232" s="23" t="n"/>
    </row>
    <row r="233" ht="23.5" customHeight="1">
      <c r="A233" s="6" t="inlineStr">
        <is>
          <t>226</t>
        </is>
      </c>
      <c r="B233" s="24" t="n"/>
      <c r="C233" s="55" t="n"/>
      <c r="D233" s="19" t="n"/>
      <c r="E233" s="24" t="n"/>
      <c r="F233" s="25" t="n"/>
      <c r="G233" s="25" t="n"/>
      <c r="H233" s="25" t="n"/>
      <c r="I233" s="11" t="n"/>
      <c r="J233" s="57" t="n"/>
      <c r="K233" s="12" t="n"/>
      <c r="L233" s="22" t="n"/>
      <c r="M233" s="13" t="n"/>
      <c r="N233" s="14">
        <f>ROUND(I233*(SUM(J233:M233))*68%,0)</f>
        <v/>
      </c>
      <c r="O233" s="61" t="n"/>
      <c r="P233" s="59" t="n"/>
      <c r="Q233" s="59" t="n"/>
      <c r="R233" s="58" t="n"/>
      <c r="S233" s="15">
        <f>I233*J233</f>
        <v/>
      </c>
      <c r="T233" s="15">
        <f>SUM(S233:S233)*68%</f>
        <v/>
      </c>
      <c r="U233" s="15">
        <f>I233*K233*40%*O233</f>
        <v/>
      </c>
      <c r="V233" s="15">
        <f>IF(P233&gt;=6750,(I233*K233*40%),0)</f>
        <v/>
      </c>
      <c r="W233" s="15">
        <f>IF(P233&lt;6750,0,IF(Q233="",0,IF(OR(Q233="KURANG",Q233="SANGAT KURANG"),I233*K233*10%,I233*K233*20%)))</f>
        <v/>
      </c>
      <c r="X233" s="15">
        <f>SUM(U233:W233)*68%</f>
        <v/>
      </c>
      <c r="Y233" s="15">
        <f>I233*L233</f>
        <v/>
      </c>
      <c r="Z233" s="15">
        <f>Y233 * 68%</f>
        <v/>
      </c>
      <c r="AA233" s="15">
        <f>I233*M233</f>
        <v/>
      </c>
      <c r="AB233" s="15">
        <f>AA233*68%</f>
        <v/>
      </c>
      <c r="AC233" s="16">
        <f>ROUND((T233+X233+Z233+AB233),0)</f>
        <v/>
      </c>
      <c r="AD233" s="16">
        <f>AG233</f>
        <v/>
      </c>
      <c r="AE233" s="16">
        <f>AI233</f>
        <v/>
      </c>
      <c r="AF233" s="16">
        <f>AC233+AD233+AE233</f>
        <v/>
      </c>
      <c r="AG233" s="16" t="n"/>
      <c r="AH233" s="17" t="n"/>
      <c r="AI233" s="17">
        <f>AH233*4</f>
        <v/>
      </c>
      <c r="AJ233" s="15">
        <f>AF233-AG233-AH233-AI233</f>
        <v/>
      </c>
      <c r="AK233" s="18" t="n">
        <v>226</v>
      </c>
      <c r="AL233" s="23" t="n"/>
    </row>
    <row r="234" ht="23.5" customHeight="1">
      <c r="A234" s="6" t="inlineStr">
        <is>
          <t>227</t>
        </is>
      </c>
      <c r="B234" s="24" t="n"/>
      <c r="C234" s="55" t="n"/>
      <c r="D234" s="19" t="n"/>
      <c r="E234" s="24" t="n"/>
      <c r="F234" s="25" t="n"/>
      <c r="G234" s="25" t="n"/>
      <c r="H234" s="25" t="n"/>
      <c r="I234" s="11" t="n"/>
      <c r="J234" s="57" t="n"/>
      <c r="K234" s="12" t="n"/>
      <c r="L234" s="22" t="n"/>
      <c r="M234" s="13" t="n"/>
      <c r="N234" s="14">
        <f>ROUND(I234*(SUM(J234:M234))*68%,0)</f>
        <v/>
      </c>
      <c r="O234" s="61" t="n"/>
      <c r="P234" s="59" t="n"/>
      <c r="Q234" s="59" t="n"/>
      <c r="R234" s="58" t="n"/>
      <c r="S234" s="15">
        <f>I234*J234</f>
        <v/>
      </c>
      <c r="T234" s="15">
        <f>SUM(S234:S234)*68%</f>
        <v/>
      </c>
      <c r="U234" s="15">
        <f>I234*K234*40%*O234</f>
        <v/>
      </c>
      <c r="V234" s="15">
        <f>IF(P234&gt;=6750,(I234*K234*40%),0)</f>
        <v/>
      </c>
      <c r="W234" s="15">
        <f>IF(P234&lt;6750,0,IF(Q234="",0,IF(OR(Q234="KURANG",Q234="SANGAT KURANG"),I234*K234*10%,I234*K234*20%)))</f>
        <v/>
      </c>
      <c r="X234" s="15">
        <f>SUM(U234:W234)*68%</f>
        <v/>
      </c>
      <c r="Y234" s="15">
        <f>I234*L234</f>
        <v/>
      </c>
      <c r="Z234" s="15">
        <f>Y234 * 68%</f>
        <v/>
      </c>
      <c r="AA234" s="15">
        <f>I234*M234</f>
        <v/>
      </c>
      <c r="AB234" s="15">
        <f>AA234*68%</f>
        <v/>
      </c>
      <c r="AC234" s="16">
        <f>ROUND((T234+X234+Z234+AB234),0)</f>
        <v/>
      </c>
      <c r="AD234" s="16">
        <f>AG234</f>
        <v/>
      </c>
      <c r="AE234" s="16">
        <f>AI234</f>
        <v/>
      </c>
      <c r="AF234" s="16">
        <f>AC234+AD234+AE234</f>
        <v/>
      </c>
      <c r="AG234" s="16" t="n"/>
      <c r="AH234" s="17" t="n"/>
      <c r="AI234" s="17">
        <f>AH234*4</f>
        <v/>
      </c>
      <c r="AJ234" s="15">
        <f>AF234-AG234-AH234-AI234</f>
        <v/>
      </c>
      <c r="AK234" s="18" t="n">
        <v>227</v>
      </c>
      <c r="AL234" s="40" t="n"/>
    </row>
    <row r="235" ht="23.5" customHeight="1">
      <c r="A235" s="6" t="inlineStr">
        <is>
          <t>228</t>
        </is>
      </c>
      <c r="B235" s="24" t="n"/>
      <c r="C235" s="55" t="n"/>
      <c r="D235" s="19" t="n"/>
      <c r="E235" s="24" t="n"/>
      <c r="F235" s="25" t="n"/>
      <c r="G235" s="10" t="n"/>
      <c r="H235" s="8" t="n"/>
      <c r="I235" s="11" t="n"/>
      <c r="J235" s="57" t="n"/>
      <c r="K235" s="12" t="n"/>
      <c r="L235" s="13" t="n"/>
      <c r="M235" s="13" t="n"/>
      <c r="N235" s="14">
        <f>ROUND(I235*(SUM(J235:M235))*68%,0)</f>
        <v/>
      </c>
      <c r="O235" s="61" t="n"/>
      <c r="P235" s="59" t="n"/>
      <c r="Q235" s="59" t="n"/>
      <c r="R235" s="58" t="n"/>
      <c r="S235" s="15">
        <f>I235*J235</f>
        <v/>
      </c>
      <c r="T235" s="15">
        <f>SUM(S235:S235)*68%</f>
        <v/>
      </c>
      <c r="U235" s="15">
        <f>I235*K235*40%*O235</f>
        <v/>
      </c>
      <c r="V235" s="15">
        <f>IF(P235&gt;=6750,(I235*K235*40%),0)</f>
        <v/>
      </c>
      <c r="W235" s="15">
        <f>IF(P235&lt;6750,0,IF(Q235="",0,IF(OR(Q235="KURANG",Q235="SANGAT KURANG"),I235*K235*10%,I235*K235*20%)))</f>
        <v/>
      </c>
      <c r="X235" s="15">
        <f>SUM(U235:W235)*68%</f>
        <v/>
      </c>
      <c r="Y235" s="15">
        <f>I235*L235</f>
        <v/>
      </c>
      <c r="Z235" s="15">
        <f>Y235 * 68%</f>
        <v/>
      </c>
      <c r="AA235" s="15">
        <f>I235*M235</f>
        <v/>
      </c>
      <c r="AB235" s="15">
        <f>AA235*68%</f>
        <v/>
      </c>
      <c r="AC235" s="16">
        <f>ROUND((T235+X235+Z235+AB235),0)</f>
        <v/>
      </c>
      <c r="AD235" s="16">
        <f>AG235</f>
        <v/>
      </c>
      <c r="AE235" s="16">
        <f>AI235</f>
        <v/>
      </c>
      <c r="AF235" s="16">
        <f>AC235+AD235+AE235</f>
        <v/>
      </c>
      <c r="AG235" s="16" t="n"/>
      <c r="AH235" s="17" t="n"/>
      <c r="AI235" s="17">
        <f>AH235*4</f>
        <v/>
      </c>
      <c r="AJ235" s="15">
        <f>AF235-AG235-AH235-AI235</f>
        <v/>
      </c>
      <c r="AK235" s="18" t="n">
        <v>228</v>
      </c>
      <c r="AL235" s="23" t="n"/>
    </row>
    <row r="236" ht="23.5" customHeight="1">
      <c r="A236" s="6" t="inlineStr">
        <is>
          <t>229</t>
        </is>
      </c>
      <c r="B236" s="24" t="n"/>
      <c r="C236" s="55" t="n"/>
      <c r="D236" s="19" t="n"/>
      <c r="E236" s="24" t="n"/>
      <c r="F236" s="25" t="n"/>
      <c r="G236" s="10" t="n"/>
      <c r="H236" s="8" t="n"/>
      <c r="I236" s="11" t="n"/>
      <c r="J236" s="57" t="n"/>
      <c r="K236" s="12" t="n"/>
      <c r="L236" s="22" t="n"/>
      <c r="M236" s="13" t="n"/>
      <c r="N236" s="14">
        <f>ROUND(I236*(SUM(J236:M236))*68%,0)</f>
        <v/>
      </c>
      <c r="O236" s="61" t="n"/>
      <c r="P236" s="59" t="n"/>
      <c r="Q236" s="59" t="n"/>
      <c r="R236" s="58" t="n"/>
      <c r="S236" s="15">
        <f>I236*J236</f>
        <v/>
      </c>
      <c r="T236" s="15">
        <f>SUM(S236:S236)*68%</f>
        <v/>
      </c>
      <c r="U236" s="15">
        <f>I236*K236*40%*O236</f>
        <v/>
      </c>
      <c r="V236" s="15">
        <f>IF(P236&gt;=6750,(I236*K236*40%),0)</f>
        <v/>
      </c>
      <c r="W236" s="15">
        <f>IF(P236&lt;6750,0,IF(Q236="",0,IF(OR(Q236="KURANG",Q236="SANGAT KURANG"),I236*K236*10%,I236*K236*20%)))</f>
        <v/>
      </c>
      <c r="X236" s="15">
        <f>SUM(U236:W236)*68%</f>
        <v/>
      </c>
      <c r="Y236" s="15">
        <f>I236*L236</f>
        <v/>
      </c>
      <c r="Z236" s="15">
        <f>Y236 * 68%</f>
        <v/>
      </c>
      <c r="AA236" s="15">
        <f>I236*M236</f>
        <v/>
      </c>
      <c r="AB236" s="15">
        <f>AA236*68%</f>
        <v/>
      </c>
      <c r="AC236" s="16">
        <f>ROUND((T236+X236+Z236+AB236),0)</f>
        <v/>
      </c>
      <c r="AD236" s="16">
        <f>AG236</f>
        <v/>
      </c>
      <c r="AE236" s="16">
        <f>AI236</f>
        <v/>
      </c>
      <c r="AF236" s="16">
        <f>AC236+AD236+AE236</f>
        <v/>
      </c>
      <c r="AG236" s="16" t="n"/>
      <c r="AH236" s="17" t="n"/>
      <c r="AI236" s="17">
        <f>AH236*4</f>
        <v/>
      </c>
      <c r="AJ236" s="15">
        <f>AF236-AG236-AH236-AI236</f>
        <v/>
      </c>
      <c r="AK236" s="18" t="n">
        <v>229</v>
      </c>
      <c r="AL236" s="23" t="n"/>
    </row>
    <row r="237" ht="23.5" customHeight="1">
      <c r="A237" s="6" t="inlineStr">
        <is>
          <t>230</t>
        </is>
      </c>
      <c r="B237" s="28" t="n"/>
      <c r="C237" s="55" t="n"/>
      <c r="D237" s="19" t="n"/>
      <c r="E237" s="24" t="n"/>
      <c r="F237" s="25" t="n"/>
      <c r="G237" s="10" t="n"/>
      <c r="H237" s="8" t="n"/>
      <c r="I237" s="11" t="n"/>
      <c r="J237" s="57" t="n"/>
      <c r="K237" s="12" t="n"/>
      <c r="L237" s="22" t="n"/>
      <c r="M237" s="13" t="n"/>
      <c r="N237" s="14">
        <f>ROUND(I237*(SUM(J237:M237))*68%,0)</f>
        <v/>
      </c>
      <c r="O237" s="61" t="n"/>
      <c r="P237" s="59" t="n"/>
      <c r="Q237" s="59" t="n"/>
      <c r="R237" s="58" t="n"/>
      <c r="S237" s="15">
        <f>I237*J237</f>
        <v/>
      </c>
      <c r="T237" s="15">
        <f>SUM(S237:S237)*68%</f>
        <v/>
      </c>
      <c r="U237" s="15">
        <f>I237*K237*40%*O237</f>
        <v/>
      </c>
      <c r="V237" s="15">
        <f>IF(P237&gt;=6750,(I237*K237*40%),0)</f>
        <v/>
      </c>
      <c r="W237" s="15">
        <f>IF(P237&lt;6750,0,IF(Q237="",0,IF(OR(Q237="KURANG",Q237="SANGAT KURANG"),I237*K237*10%,I237*K237*20%)))</f>
        <v/>
      </c>
      <c r="X237" s="15">
        <f>SUM(U237:W237)*68%</f>
        <v/>
      </c>
      <c r="Y237" s="15">
        <f>I237*L237</f>
        <v/>
      </c>
      <c r="Z237" s="15">
        <f>Y237 * 68%</f>
        <v/>
      </c>
      <c r="AA237" s="15">
        <f>I237*M237</f>
        <v/>
      </c>
      <c r="AB237" s="15">
        <f>AA237*68%</f>
        <v/>
      </c>
      <c r="AC237" s="16">
        <f>ROUND((T237+X237+Z237+AB237),0)</f>
        <v/>
      </c>
      <c r="AD237" s="16">
        <f>AG237</f>
        <v/>
      </c>
      <c r="AE237" s="16">
        <f>AI237</f>
        <v/>
      </c>
      <c r="AF237" s="16">
        <f>AC237+AD237+AE237</f>
        <v/>
      </c>
      <c r="AG237" s="16" t="n"/>
      <c r="AH237" s="17" t="n"/>
      <c r="AI237" s="17">
        <f>AH237*4</f>
        <v/>
      </c>
      <c r="AJ237" s="15">
        <f>AF237-AG237-AH237-AI237</f>
        <v/>
      </c>
      <c r="AK237" s="18" t="n">
        <v>230</v>
      </c>
      <c r="AL237" s="40" t="n"/>
    </row>
    <row r="238" ht="23.5" customHeight="1">
      <c r="A238" s="6" t="inlineStr">
        <is>
          <t>231</t>
        </is>
      </c>
      <c r="B238" s="24" t="n"/>
      <c r="C238" s="55" t="n"/>
      <c r="D238" s="19" t="n"/>
      <c r="E238" s="24" t="n"/>
      <c r="F238" s="25" t="n"/>
      <c r="G238" s="10" t="n"/>
      <c r="H238" s="8" t="n"/>
      <c r="I238" s="11" t="n"/>
      <c r="J238" s="57" t="n"/>
      <c r="K238" s="12" t="n"/>
      <c r="L238" s="22" t="n"/>
      <c r="M238" s="13" t="n"/>
      <c r="N238" s="14">
        <f>ROUND(I238*(SUM(J238:M238))*68%,0)</f>
        <v/>
      </c>
      <c r="O238" s="61" t="n"/>
      <c r="P238" s="59" t="n"/>
      <c r="Q238" s="59" t="n"/>
      <c r="R238" s="58" t="n"/>
      <c r="S238" s="15">
        <f>I238*J238</f>
        <v/>
      </c>
      <c r="T238" s="15">
        <f>SUM(S238:S238)*68%</f>
        <v/>
      </c>
      <c r="U238" s="15">
        <f>I238*K238*40%*O238</f>
        <v/>
      </c>
      <c r="V238" s="15">
        <f>IF(P238&gt;=6750,(I238*K238*40%),0)</f>
        <v/>
      </c>
      <c r="W238" s="15">
        <f>IF(P238&lt;6750,0,IF(Q238="",0,IF(OR(Q238="KURANG",Q238="SANGAT KURANG"),I238*K238*10%,I238*K238*20%)))</f>
        <v/>
      </c>
      <c r="X238" s="15">
        <f>SUM(U238:W238)*68%</f>
        <v/>
      </c>
      <c r="Y238" s="15">
        <f>I238*L238</f>
        <v/>
      </c>
      <c r="Z238" s="15">
        <f>Y238 * 68%</f>
        <v/>
      </c>
      <c r="AA238" s="15">
        <f>I238*M238</f>
        <v/>
      </c>
      <c r="AB238" s="15">
        <f>AA238*68%</f>
        <v/>
      </c>
      <c r="AC238" s="16">
        <f>ROUND((T238+X238+Z238+AB238),0)</f>
        <v/>
      </c>
      <c r="AD238" s="16">
        <f>AG238</f>
        <v/>
      </c>
      <c r="AE238" s="16">
        <f>AI238</f>
        <v/>
      </c>
      <c r="AF238" s="16">
        <f>AC238+AD238+AE238</f>
        <v/>
      </c>
      <c r="AG238" s="16" t="n"/>
      <c r="AH238" s="17" t="n"/>
      <c r="AI238" s="17">
        <f>AH238*4</f>
        <v/>
      </c>
      <c r="AJ238" s="15">
        <f>AF238-AG238-AH238-AI238</f>
        <v/>
      </c>
      <c r="AK238" s="18" t="n">
        <v>231</v>
      </c>
      <c r="AL238" s="23" t="n"/>
    </row>
    <row r="239" ht="23.5" customHeight="1">
      <c r="A239" s="6" t="inlineStr">
        <is>
          <t>232</t>
        </is>
      </c>
      <c r="B239" s="24" t="n"/>
      <c r="C239" s="55" t="n"/>
      <c r="D239" s="19" t="n"/>
      <c r="E239" s="24" t="n"/>
      <c r="F239" s="25" t="n"/>
      <c r="G239" s="10" t="n"/>
      <c r="H239" s="8" t="n"/>
      <c r="I239" s="11" t="n"/>
      <c r="J239" s="57" t="n"/>
      <c r="K239" s="12" t="n"/>
      <c r="L239" s="22" t="n"/>
      <c r="M239" s="13" t="n"/>
      <c r="N239" s="14">
        <f>ROUND(I239*(SUM(J239:M239))*68%,0)</f>
        <v/>
      </c>
      <c r="O239" s="61" t="n"/>
      <c r="P239" s="59" t="n"/>
      <c r="Q239" s="59" t="n"/>
      <c r="R239" s="58" t="n"/>
      <c r="S239" s="15">
        <f>I239*J239</f>
        <v/>
      </c>
      <c r="T239" s="15">
        <f>SUM(S239:S239)*68%</f>
        <v/>
      </c>
      <c r="U239" s="15">
        <f>I239*K239*40%*O239</f>
        <v/>
      </c>
      <c r="V239" s="15">
        <f>IF(P239&gt;=6750,(I239*K239*40%),0)</f>
        <v/>
      </c>
      <c r="W239" s="15">
        <f>IF(P239&lt;6750,0,IF(Q239="",0,IF(OR(Q239="KURANG",Q239="SANGAT KURANG"),I239*K239*10%,I239*K239*20%)))</f>
        <v/>
      </c>
      <c r="X239" s="15">
        <f>SUM(U239:W239)*68%</f>
        <v/>
      </c>
      <c r="Y239" s="15">
        <f>I239*L239</f>
        <v/>
      </c>
      <c r="Z239" s="15">
        <f>Y239 * 68%</f>
        <v/>
      </c>
      <c r="AA239" s="15">
        <f>I239*M239</f>
        <v/>
      </c>
      <c r="AB239" s="15">
        <f>AA239*68%</f>
        <v/>
      </c>
      <c r="AC239" s="16">
        <f>ROUND((T239+X239+Z239+AB239),0)</f>
        <v/>
      </c>
      <c r="AD239" s="16">
        <f>AG239</f>
        <v/>
      </c>
      <c r="AE239" s="16">
        <f>AI239</f>
        <v/>
      </c>
      <c r="AF239" s="16">
        <f>AC239+AD239+AE239</f>
        <v/>
      </c>
      <c r="AG239" s="16" t="n"/>
      <c r="AH239" s="17" t="n"/>
      <c r="AI239" s="17">
        <f>AH239*4</f>
        <v/>
      </c>
      <c r="AJ239" s="15">
        <f>AF239-AG239-AH239-AI239</f>
        <v/>
      </c>
      <c r="AK239" s="18" t="n">
        <v>232</v>
      </c>
      <c r="AL239" s="23" t="n"/>
    </row>
    <row r="240" ht="23.5" customHeight="1">
      <c r="A240" s="6" t="inlineStr">
        <is>
          <t>233</t>
        </is>
      </c>
      <c r="B240" s="24" t="n"/>
      <c r="C240" s="55" t="n"/>
      <c r="D240" s="19" t="n"/>
      <c r="E240" s="24" t="n"/>
      <c r="F240" s="25" t="n"/>
      <c r="G240" s="10" t="n"/>
      <c r="H240" s="8" t="n"/>
      <c r="I240" s="11" t="n"/>
      <c r="J240" s="57" t="n"/>
      <c r="K240" s="12" t="n"/>
      <c r="L240" s="22" t="n"/>
      <c r="M240" s="13" t="n"/>
      <c r="N240" s="14">
        <f>ROUND(I240*(SUM(J240:M240))*68%,0)</f>
        <v/>
      </c>
      <c r="O240" s="61" t="n"/>
      <c r="P240" s="59" t="n"/>
      <c r="Q240" s="59" t="n"/>
      <c r="R240" s="58" t="n"/>
      <c r="S240" s="15">
        <f>I240*J240</f>
        <v/>
      </c>
      <c r="T240" s="15">
        <f>SUM(S240:S240)*68%</f>
        <v/>
      </c>
      <c r="U240" s="15">
        <f>I240*K240*40%*O240</f>
        <v/>
      </c>
      <c r="V240" s="15">
        <f>IF(P240&gt;=6750,(I240*K240*40%),0)</f>
        <v/>
      </c>
      <c r="W240" s="15">
        <f>IF(P240&lt;6750,0,IF(Q240="",0,IF(OR(Q240="KURANG",Q240="SANGAT KURANG"),I240*K240*10%,I240*K240*20%)))</f>
        <v/>
      </c>
      <c r="X240" s="15">
        <f>SUM(U240:W240)*68%</f>
        <v/>
      </c>
      <c r="Y240" s="15">
        <f>I240*L240</f>
        <v/>
      </c>
      <c r="Z240" s="15">
        <f>Y240 * 68%</f>
        <v/>
      </c>
      <c r="AA240" s="15">
        <f>I240*M240</f>
        <v/>
      </c>
      <c r="AB240" s="15">
        <f>AA240*68%</f>
        <v/>
      </c>
      <c r="AC240" s="16">
        <f>ROUND((T240+X240+Z240+AB240),0)</f>
        <v/>
      </c>
      <c r="AD240" s="16">
        <f>AG240</f>
        <v/>
      </c>
      <c r="AE240" s="16">
        <f>AI240</f>
        <v/>
      </c>
      <c r="AF240" s="16">
        <f>AC240+AD240+AE240</f>
        <v/>
      </c>
      <c r="AG240" s="16" t="n"/>
      <c r="AH240" s="17" t="n"/>
      <c r="AI240" s="17">
        <f>AH240*4</f>
        <v/>
      </c>
      <c r="AJ240" s="15">
        <f>AF240-AG240-AH240-AI240</f>
        <v/>
      </c>
      <c r="AK240" s="18" t="n">
        <v>233</v>
      </c>
      <c r="AL240" s="40" t="n"/>
    </row>
    <row r="241" ht="23.5" customHeight="1">
      <c r="A241" s="6" t="inlineStr">
        <is>
          <t>234</t>
        </is>
      </c>
      <c r="B241" s="24" t="n"/>
      <c r="C241" s="55" t="n"/>
      <c r="D241" s="19" t="n"/>
      <c r="E241" s="24" t="n"/>
      <c r="F241" s="25" t="n"/>
      <c r="G241" s="10" t="n"/>
      <c r="H241" s="8" t="n"/>
      <c r="I241" s="11" t="n"/>
      <c r="J241" s="57" t="n"/>
      <c r="K241" s="12" t="n"/>
      <c r="L241" s="22" t="n"/>
      <c r="M241" s="13" t="n"/>
      <c r="N241" s="14">
        <f>ROUND(I241*(SUM(J241:M241))*68%,0)</f>
        <v/>
      </c>
      <c r="O241" s="61" t="n"/>
      <c r="P241" s="59" t="n"/>
      <c r="Q241" s="59" t="n"/>
      <c r="R241" s="58" t="n"/>
      <c r="S241" s="15">
        <f>I241*J241</f>
        <v/>
      </c>
      <c r="T241" s="15">
        <f>SUM(S241:S241)*68%</f>
        <v/>
      </c>
      <c r="U241" s="15">
        <f>I241*K241*40%*O241</f>
        <v/>
      </c>
      <c r="V241" s="15">
        <f>IF(P241&gt;=6750,(I241*K241*40%),0)</f>
        <v/>
      </c>
      <c r="W241" s="15">
        <f>IF(P241&lt;6750,0,IF(Q241="",0,IF(OR(Q241="KURANG",Q241="SANGAT KURANG"),I241*K241*10%,I241*K241*20%)))</f>
        <v/>
      </c>
      <c r="X241" s="15">
        <f>SUM(U241:W241)*68%</f>
        <v/>
      </c>
      <c r="Y241" s="15">
        <f>I241*L241</f>
        <v/>
      </c>
      <c r="Z241" s="15">
        <f>Y241 * 68%</f>
        <v/>
      </c>
      <c r="AA241" s="15">
        <f>I241*M241</f>
        <v/>
      </c>
      <c r="AB241" s="15">
        <f>AA241*68%</f>
        <v/>
      </c>
      <c r="AC241" s="16">
        <f>ROUND((T241+X241+Z241+AB241),0)</f>
        <v/>
      </c>
      <c r="AD241" s="16">
        <f>AG241</f>
        <v/>
      </c>
      <c r="AE241" s="16">
        <f>AI241</f>
        <v/>
      </c>
      <c r="AF241" s="16">
        <f>AC241+AD241+AE241</f>
        <v/>
      </c>
      <c r="AG241" s="16" t="n"/>
      <c r="AH241" s="17" t="n"/>
      <c r="AI241" s="17">
        <f>AH241*4</f>
        <v/>
      </c>
      <c r="AJ241" s="15">
        <f>AF241-AG241-AH241-AI241</f>
        <v/>
      </c>
      <c r="AK241" s="18" t="n">
        <v>234</v>
      </c>
      <c r="AL241" s="23" t="n"/>
    </row>
    <row r="242" ht="23.5" customHeight="1">
      <c r="A242" s="6" t="inlineStr">
        <is>
          <t>235</t>
        </is>
      </c>
      <c r="B242" s="24" t="n"/>
      <c r="C242" s="55" t="n"/>
      <c r="D242" s="19" t="n"/>
      <c r="E242" s="24" t="n"/>
      <c r="F242" s="25" t="n"/>
      <c r="G242" s="10" t="n"/>
      <c r="H242" s="8" t="n"/>
      <c r="I242" s="11" t="n"/>
      <c r="J242" s="57" t="n"/>
      <c r="K242" s="12" t="n"/>
      <c r="L242" s="22" t="n"/>
      <c r="M242" s="13" t="n"/>
      <c r="N242" s="14">
        <f>ROUND(I242*(SUM(J242:M242))*68%,0)</f>
        <v/>
      </c>
      <c r="O242" s="61" t="n"/>
      <c r="P242" s="59" t="n"/>
      <c r="Q242" s="59" t="n"/>
      <c r="R242" s="58" t="n"/>
      <c r="S242" s="15">
        <f>I242*J242</f>
        <v/>
      </c>
      <c r="T242" s="15">
        <f>SUM(S242:S242)*68%</f>
        <v/>
      </c>
      <c r="U242" s="15">
        <f>I242*K242*40%*O242</f>
        <v/>
      </c>
      <c r="V242" s="15">
        <f>IF(P242&gt;=6750,(I242*K242*40%),0)</f>
        <v/>
      </c>
      <c r="W242" s="15">
        <f>IF(P242&lt;6750,0,IF(Q242="",0,IF(OR(Q242="KURANG",Q242="SANGAT KURANG"),I242*K242*10%,I242*K242*20%)))</f>
        <v/>
      </c>
      <c r="X242" s="15">
        <f>SUM(U242:W242)*68%</f>
        <v/>
      </c>
      <c r="Y242" s="15">
        <f>I242*L242</f>
        <v/>
      </c>
      <c r="Z242" s="15">
        <f>Y242 * 68%</f>
        <v/>
      </c>
      <c r="AA242" s="15">
        <f>I242*M242</f>
        <v/>
      </c>
      <c r="AB242" s="15">
        <f>AA242*68%</f>
        <v/>
      </c>
      <c r="AC242" s="16">
        <f>ROUND((T242+X242+Z242+AB242),0)</f>
        <v/>
      </c>
      <c r="AD242" s="16">
        <f>AG242</f>
        <v/>
      </c>
      <c r="AE242" s="16">
        <f>AI242</f>
        <v/>
      </c>
      <c r="AF242" s="16">
        <f>AC242+AD242+AE242</f>
        <v/>
      </c>
      <c r="AG242" s="16" t="n"/>
      <c r="AH242" s="17" t="n"/>
      <c r="AI242" s="17">
        <f>AH242*4</f>
        <v/>
      </c>
      <c r="AJ242" s="15">
        <f>AF242-AG242-AH242-AI242</f>
        <v/>
      </c>
      <c r="AK242" s="18" t="n">
        <v>235</v>
      </c>
      <c r="AL242" s="23" t="n"/>
    </row>
    <row r="243" ht="23.5" customHeight="1">
      <c r="A243" s="6" t="inlineStr">
        <is>
          <t>236</t>
        </is>
      </c>
      <c r="B243" s="28" t="n"/>
      <c r="C243" s="55" t="n"/>
      <c r="D243" s="19" t="n"/>
      <c r="E243" s="24" t="n"/>
      <c r="F243" s="25" t="n"/>
      <c r="G243" s="10" t="n"/>
      <c r="H243" s="8" t="n"/>
      <c r="I243" s="11" t="n"/>
      <c r="J243" s="57" t="n"/>
      <c r="K243" s="12" t="n"/>
      <c r="L243" s="22" t="n"/>
      <c r="M243" s="13" t="n"/>
      <c r="N243" s="14">
        <f>ROUND(I243*(SUM(J243:M243))*68%,0)</f>
        <v/>
      </c>
      <c r="O243" s="61" t="n"/>
      <c r="P243" s="59" t="n"/>
      <c r="Q243" s="59" t="n"/>
      <c r="R243" s="58" t="n"/>
      <c r="S243" s="15">
        <f>I243*J243</f>
        <v/>
      </c>
      <c r="T243" s="15">
        <f>SUM(S243:S243)*68%</f>
        <v/>
      </c>
      <c r="U243" s="15">
        <f>I243*K243*40%*O243</f>
        <v/>
      </c>
      <c r="V243" s="15">
        <f>IF(P243&gt;=6750,(I243*K243*40%),0)</f>
        <v/>
      </c>
      <c r="W243" s="15">
        <f>IF(P243&lt;6750,0,IF(Q243="",0,IF(OR(Q243="KURANG",Q243="SANGAT KURANG"),I243*K243*10%,I243*K243*20%)))</f>
        <v/>
      </c>
      <c r="X243" s="15">
        <f>SUM(U243:W243)*68%</f>
        <v/>
      </c>
      <c r="Y243" s="15">
        <f>I243*L243</f>
        <v/>
      </c>
      <c r="Z243" s="15">
        <f>Y243 * 68%</f>
        <v/>
      </c>
      <c r="AA243" s="15">
        <f>I243*M243</f>
        <v/>
      </c>
      <c r="AB243" s="15">
        <f>AA243*68%</f>
        <v/>
      </c>
      <c r="AC243" s="16">
        <f>ROUND((T243+X243+Z243+AB243),0)</f>
        <v/>
      </c>
      <c r="AD243" s="16">
        <f>AG243</f>
        <v/>
      </c>
      <c r="AE243" s="16">
        <f>AI243</f>
        <v/>
      </c>
      <c r="AF243" s="16">
        <f>AC243+AD243+AE243</f>
        <v/>
      </c>
      <c r="AG243" s="16" t="n"/>
      <c r="AH243" s="17" t="n"/>
      <c r="AI243" s="17">
        <f>AH243*4</f>
        <v/>
      </c>
      <c r="AJ243" s="15">
        <f>AF243-AG243-AH243-AI243</f>
        <v/>
      </c>
      <c r="AK243" s="18" t="n">
        <v>236</v>
      </c>
      <c r="AL243" s="40" t="n"/>
    </row>
    <row r="244" ht="23.5" customHeight="1">
      <c r="A244" s="6" t="inlineStr">
        <is>
          <t>237</t>
        </is>
      </c>
      <c r="B244" s="30" t="n"/>
      <c r="C244" s="55" t="n"/>
      <c r="D244" s="29" t="n"/>
      <c r="E244" s="30" t="n"/>
      <c r="F244" s="31" t="n"/>
      <c r="G244" s="32" t="n"/>
      <c r="H244" s="33" t="n"/>
      <c r="I244" s="11" t="n"/>
      <c r="J244" s="57" t="n"/>
      <c r="K244" s="12" t="n"/>
      <c r="L244" s="22" t="n"/>
      <c r="M244" s="13" t="n"/>
      <c r="N244" s="14">
        <f>ROUND(I244*(SUM(J244:M244))*68%,0)</f>
        <v/>
      </c>
      <c r="O244" s="61" t="n"/>
      <c r="P244" s="59" t="n"/>
      <c r="Q244" s="59" t="n"/>
      <c r="R244" s="58" t="n"/>
      <c r="S244" s="15">
        <f>I244*J244</f>
        <v/>
      </c>
      <c r="T244" s="15">
        <f>SUM(S244:S244)*68%</f>
        <v/>
      </c>
      <c r="U244" s="15">
        <f>I244*K244*40%*O244</f>
        <v/>
      </c>
      <c r="V244" s="15">
        <f>IF(P244&gt;=6750,(I244*K244*40%),0)</f>
        <v/>
      </c>
      <c r="W244" s="15">
        <f>IF(P244&lt;6750,0,IF(Q244="",0,IF(OR(Q244="KURANG",Q244="SANGAT KURANG"),I244*K244*10%,I244*K244*20%)))</f>
        <v/>
      </c>
      <c r="X244" s="15">
        <f>SUM(U244:W244)*68%</f>
        <v/>
      </c>
      <c r="Y244" s="15">
        <f>I244*L244</f>
        <v/>
      </c>
      <c r="Z244" s="15">
        <f>Y244 * 68%</f>
        <v/>
      </c>
      <c r="AA244" s="15">
        <f>I244*M244</f>
        <v/>
      </c>
      <c r="AB244" s="15">
        <f>AA244*68%</f>
        <v/>
      </c>
      <c r="AC244" s="16">
        <f>ROUND((T244+X244+Z244+AB244),0)</f>
        <v/>
      </c>
      <c r="AD244" s="16">
        <f>AG244</f>
        <v/>
      </c>
      <c r="AE244" s="16">
        <f>AI244</f>
        <v/>
      </c>
      <c r="AF244" s="16">
        <f>AC244+AD244+AE244</f>
        <v/>
      </c>
      <c r="AG244" s="16" t="n"/>
      <c r="AH244" s="17" t="n"/>
      <c r="AI244" s="17">
        <f>AH244*4</f>
        <v/>
      </c>
      <c r="AJ244" s="15">
        <f>AF244-AG244-AH244-AI244</f>
        <v/>
      </c>
      <c r="AK244" s="18" t="n">
        <v>237</v>
      </c>
      <c r="AL244" s="23" t="n"/>
    </row>
    <row r="245" ht="23.5" customHeight="1">
      <c r="A245" s="6" t="inlineStr">
        <is>
          <t>238</t>
        </is>
      </c>
      <c r="B245" s="24" t="n"/>
      <c r="C245" s="55" t="n"/>
      <c r="D245" s="19" t="n"/>
      <c r="E245" s="24" t="n"/>
      <c r="F245" s="25" t="n"/>
      <c r="G245" s="25" t="n"/>
      <c r="H245" s="24" t="n"/>
      <c r="I245" s="11" t="n"/>
      <c r="J245" s="57" t="n"/>
      <c r="K245" s="12" t="n"/>
      <c r="L245" s="22" t="n"/>
      <c r="M245" s="13" t="n"/>
      <c r="N245" s="14">
        <f>ROUND(I245*(SUM(J245:M245))*68%,0)</f>
        <v/>
      </c>
      <c r="O245" s="61" t="n"/>
      <c r="P245" s="59" t="n"/>
      <c r="Q245" s="59" t="n"/>
      <c r="R245" s="58" t="n"/>
      <c r="S245" s="15">
        <f>I245*J245</f>
        <v/>
      </c>
      <c r="T245" s="15">
        <f>SUM(S245:S245)*68%</f>
        <v/>
      </c>
      <c r="U245" s="15">
        <f>I245*K245*40%*O245</f>
        <v/>
      </c>
      <c r="V245" s="15">
        <f>IF(P245&gt;=6750,(I245*K245*40%),0)</f>
        <v/>
      </c>
      <c r="W245" s="15">
        <f>IF(P245&lt;6750,0,IF(Q245="",0,IF(OR(Q245="KURANG",Q245="SANGAT KURANG"),I245*K245*10%,I245*K245*20%)))</f>
        <v/>
      </c>
      <c r="X245" s="15">
        <f>SUM(U245:W245)*68%</f>
        <v/>
      </c>
      <c r="Y245" s="15">
        <f>I245*L245</f>
        <v/>
      </c>
      <c r="Z245" s="15">
        <f>Y245 * 68%</f>
        <v/>
      </c>
      <c r="AA245" s="15">
        <f>I245*M245</f>
        <v/>
      </c>
      <c r="AB245" s="15">
        <f>AA245*68%</f>
        <v/>
      </c>
      <c r="AC245" s="16">
        <f>ROUND((T245+X245+Z245+AB245),0)</f>
        <v/>
      </c>
      <c r="AD245" s="16">
        <f>AG245</f>
        <v/>
      </c>
      <c r="AE245" s="16">
        <f>AI245</f>
        <v/>
      </c>
      <c r="AF245" s="16">
        <f>AC245+AD245+AE245</f>
        <v/>
      </c>
      <c r="AG245" s="16" t="n"/>
      <c r="AH245" s="17" t="n"/>
      <c r="AI245" s="17">
        <f>AH245*4</f>
        <v/>
      </c>
      <c r="AJ245" s="15">
        <f>AF245-AG245-AH245-AI245</f>
        <v/>
      </c>
      <c r="AK245" s="18" t="n">
        <v>238</v>
      </c>
      <c r="AL245" s="23" t="n"/>
    </row>
    <row r="246" ht="23.5" customHeight="1">
      <c r="A246" s="6" t="inlineStr">
        <is>
          <t>239</t>
        </is>
      </c>
      <c r="B246" s="24" t="n"/>
      <c r="C246" s="55" t="n"/>
      <c r="D246" s="19" t="n"/>
      <c r="E246" s="24" t="n"/>
      <c r="F246" s="25" t="n"/>
      <c r="G246" s="25" t="n"/>
      <c r="H246" s="24" t="n"/>
      <c r="I246" s="11" t="n"/>
      <c r="J246" s="57" t="n"/>
      <c r="K246" s="12" t="n"/>
      <c r="L246" s="22" t="n"/>
      <c r="M246" s="13" t="n"/>
      <c r="N246" s="14">
        <f>ROUND(I246*(SUM(J246:M246))*68%,0)</f>
        <v/>
      </c>
      <c r="O246" s="61" t="n"/>
      <c r="P246" s="59" t="n"/>
      <c r="Q246" s="59" t="n"/>
      <c r="R246" s="58" t="n"/>
      <c r="S246" s="15">
        <f>I246*J246</f>
        <v/>
      </c>
      <c r="T246" s="15">
        <f>SUM(S246:S246)*68%</f>
        <v/>
      </c>
      <c r="U246" s="15">
        <f>I246*K246*40%*O246</f>
        <v/>
      </c>
      <c r="V246" s="15">
        <f>IF(P246&gt;=6750,(I246*K246*40%),0)</f>
        <v/>
      </c>
      <c r="W246" s="15">
        <f>IF(P246&lt;6750,0,IF(Q246="",0,IF(OR(Q246="KURANG",Q246="SANGAT KURANG"),I246*K246*10%,I246*K246*20%)))</f>
        <v/>
      </c>
      <c r="X246" s="15">
        <f>SUM(U246:W246)*68%</f>
        <v/>
      </c>
      <c r="Y246" s="15">
        <f>I246*L246</f>
        <v/>
      </c>
      <c r="Z246" s="15">
        <f>Y246 * 68%</f>
        <v/>
      </c>
      <c r="AA246" s="15">
        <f>I246*M246</f>
        <v/>
      </c>
      <c r="AB246" s="15">
        <f>AA246*68%</f>
        <v/>
      </c>
      <c r="AC246" s="16">
        <f>ROUND((T246+X246+Z246+AB246),0)</f>
        <v/>
      </c>
      <c r="AD246" s="16">
        <f>AG246</f>
        <v/>
      </c>
      <c r="AE246" s="16">
        <f>AI246</f>
        <v/>
      </c>
      <c r="AF246" s="16">
        <f>AC246+AD246+AE246</f>
        <v/>
      </c>
      <c r="AG246" s="16" t="n"/>
      <c r="AH246" s="17" t="n"/>
      <c r="AI246" s="17">
        <f>AH246*4</f>
        <v/>
      </c>
      <c r="AJ246" s="15">
        <f>AF246-AG246-AH246-AI246</f>
        <v/>
      </c>
      <c r="AK246" s="18" t="n">
        <v>239</v>
      </c>
      <c r="AL246" s="40" t="n"/>
    </row>
    <row r="247" ht="23.5" customHeight="1">
      <c r="A247" s="6" t="inlineStr">
        <is>
          <t>240</t>
        </is>
      </c>
      <c r="B247" s="24" t="n"/>
      <c r="C247" s="55" t="n"/>
      <c r="D247" s="19" t="n"/>
      <c r="E247" s="24" t="n"/>
      <c r="F247" s="25" t="n"/>
      <c r="G247" s="25" t="n"/>
      <c r="H247" s="24" t="n"/>
      <c r="I247" s="11" t="n"/>
      <c r="J247" s="57" t="n"/>
      <c r="K247" s="12" t="n"/>
      <c r="L247" s="22" t="n"/>
      <c r="M247" s="13" t="n"/>
      <c r="N247" s="14">
        <f>ROUND(I247*(SUM(J247:M247))*68%,0)</f>
        <v/>
      </c>
      <c r="O247" s="61" t="n"/>
      <c r="P247" s="59" t="n"/>
      <c r="Q247" s="59" t="n"/>
      <c r="R247" s="58" t="n"/>
      <c r="S247" s="15">
        <f>I247*J247</f>
        <v/>
      </c>
      <c r="T247" s="15">
        <f>SUM(S247:S247)*68%</f>
        <v/>
      </c>
      <c r="U247" s="15">
        <f>I247*K247*40%*O247</f>
        <v/>
      </c>
      <c r="V247" s="15">
        <f>IF(P247&gt;=6750,(I247*K247*40%),0)</f>
        <v/>
      </c>
      <c r="W247" s="15">
        <f>IF(P247&lt;6750,0,IF(Q247="",0,IF(OR(Q247="KURANG",Q247="SANGAT KURANG"),I247*K247*10%,I247*K247*20%)))</f>
        <v/>
      </c>
      <c r="X247" s="15">
        <f>SUM(U247:W247)*68%</f>
        <v/>
      </c>
      <c r="Y247" s="15">
        <f>I247*L247</f>
        <v/>
      </c>
      <c r="Z247" s="15">
        <f>Y247 * 68%</f>
        <v/>
      </c>
      <c r="AA247" s="15">
        <f>I247*M247</f>
        <v/>
      </c>
      <c r="AB247" s="15">
        <f>AA247*68%</f>
        <v/>
      </c>
      <c r="AC247" s="16">
        <f>ROUND((T247+X247+Z247+AB247),0)</f>
        <v/>
      </c>
      <c r="AD247" s="16">
        <f>AG247</f>
        <v/>
      </c>
      <c r="AE247" s="16">
        <f>AI247</f>
        <v/>
      </c>
      <c r="AF247" s="16">
        <f>AC247+AD247+AE247</f>
        <v/>
      </c>
      <c r="AG247" s="16" t="n"/>
      <c r="AH247" s="17" t="n"/>
      <c r="AI247" s="17">
        <f>AH247*4</f>
        <v/>
      </c>
      <c r="AJ247" s="15">
        <f>AF247-AG247-AH247-AI247</f>
        <v/>
      </c>
      <c r="AK247" s="18" t="n">
        <v>240</v>
      </c>
      <c r="AL247" s="23" t="n"/>
    </row>
    <row r="248" ht="23.5" customHeight="1">
      <c r="A248" s="6" t="inlineStr">
        <is>
          <t>241</t>
        </is>
      </c>
      <c r="B248" s="28" t="n"/>
      <c r="C248" s="55" t="n"/>
      <c r="D248" s="19" t="n"/>
      <c r="E248" s="24" t="n"/>
      <c r="F248" s="25" t="n"/>
      <c r="G248" s="25" t="n"/>
      <c r="H248" s="25" t="n"/>
      <c r="I248" s="11" t="n"/>
      <c r="J248" s="57" t="n"/>
      <c r="K248" s="12" t="n"/>
      <c r="L248" s="22" t="n"/>
      <c r="M248" s="13" t="n"/>
      <c r="N248" s="14">
        <f>ROUND(I248*(SUM(J248:M248))*68%,0)</f>
        <v/>
      </c>
      <c r="O248" s="61" t="n"/>
      <c r="P248" s="59" t="n"/>
      <c r="Q248" s="59" t="n"/>
      <c r="R248" s="58" t="n"/>
      <c r="S248" s="15">
        <f>I248*J248</f>
        <v/>
      </c>
      <c r="T248" s="15">
        <f>SUM(S248:S248)*68%</f>
        <v/>
      </c>
      <c r="U248" s="15">
        <f>I248*K248*40%*O248</f>
        <v/>
      </c>
      <c r="V248" s="15">
        <f>IF(P248&gt;=6750,(I248*K248*40%),0)</f>
        <v/>
      </c>
      <c r="W248" s="15">
        <f>IF(P248&lt;6750,0,IF(Q248="",0,IF(OR(Q248="KURANG",Q248="SANGAT KURANG"),I248*K248*10%,I248*K248*20%)))</f>
        <v/>
      </c>
      <c r="X248" s="15">
        <f>SUM(U248:W248)*68%</f>
        <v/>
      </c>
      <c r="Y248" s="15">
        <f>I248*L248</f>
        <v/>
      </c>
      <c r="Z248" s="15">
        <f>Y248 * 68%</f>
        <v/>
      </c>
      <c r="AA248" s="15">
        <f>I248*M248</f>
        <v/>
      </c>
      <c r="AB248" s="15">
        <f>AA248*68%</f>
        <v/>
      </c>
      <c r="AC248" s="16">
        <f>ROUND((T248+X248+Z248+AB248),0)</f>
        <v/>
      </c>
      <c r="AD248" s="16">
        <f>AG248</f>
        <v/>
      </c>
      <c r="AE248" s="16">
        <f>AI248</f>
        <v/>
      </c>
      <c r="AF248" s="16">
        <f>AC248+AD248+AE248</f>
        <v/>
      </c>
      <c r="AG248" s="16" t="n"/>
      <c r="AH248" s="17" t="n"/>
      <c r="AI248" s="17">
        <f>AH248*4</f>
        <v/>
      </c>
      <c r="AJ248" s="15">
        <f>AF248-AG248-AH248-AI248</f>
        <v/>
      </c>
      <c r="AK248" s="18" t="n">
        <v>241</v>
      </c>
      <c r="AL248" s="23" t="n"/>
    </row>
    <row r="249" ht="23.5" customHeight="1">
      <c r="A249" s="6" t="inlineStr">
        <is>
          <t>242</t>
        </is>
      </c>
      <c r="B249" s="28" t="n"/>
      <c r="C249" s="55" t="n"/>
      <c r="D249" s="19" t="n"/>
      <c r="E249" s="24" t="n"/>
      <c r="F249" s="25" t="n"/>
      <c r="G249" s="25" t="n"/>
      <c r="H249" s="25" t="n"/>
      <c r="I249" s="11" t="n"/>
      <c r="J249" s="57" t="n"/>
      <c r="K249" s="12" t="n"/>
      <c r="L249" s="22" t="n"/>
      <c r="M249" s="13" t="n"/>
      <c r="N249" s="14">
        <f>ROUND(I249*(SUM(J249:M249))*68%,0)</f>
        <v/>
      </c>
      <c r="O249" s="61" t="n"/>
      <c r="P249" s="59" t="n"/>
      <c r="Q249" s="59" t="n"/>
      <c r="R249" s="58" t="n"/>
      <c r="S249" s="15">
        <f>I249*J249</f>
        <v/>
      </c>
      <c r="T249" s="15">
        <f>SUM(S249:S249)*68%</f>
        <v/>
      </c>
      <c r="U249" s="15">
        <f>I249*K249*40%*O249</f>
        <v/>
      </c>
      <c r="V249" s="15">
        <f>IF(P249&gt;=6750,(I249*K249*40%),0)</f>
        <v/>
      </c>
      <c r="W249" s="15">
        <f>IF(P249&lt;6750,0,IF(Q249="",0,IF(OR(Q249="KURANG",Q249="SANGAT KURANG"),I249*K249*10%,I249*K249*20%)))</f>
        <v/>
      </c>
      <c r="X249" s="15">
        <f>SUM(U249:W249)*68%</f>
        <v/>
      </c>
      <c r="Y249" s="15">
        <f>I249*L249</f>
        <v/>
      </c>
      <c r="Z249" s="15">
        <f>Y249 * 68%</f>
        <v/>
      </c>
      <c r="AA249" s="15">
        <f>I249*M249</f>
        <v/>
      </c>
      <c r="AB249" s="15">
        <f>AA249*68%</f>
        <v/>
      </c>
      <c r="AC249" s="16">
        <f>ROUND((T249+X249+Z249+AB249),0)</f>
        <v/>
      </c>
      <c r="AD249" s="16">
        <f>AG249</f>
        <v/>
      </c>
      <c r="AE249" s="16">
        <f>AI249</f>
        <v/>
      </c>
      <c r="AF249" s="16">
        <f>AC249+AD249+AE249</f>
        <v/>
      </c>
      <c r="AG249" s="16" t="n"/>
      <c r="AH249" s="17" t="n"/>
      <c r="AI249" s="17">
        <f>AH249*4</f>
        <v/>
      </c>
      <c r="AJ249" s="15">
        <f>AF249-AG249-AH249-AI249</f>
        <v/>
      </c>
      <c r="AK249" s="18" t="n">
        <v>242</v>
      </c>
      <c r="AL249" s="40" t="n"/>
    </row>
    <row r="250" ht="23.5" customHeight="1">
      <c r="A250" s="6" t="inlineStr">
        <is>
          <t>243</t>
        </is>
      </c>
      <c r="B250" s="28" t="n"/>
      <c r="C250" s="55" t="n"/>
      <c r="D250" s="19" t="n"/>
      <c r="E250" s="24" t="n"/>
      <c r="F250" s="25" t="n"/>
      <c r="G250" s="25" t="n"/>
      <c r="H250" s="25" t="n"/>
      <c r="I250" s="11" t="n"/>
      <c r="J250" s="57" t="n"/>
      <c r="K250" s="12" t="n"/>
      <c r="L250" s="22" t="n"/>
      <c r="M250" s="13" t="n"/>
      <c r="N250" s="14">
        <f>ROUND(I250*(SUM(J250:M250))*68%,0)</f>
        <v/>
      </c>
      <c r="O250" s="61" t="n"/>
      <c r="P250" s="59" t="n"/>
      <c r="Q250" s="59" t="n"/>
      <c r="R250" s="58" t="n"/>
      <c r="S250" s="15">
        <f>I250*J250</f>
        <v/>
      </c>
      <c r="T250" s="15">
        <f>SUM(S250:S250)*68%</f>
        <v/>
      </c>
      <c r="U250" s="15">
        <f>I250*K250*40%*O250</f>
        <v/>
      </c>
      <c r="V250" s="15">
        <f>IF(P250&gt;=6750,(I250*K250*40%),0)</f>
        <v/>
      </c>
      <c r="W250" s="15">
        <f>IF(P250&lt;6750,0,IF(Q250="",0,IF(OR(Q250="KURANG",Q250="SANGAT KURANG"),I250*K250*10%,I250*K250*20%)))</f>
        <v/>
      </c>
      <c r="X250" s="15">
        <f>SUM(U250:W250)*68%</f>
        <v/>
      </c>
      <c r="Y250" s="15">
        <f>I250*L250</f>
        <v/>
      </c>
      <c r="Z250" s="15">
        <f>Y250 * 68%</f>
        <v/>
      </c>
      <c r="AA250" s="15">
        <f>I250*M250</f>
        <v/>
      </c>
      <c r="AB250" s="15">
        <f>AA250*68%</f>
        <v/>
      </c>
      <c r="AC250" s="16">
        <f>ROUND((T250+X250+Z250+AB250),0)</f>
        <v/>
      </c>
      <c r="AD250" s="16">
        <f>AG250</f>
        <v/>
      </c>
      <c r="AE250" s="16">
        <f>AI250</f>
        <v/>
      </c>
      <c r="AF250" s="16">
        <f>AC250+AD250+AE250</f>
        <v/>
      </c>
      <c r="AG250" s="16" t="n"/>
      <c r="AH250" s="17" t="n"/>
      <c r="AI250" s="17">
        <f>AH250*4</f>
        <v/>
      </c>
      <c r="AJ250" s="15">
        <f>AF250-AG250-AH250-AI250</f>
        <v/>
      </c>
      <c r="AK250" s="18" t="n">
        <v>243</v>
      </c>
      <c r="AL250" s="23" t="n"/>
    </row>
    <row r="251" ht="23.5" customHeight="1">
      <c r="A251" s="6" t="inlineStr">
        <is>
          <t>244</t>
        </is>
      </c>
      <c r="B251" s="24" t="n"/>
      <c r="C251" s="55" t="n"/>
      <c r="D251" s="19" t="n"/>
      <c r="E251" s="24" t="n"/>
      <c r="F251" s="25" t="n"/>
      <c r="G251" s="25" t="n"/>
      <c r="H251" s="25" t="n"/>
      <c r="I251" s="11" t="n"/>
      <c r="J251" s="57" t="n"/>
      <c r="K251" s="12" t="n"/>
      <c r="L251" s="22" t="n"/>
      <c r="M251" s="13" t="n"/>
      <c r="N251" s="14">
        <f>ROUND(I251*(SUM(J251:M251))*68%,0)</f>
        <v/>
      </c>
      <c r="O251" s="61" t="n"/>
      <c r="P251" s="59" t="n"/>
      <c r="Q251" s="59" t="n"/>
      <c r="R251" s="58" t="n"/>
      <c r="S251" s="15">
        <f>I251*J251</f>
        <v/>
      </c>
      <c r="T251" s="15">
        <f>SUM(S251:S251)*68%</f>
        <v/>
      </c>
      <c r="U251" s="15">
        <f>I251*K251*40%*O251</f>
        <v/>
      </c>
      <c r="V251" s="15">
        <f>IF(P251&gt;=6750,(I251*K251*40%),0)</f>
        <v/>
      </c>
      <c r="W251" s="15">
        <f>IF(P251&lt;6750,0,IF(Q251="",0,IF(OR(Q251="KURANG",Q251="SANGAT KURANG"),I251*K251*10%,I251*K251*20%)))</f>
        <v/>
      </c>
      <c r="X251" s="15">
        <f>SUM(U251:W251)*68%</f>
        <v/>
      </c>
      <c r="Y251" s="15">
        <f>I251*L251</f>
        <v/>
      </c>
      <c r="Z251" s="15">
        <f>Y251 * 68%</f>
        <v/>
      </c>
      <c r="AA251" s="15">
        <f>I251*M251</f>
        <v/>
      </c>
      <c r="AB251" s="15">
        <f>AA251*68%</f>
        <v/>
      </c>
      <c r="AC251" s="16">
        <f>ROUND((T251+X251+Z251+AB251),0)</f>
        <v/>
      </c>
      <c r="AD251" s="16">
        <f>AG251</f>
        <v/>
      </c>
      <c r="AE251" s="16">
        <f>AI251</f>
        <v/>
      </c>
      <c r="AF251" s="16">
        <f>AC251+AD251+AE251</f>
        <v/>
      </c>
      <c r="AG251" s="16" t="n"/>
      <c r="AH251" s="17" t="n"/>
      <c r="AI251" s="17">
        <f>AH251*4</f>
        <v/>
      </c>
      <c r="AJ251" s="15">
        <f>AF251-AG251-AH251-AI251</f>
        <v/>
      </c>
      <c r="AK251" s="18" t="n">
        <v>244</v>
      </c>
      <c r="AL251" s="23" t="n"/>
    </row>
    <row r="252" ht="23.5" customHeight="1">
      <c r="A252" s="6" t="inlineStr">
        <is>
          <t>245</t>
        </is>
      </c>
      <c r="B252" s="24" t="n"/>
      <c r="C252" s="55" t="n"/>
      <c r="D252" s="19" t="n"/>
      <c r="E252" s="24" t="n"/>
      <c r="F252" s="25" t="n"/>
      <c r="G252" s="25" t="n"/>
      <c r="H252" s="25" t="n"/>
      <c r="I252" s="11" t="n"/>
      <c r="J252" s="57" t="n"/>
      <c r="K252" s="12" t="n"/>
      <c r="L252" s="22" t="n"/>
      <c r="M252" s="13" t="n"/>
      <c r="N252" s="14">
        <f>ROUND(I252*(SUM(J252:M252))*68%,0)</f>
        <v/>
      </c>
      <c r="O252" s="61" t="n"/>
      <c r="P252" s="59" t="n"/>
      <c r="Q252" s="59" t="n"/>
      <c r="R252" s="58" t="n"/>
      <c r="S252" s="15">
        <f>I252*J252</f>
        <v/>
      </c>
      <c r="T252" s="15">
        <f>SUM(S252:S252)*68%</f>
        <v/>
      </c>
      <c r="U252" s="15">
        <f>I252*K252*40%*O252</f>
        <v/>
      </c>
      <c r="V252" s="15">
        <f>IF(P252&gt;=6750,(I252*K252*40%),0)</f>
        <v/>
      </c>
      <c r="W252" s="15">
        <f>IF(P252&lt;6750,0,IF(Q252="",0,IF(OR(Q252="KURANG",Q252="SANGAT KURANG"),I252*K252*10%,I252*K252*20%)))</f>
        <v/>
      </c>
      <c r="X252" s="15">
        <f>SUM(U252:W252)*68%</f>
        <v/>
      </c>
      <c r="Y252" s="15">
        <f>I252*L252</f>
        <v/>
      </c>
      <c r="Z252" s="15">
        <f>Y252 * 68%</f>
        <v/>
      </c>
      <c r="AA252" s="15">
        <f>I252*M252</f>
        <v/>
      </c>
      <c r="AB252" s="15">
        <f>AA252*68%</f>
        <v/>
      </c>
      <c r="AC252" s="16">
        <f>ROUND((T252+X252+Z252+AB252),0)</f>
        <v/>
      </c>
      <c r="AD252" s="16">
        <f>AG252</f>
        <v/>
      </c>
      <c r="AE252" s="16">
        <f>AI252</f>
        <v/>
      </c>
      <c r="AF252" s="16">
        <f>AC252+AD252+AE252</f>
        <v/>
      </c>
      <c r="AG252" s="16" t="n"/>
      <c r="AH252" s="17" t="n"/>
      <c r="AI252" s="17">
        <f>AH252*4</f>
        <v/>
      </c>
      <c r="AJ252" s="15">
        <f>AF252-AG252-AH252-AI252</f>
        <v/>
      </c>
      <c r="AK252" s="18" t="n">
        <v>245</v>
      </c>
      <c r="AL252" s="40" t="n"/>
    </row>
    <row r="253" ht="23.5" customHeight="1">
      <c r="A253" s="6" t="inlineStr">
        <is>
          <t>246</t>
        </is>
      </c>
      <c r="B253" s="28" t="n"/>
      <c r="C253" s="55" t="n"/>
      <c r="D253" s="19" t="n"/>
      <c r="E253" s="24" t="n"/>
      <c r="F253" s="25" t="n"/>
      <c r="G253" s="25" t="n"/>
      <c r="H253" s="25" t="n"/>
      <c r="I253" s="11" t="n"/>
      <c r="J253" s="57" t="n"/>
      <c r="K253" s="12" t="n"/>
      <c r="L253" s="22" t="n"/>
      <c r="M253" s="13" t="n"/>
      <c r="N253" s="14">
        <f>ROUND(I253*(SUM(J253:M253))*68%,0)</f>
        <v/>
      </c>
      <c r="O253" s="61" t="n"/>
      <c r="P253" s="59" t="n"/>
      <c r="Q253" s="59" t="n"/>
      <c r="R253" s="58" t="n"/>
      <c r="S253" s="15">
        <f>I253*J253</f>
        <v/>
      </c>
      <c r="T253" s="15">
        <f>SUM(S253:S253)*68%</f>
        <v/>
      </c>
      <c r="U253" s="15">
        <f>I253*K253*40%*O253</f>
        <v/>
      </c>
      <c r="V253" s="15">
        <f>IF(P253&gt;=6750,(I253*K253*40%),0)</f>
        <v/>
      </c>
      <c r="W253" s="15">
        <f>IF(P253&lt;6750,0,IF(Q253="",0,IF(OR(Q253="KURANG",Q253="SANGAT KURANG"),I253*K253*10%,I253*K253*20%)))</f>
        <v/>
      </c>
      <c r="X253" s="15">
        <f>SUM(U253:W253)*68%</f>
        <v/>
      </c>
      <c r="Y253" s="15">
        <f>I253*L253</f>
        <v/>
      </c>
      <c r="Z253" s="15">
        <f>Y253 * 68%</f>
        <v/>
      </c>
      <c r="AA253" s="15">
        <f>I253*M253</f>
        <v/>
      </c>
      <c r="AB253" s="15">
        <f>AA253*68%</f>
        <v/>
      </c>
      <c r="AC253" s="16">
        <f>ROUND((T253+X253+Z253+AB253),0)</f>
        <v/>
      </c>
      <c r="AD253" s="16">
        <f>AG253</f>
        <v/>
      </c>
      <c r="AE253" s="16">
        <f>AI253</f>
        <v/>
      </c>
      <c r="AF253" s="16">
        <f>AC253+AD253+AE253</f>
        <v/>
      </c>
      <c r="AG253" s="16" t="n"/>
      <c r="AH253" s="17" t="n"/>
      <c r="AI253" s="17">
        <f>AH253*4</f>
        <v/>
      </c>
      <c r="AJ253" s="15">
        <f>AF253-AG253-AH253-AI253</f>
        <v/>
      </c>
      <c r="AK253" s="18" t="n">
        <v>246</v>
      </c>
      <c r="AL253" s="23" t="n"/>
    </row>
    <row r="254" ht="23.5" customHeight="1">
      <c r="A254" s="6" t="inlineStr">
        <is>
          <t>247</t>
        </is>
      </c>
      <c r="B254" s="28" t="n"/>
      <c r="C254" s="55" t="n"/>
      <c r="D254" s="19" t="n"/>
      <c r="E254" s="24" t="n"/>
      <c r="F254" s="25" t="n"/>
      <c r="G254" s="25" t="n"/>
      <c r="H254" s="25" t="n"/>
      <c r="I254" s="11" t="n"/>
      <c r="J254" s="57" t="n"/>
      <c r="K254" s="12" t="n"/>
      <c r="L254" s="22" t="n"/>
      <c r="M254" s="13" t="n"/>
      <c r="N254" s="14">
        <f>ROUND(I254*(SUM(J254:M254))*68%,0)</f>
        <v/>
      </c>
      <c r="O254" s="61" t="n"/>
      <c r="P254" s="59" t="n"/>
      <c r="Q254" s="59" t="n"/>
      <c r="R254" s="58" t="n"/>
      <c r="S254" s="15">
        <f>I254*J254</f>
        <v/>
      </c>
      <c r="T254" s="15">
        <f>SUM(S254:S254)*68%</f>
        <v/>
      </c>
      <c r="U254" s="15">
        <f>I254*K254*40%*O254</f>
        <v/>
      </c>
      <c r="V254" s="15">
        <f>IF(P254&gt;=6750,(I254*K254*40%),0)</f>
        <v/>
      </c>
      <c r="W254" s="15">
        <f>IF(P254&lt;6750,0,IF(Q254="",0,IF(OR(Q254="KURANG",Q254="SANGAT KURANG"),I254*K254*10%,I254*K254*20%)))</f>
        <v/>
      </c>
      <c r="X254" s="15">
        <f>SUM(U254:W254)*68%</f>
        <v/>
      </c>
      <c r="Y254" s="15">
        <f>I254*L254</f>
        <v/>
      </c>
      <c r="Z254" s="15">
        <f>Y254 * 68%</f>
        <v/>
      </c>
      <c r="AA254" s="15">
        <f>I254*M254</f>
        <v/>
      </c>
      <c r="AB254" s="15">
        <f>AA254*68%</f>
        <v/>
      </c>
      <c r="AC254" s="16">
        <f>ROUND((T254+X254+Z254+AB254),0)</f>
        <v/>
      </c>
      <c r="AD254" s="16">
        <f>AG254</f>
        <v/>
      </c>
      <c r="AE254" s="16">
        <f>AI254</f>
        <v/>
      </c>
      <c r="AF254" s="16">
        <f>AC254+AD254+AE254</f>
        <v/>
      </c>
      <c r="AG254" s="16" t="n"/>
      <c r="AH254" s="17" t="n"/>
      <c r="AI254" s="17">
        <f>AH254*4</f>
        <v/>
      </c>
      <c r="AJ254" s="15">
        <f>AF254-AG254-AH254-AI254</f>
        <v/>
      </c>
      <c r="AK254" s="18" t="n">
        <v>247</v>
      </c>
      <c r="AL254" s="23" t="n"/>
    </row>
    <row r="255" ht="23.5" customHeight="1">
      <c r="A255" s="6" t="inlineStr">
        <is>
          <t>248</t>
        </is>
      </c>
      <c r="B255" s="24" t="n"/>
      <c r="C255" s="55" t="n"/>
      <c r="D255" s="19" t="n"/>
      <c r="E255" s="24" t="n"/>
      <c r="F255" s="25" t="n"/>
      <c r="G255" s="25" t="n"/>
      <c r="H255" s="25" t="n"/>
      <c r="I255" s="11" t="n"/>
      <c r="J255" s="57" t="n"/>
      <c r="K255" s="12" t="n"/>
      <c r="L255" s="22" t="n"/>
      <c r="M255" s="13" t="n"/>
      <c r="N255" s="14">
        <f>ROUND(I255*(SUM(J255:M255))*68%,0)</f>
        <v/>
      </c>
      <c r="O255" s="61" t="n"/>
      <c r="P255" s="59" t="n"/>
      <c r="Q255" s="59" t="n"/>
      <c r="R255" s="58" t="n"/>
      <c r="S255" s="15">
        <f>I255*J255</f>
        <v/>
      </c>
      <c r="T255" s="15">
        <f>SUM(S255:S255)*68%</f>
        <v/>
      </c>
      <c r="U255" s="15">
        <f>I255*K255*40%*O255</f>
        <v/>
      </c>
      <c r="V255" s="15">
        <f>IF(P255&gt;=6750,(I255*K255*40%),0)</f>
        <v/>
      </c>
      <c r="W255" s="15">
        <f>IF(P255&lt;6750,0,IF(Q255="",0,IF(OR(Q255="KURANG",Q255="SANGAT KURANG"),I255*K255*10%,I255*K255*20%)))</f>
        <v/>
      </c>
      <c r="X255" s="15">
        <f>SUM(U255:W255)*68%</f>
        <v/>
      </c>
      <c r="Y255" s="15">
        <f>I255*L255</f>
        <v/>
      </c>
      <c r="Z255" s="15">
        <f>Y255 * 68%</f>
        <v/>
      </c>
      <c r="AA255" s="15">
        <f>I255*M255</f>
        <v/>
      </c>
      <c r="AB255" s="15">
        <f>AA255*68%</f>
        <v/>
      </c>
      <c r="AC255" s="16">
        <f>ROUND((T255+X255+Z255+AB255),0)</f>
        <v/>
      </c>
      <c r="AD255" s="16">
        <f>AG255</f>
        <v/>
      </c>
      <c r="AE255" s="16">
        <f>AI255</f>
        <v/>
      </c>
      <c r="AF255" s="16">
        <f>AC255+AD255+AE255</f>
        <v/>
      </c>
      <c r="AG255" s="16" t="n"/>
      <c r="AH255" s="17" t="n"/>
      <c r="AI255" s="17">
        <f>AH255*4</f>
        <v/>
      </c>
      <c r="AJ255" s="15">
        <f>AF255-AG255-AH255-AI255</f>
        <v/>
      </c>
      <c r="AK255" s="18" t="n">
        <v>248</v>
      </c>
      <c r="AL255" s="40" t="n"/>
    </row>
    <row r="256" ht="23.5" customHeight="1">
      <c r="A256" s="6" t="inlineStr">
        <is>
          <t>249</t>
        </is>
      </c>
      <c r="B256" s="24" t="n"/>
      <c r="C256" s="55" t="n"/>
      <c r="D256" s="19" t="n"/>
      <c r="E256" s="24" t="n"/>
      <c r="F256" s="25" t="n"/>
      <c r="G256" s="25" t="n"/>
      <c r="H256" s="25" t="n"/>
      <c r="I256" s="11" t="n"/>
      <c r="J256" s="57" t="n"/>
      <c r="K256" s="12" t="n"/>
      <c r="L256" s="22" t="n"/>
      <c r="M256" s="13" t="n"/>
      <c r="N256" s="14">
        <f>ROUND(I256*(SUM(J256:M256))*68%,0)</f>
        <v/>
      </c>
      <c r="O256" s="61" t="n"/>
      <c r="P256" s="59" t="n"/>
      <c r="Q256" s="59" t="n"/>
      <c r="R256" s="58" t="n"/>
      <c r="S256" s="15">
        <f>I256*J256</f>
        <v/>
      </c>
      <c r="T256" s="15">
        <f>SUM(S256:S256)*68%</f>
        <v/>
      </c>
      <c r="U256" s="15">
        <f>I256*K256*40%*O256</f>
        <v/>
      </c>
      <c r="V256" s="15">
        <f>IF(P256&gt;=6750,(I256*K256*40%),0)</f>
        <v/>
      </c>
      <c r="W256" s="15">
        <f>IF(P256&lt;6750,0,IF(Q256="",0,IF(OR(Q256="KURANG",Q256="SANGAT KURANG"),I256*K256*10%,I256*K256*20%)))</f>
        <v/>
      </c>
      <c r="X256" s="15">
        <f>SUM(U256:W256)*68%</f>
        <v/>
      </c>
      <c r="Y256" s="15">
        <f>I256*L256</f>
        <v/>
      </c>
      <c r="Z256" s="15">
        <f>Y256 * 68%</f>
        <v/>
      </c>
      <c r="AA256" s="15">
        <f>I256*M256</f>
        <v/>
      </c>
      <c r="AB256" s="15">
        <f>AA256*68%</f>
        <v/>
      </c>
      <c r="AC256" s="16">
        <f>ROUND((T256+X256+Z256+AB256),0)</f>
        <v/>
      </c>
      <c r="AD256" s="16">
        <f>AG256</f>
        <v/>
      </c>
      <c r="AE256" s="16">
        <f>AI256</f>
        <v/>
      </c>
      <c r="AF256" s="16">
        <f>AC256+AD256+AE256</f>
        <v/>
      </c>
      <c r="AG256" s="16" t="n"/>
      <c r="AH256" s="17" t="n"/>
      <c r="AI256" s="17">
        <f>AH256*4</f>
        <v/>
      </c>
      <c r="AJ256" s="15">
        <f>AF256-AG256-AH256-AI256</f>
        <v/>
      </c>
      <c r="AK256" s="18" t="n">
        <v>249</v>
      </c>
      <c r="AL256" s="23" t="n"/>
    </row>
    <row r="257" ht="23.5" customHeight="1">
      <c r="A257" s="6" t="inlineStr">
        <is>
          <t>250</t>
        </is>
      </c>
      <c r="B257" s="24" t="n"/>
      <c r="C257" s="55" t="n"/>
      <c r="D257" s="19" t="n"/>
      <c r="E257" s="24" t="n"/>
      <c r="F257" s="25" t="n"/>
      <c r="G257" s="25" t="n"/>
      <c r="H257" s="25" t="n"/>
      <c r="I257" s="11" t="n"/>
      <c r="J257" s="57" t="n"/>
      <c r="K257" s="12" t="n"/>
      <c r="L257" s="22" t="n"/>
      <c r="M257" s="13" t="n"/>
      <c r="N257" s="14">
        <f>ROUND(I257*(SUM(J257:M257))*68%,0)</f>
        <v/>
      </c>
      <c r="O257" s="61" t="n"/>
      <c r="P257" s="59" t="n"/>
      <c r="Q257" s="59" t="n"/>
      <c r="R257" s="58" t="n"/>
      <c r="S257" s="15">
        <f>I257*J257</f>
        <v/>
      </c>
      <c r="T257" s="15">
        <f>SUM(S257:S257)*68%</f>
        <v/>
      </c>
      <c r="U257" s="15">
        <f>I257*K257*40%*O257</f>
        <v/>
      </c>
      <c r="V257" s="15">
        <f>IF(P257&gt;=6750,(I257*K257*40%),0)</f>
        <v/>
      </c>
      <c r="W257" s="15">
        <f>IF(P257&lt;6750,0,IF(Q257="",0,IF(OR(Q257="KURANG",Q257="SANGAT KURANG"),I257*K257*10%,I257*K257*20%)))</f>
        <v/>
      </c>
      <c r="X257" s="15">
        <f>SUM(U257:W257)*68%</f>
        <v/>
      </c>
      <c r="Y257" s="15">
        <f>I257*L257</f>
        <v/>
      </c>
      <c r="Z257" s="15">
        <f>Y257 * 68%</f>
        <v/>
      </c>
      <c r="AA257" s="15">
        <f>I257*M257</f>
        <v/>
      </c>
      <c r="AB257" s="15">
        <f>AA257*68%</f>
        <v/>
      </c>
      <c r="AC257" s="16">
        <f>ROUND((T257+X257+Z257+AB257),0)</f>
        <v/>
      </c>
      <c r="AD257" s="16">
        <f>AG257</f>
        <v/>
      </c>
      <c r="AE257" s="16">
        <f>AI257</f>
        <v/>
      </c>
      <c r="AF257" s="16">
        <f>AC257+AD257+AE257</f>
        <v/>
      </c>
      <c r="AG257" s="16" t="n"/>
      <c r="AH257" s="17" t="n"/>
      <c r="AI257" s="17">
        <f>AH257*4</f>
        <v/>
      </c>
      <c r="AJ257" s="15">
        <f>AF257-AG257-AH257-AI257</f>
        <v/>
      </c>
      <c r="AK257" s="18" t="n">
        <v>250</v>
      </c>
      <c r="AL257" s="23" t="n"/>
    </row>
    <row r="258" ht="23.5" customHeight="1">
      <c r="A258" s="6" t="inlineStr">
        <is>
          <t>251</t>
        </is>
      </c>
      <c r="B258" s="24" t="n"/>
      <c r="C258" s="55" t="n"/>
      <c r="D258" s="19" t="n"/>
      <c r="E258" s="24" t="n"/>
      <c r="F258" s="25" t="n"/>
      <c r="G258" s="25" t="n"/>
      <c r="H258" s="25" t="n"/>
      <c r="I258" s="11" t="n"/>
      <c r="J258" s="57" t="n"/>
      <c r="K258" s="12" t="n"/>
      <c r="L258" s="22" t="n"/>
      <c r="M258" s="13" t="n"/>
      <c r="N258" s="14">
        <f>ROUND(I258*(SUM(J258:M258))*68%,0)</f>
        <v/>
      </c>
      <c r="O258" s="61" t="n"/>
      <c r="P258" s="59" t="n"/>
      <c r="Q258" s="59" t="n"/>
      <c r="R258" s="58" t="n"/>
      <c r="S258" s="15">
        <f>I258*J258</f>
        <v/>
      </c>
      <c r="T258" s="15">
        <f>SUM(S258:S258)*68%</f>
        <v/>
      </c>
      <c r="U258" s="15">
        <f>I258*K258*40%*O258</f>
        <v/>
      </c>
      <c r="V258" s="15">
        <f>IF(P258&gt;=6750,(I258*K258*40%),0)</f>
        <v/>
      </c>
      <c r="W258" s="15">
        <f>IF(P258&lt;6750,0,IF(Q258="",0,IF(OR(Q258="KURANG",Q258="SANGAT KURANG"),I258*K258*10%,I258*K258*20%)))</f>
        <v/>
      </c>
      <c r="X258" s="15">
        <f>SUM(U258:W258)*68%</f>
        <v/>
      </c>
      <c r="Y258" s="15">
        <f>I258*L258</f>
        <v/>
      </c>
      <c r="Z258" s="15">
        <f>Y258 * 68%</f>
        <v/>
      </c>
      <c r="AA258" s="15">
        <f>I258*M258</f>
        <v/>
      </c>
      <c r="AB258" s="15">
        <f>AA258*68%</f>
        <v/>
      </c>
      <c r="AC258" s="16">
        <f>ROUND((T258+X258+Z258+AB258),0)</f>
        <v/>
      </c>
      <c r="AD258" s="16">
        <f>AG258</f>
        <v/>
      </c>
      <c r="AE258" s="16">
        <f>AI258</f>
        <v/>
      </c>
      <c r="AF258" s="16">
        <f>AC258+AD258+AE258</f>
        <v/>
      </c>
      <c r="AG258" s="16" t="n"/>
      <c r="AH258" s="17" t="n"/>
      <c r="AI258" s="17">
        <f>AH258*4</f>
        <v/>
      </c>
      <c r="AJ258" s="15">
        <f>AF258-AG258-AH258-AI258</f>
        <v/>
      </c>
      <c r="AK258" s="18" t="n">
        <v>251</v>
      </c>
      <c r="AL258" s="40" t="n"/>
    </row>
    <row r="259" ht="23.5" customHeight="1">
      <c r="A259" s="6" t="inlineStr">
        <is>
          <t>252</t>
        </is>
      </c>
      <c r="B259" s="24" t="n"/>
      <c r="C259" s="55" t="n"/>
      <c r="D259" s="19" t="n"/>
      <c r="E259" s="24" t="n"/>
      <c r="F259" s="25" t="n"/>
      <c r="G259" s="25" t="n"/>
      <c r="H259" s="25" t="n"/>
      <c r="I259" s="11" t="n"/>
      <c r="J259" s="57" t="n"/>
      <c r="K259" s="12" t="n"/>
      <c r="L259" s="22" t="n"/>
      <c r="M259" s="13" t="n"/>
      <c r="N259" s="14">
        <f>ROUND(I259*(SUM(J259:M259))*68%,0)</f>
        <v/>
      </c>
      <c r="O259" s="61" t="n"/>
      <c r="P259" s="59" t="n"/>
      <c r="Q259" s="59" t="n"/>
      <c r="R259" s="58" t="n"/>
      <c r="S259" s="15">
        <f>I259*J259</f>
        <v/>
      </c>
      <c r="T259" s="15">
        <f>SUM(S259:S259)*68%</f>
        <v/>
      </c>
      <c r="U259" s="15">
        <f>I259*K259*40%*O259</f>
        <v/>
      </c>
      <c r="V259" s="15">
        <f>IF(P259&gt;=6750,(I259*K259*40%),0)</f>
        <v/>
      </c>
      <c r="W259" s="15">
        <f>IF(P259&lt;6750,0,IF(Q259="",0,IF(OR(Q259="KURANG",Q259="SANGAT KURANG"),I259*K259*10%,I259*K259*20%)))</f>
        <v/>
      </c>
      <c r="X259" s="15">
        <f>SUM(U259:W259)*68%</f>
        <v/>
      </c>
      <c r="Y259" s="15">
        <f>I259*L259</f>
        <v/>
      </c>
      <c r="Z259" s="15">
        <f>Y259 * 68%</f>
        <v/>
      </c>
      <c r="AA259" s="15">
        <f>I259*M259</f>
        <v/>
      </c>
      <c r="AB259" s="15">
        <f>AA259*68%</f>
        <v/>
      </c>
      <c r="AC259" s="16">
        <f>ROUND((T259+X259+Z259+AB259),0)</f>
        <v/>
      </c>
      <c r="AD259" s="16">
        <f>AG259</f>
        <v/>
      </c>
      <c r="AE259" s="16">
        <f>AI259</f>
        <v/>
      </c>
      <c r="AF259" s="16">
        <f>AC259+AD259+AE259</f>
        <v/>
      </c>
      <c r="AG259" s="16" t="n"/>
      <c r="AH259" s="17" t="n"/>
      <c r="AI259" s="17">
        <f>AH259*4</f>
        <v/>
      </c>
      <c r="AJ259" s="15">
        <f>AF259-AG259-AH259-AI259</f>
        <v/>
      </c>
      <c r="AK259" s="18" t="n">
        <v>252</v>
      </c>
      <c r="AL259" s="23" t="n"/>
    </row>
    <row r="260" ht="23.5" customHeight="1">
      <c r="A260" s="6" t="inlineStr">
        <is>
          <t>253</t>
        </is>
      </c>
      <c r="B260" s="24" t="n"/>
      <c r="C260" s="55" t="n"/>
      <c r="D260" s="19" t="n"/>
      <c r="E260" s="24" t="n"/>
      <c r="F260" s="25" t="n"/>
      <c r="G260" s="25" t="n"/>
      <c r="H260" s="25" t="n"/>
      <c r="I260" s="11" t="n"/>
      <c r="J260" s="57" t="n"/>
      <c r="K260" s="12" t="n"/>
      <c r="L260" s="22" t="n"/>
      <c r="M260" s="13" t="n"/>
      <c r="N260" s="14">
        <f>ROUND(I260*(SUM(J260:M260))*68%,0)</f>
        <v/>
      </c>
      <c r="O260" s="61" t="n"/>
      <c r="P260" s="59" t="n"/>
      <c r="Q260" s="59" t="n"/>
      <c r="R260" s="58" t="n"/>
      <c r="S260" s="15">
        <f>I260*J260</f>
        <v/>
      </c>
      <c r="T260" s="15">
        <f>SUM(S260:S260)*68%</f>
        <v/>
      </c>
      <c r="U260" s="15">
        <f>I260*K260*40%*O260</f>
        <v/>
      </c>
      <c r="V260" s="15">
        <f>IF(P260&gt;=6750,(I260*K260*40%),0)</f>
        <v/>
      </c>
      <c r="W260" s="15">
        <f>IF(P260&lt;6750,0,IF(Q260="",0,IF(OR(Q260="KURANG",Q260="SANGAT KURANG"),I260*K260*10%,I260*K260*20%)))</f>
        <v/>
      </c>
      <c r="X260" s="15">
        <f>SUM(U260:W260)*68%</f>
        <v/>
      </c>
      <c r="Y260" s="15">
        <f>I260*L260</f>
        <v/>
      </c>
      <c r="Z260" s="15">
        <f>Y260 * 68%</f>
        <v/>
      </c>
      <c r="AA260" s="15">
        <f>I260*M260</f>
        <v/>
      </c>
      <c r="AB260" s="15">
        <f>AA260*68%</f>
        <v/>
      </c>
      <c r="AC260" s="16">
        <f>ROUND((T260+X260+Z260+AB260),0)</f>
        <v/>
      </c>
      <c r="AD260" s="16">
        <f>AG260</f>
        <v/>
      </c>
      <c r="AE260" s="16">
        <f>AI260</f>
        <v/>
      </c>
      <c r="AF260" s="16">
        <f>AC260+AD260+AE260</f>
        <v/>
      </c>
      <c r="AG260" s="16" t="n"/>
      <c r="AH260" s="17" t="n"/>
      <c r="AI260" s="17">
        <f>AH260*4</f>
        <v/>
      </c>
      <c r="AJ260" s="15">
        <f>AF260-AG260-AH260-AI260</f>
        <v/>
      </c>
      <c r="AK260" s="18" t="n">
        <v>253</v>
      </c>
      <c r="AL260" s="23" t="n"/>
    </row>
    <row r="261" ht="23.5" customHeight="1">
      <c r="A261" s="6" t="inlineStr">
        <is>
          <t>254</t>
        </is>
      </c>
      <c r="B261" s="28" t="n"/>
      <c r="C261" s="55" t="n"/>
      <c r="D261" s="19" t="n"/>
      <c r="E261" s="24" t="n"/>
      <c r="F261" s="25" t="n"/>
      <c r="G261" s="25" t="n"/>
      <c r="H261" s="25" t="n"/>
      <c r="I261" s="11" t="n"/>
      <c r="J261" s="57" t="n"/>
      <c r="K261" s="12" t="n"/>
      <c r="L261" s="22" t="n"/>
      <c r="M261" s="13" t="n"/>
      <c r="N261" s="14">
        <f>ROUND(I261*(SUM(J261:M261))*68%,0)</f>
        <v/>
      </c>
      <c r="O261" s="61" t="n"/>
      <c r="P261" s="59" t="n"/>
      <c r="Q261" s="59" t="n"/>
      <c r="R261" s="58" t="n"/>
      <c r="S261" s="15">
        <f>I261*J261</f>
        <v/>
      </c>
      <c r="T261" s="15">
        <f>SUM(S261:S261)*68%</f>
        <v/>
      </c>
      <c r="U261" s="15">
        <f>I261*K261*40%*O261</f>
        <v/>
      </c>
      <c r="V261" s="15">
        <f>IF(P261&gt;=6750,(I261*K261*40%),0)</f>
        <v/>
      </c>
      <c r="W261" s="15">
        <f>IF(P261&lt;6750,0,IF(Q261="",0,IF(OR(Q261="KURANG",Q261="SANGAT KURANG"),I261*K261*10%,I261*K261*20%)))</f>
        <v/>
      </c>
      <c r="X261" s="15">
        <f>SUM(U261:W261)*68%</f>
        <v/>
      </c>
      <c r="Y261" s="15">
        <f>I261*L261</f>
        <v/>
      </c>
      <c r="Z261" s="15">
        <f>Y261 * 68%</f>
        <v/>
      </c>
      <c r="AA261" s="15">
        <f>I261*M261</f>
        <v/>
      </c>
      <c r="AB261" s="15">
        <f>AA261*68%</f>
        <v/>
      </c>
      <c r="AC261" s="16">
        <f>ROUND((T261+X261+Z261+AB261),0)</f>
        <v/>
      </c>
      <c r="AD261" s="16">
        <f>AG261</f>
        <v/>
      </c>
      <c r="AE261" s="16">
        <f>AI261</f>
        <v/>
      </c>
      <c r="AF261" s="16">
        <f>AC261+AD261+AE261</f>
        <v/>
      </c>
      <c r="AG261" s="16" t="n"/>
      <c r="AH261" s="17" t="n"/>
      <c r="AI261" s="17">
        <f>AH261*4</f>
        <v/>
      </c>
      <c r="AJ261" s="15">
        <f>AF261-AG261-AH261-AI261</f>
        <v/>
      </c>
      <c r="AK261" s="18" t="n">
        <v>254</v>
      </c>
      <c r="AL261" s="40" t="n"/>
    </row>
    <row r="262" ht="23.5" customHeight="1">
      <c r="A262" s="6" t="inlineStr">
        <is>
          <t>255</t>
        </is>
      </c>
      <c r="B262" s="28" t="n"/>
      <c r="C262" s="55" t="n"/>
      <c r="D262" s="19" t="n"/>
      <c r="E262" s="24" t="n"/>
      <c r="F262" s="25" t="n"/>
      <c r="G262" s="25" t="n"/>
      <c r="H262" s="25" t="n"/>
      <c r="I262" s="11" t="n"/>
      <c r="J262" s="57" t="n"/>
      <c r="K262" s="12" t="n"/>
      <c r="L262" s="22" t="n"/>
      <c r="M262" s="13" t="n"/>
      <c r="N262" s="14">
        <f>ROUND(I262*(SUM(J262:M262))*68%,0)</f>
        <v/>
      </c>
      <c r="O262" s="61" t="n"/>
      <c r="P262" s="59" t="n"/>
      <c r="Q262" s="59" t="n"/>
      <c r="R262" s="58" t="n"/>
      <c r="S262" s="15">
        <f>I262*J262</f>
        <v/>
      </c>
      <c r="T262" s="15">
        <f>SUM(S262:S262)*68%</f>
        <v/>
      </c>
      <c r="U262" s="15">
        <f>I262*K262*40%*O262</f>
        <v/>
      </c>
      <c r="V262" s="15">
        <f>IF(P262&gt;=6750,(I262*K262*40%),0)</f>
        <v/>
      </c>
      <c r="W262" s="15">
        <f>IF(P262&lt;6750,0,IF(Q262="",0,IF(OR(Q262="KURANG",Q262="SANGAT KURANG"),I262*K262*10%,I262*K262*20%)))</f>
        <v/>
      </c>
      <c r="X262" s="15">
        <f>SUM(U262:W262)*68%</f>
        <v/>
      </c>
      <c r="Y262" s="15">
        <f>I262*L262</f>
        <v/>
      </c>
      <c r="Z262" s="15">
        <f>Y262 * 68%</f>
        <v/>
      </c>
      <c r="AA262" s="15">
        <f>I262*M262</f>
        <v/>
      </c>
      <c r="AB262" s="15">
        <f>AA262*68%</f>
        <v/>
      </c>
      <c r="AC262" s="16">
        <f>ROUND((T262+X262+Z262+AB262),0)</f>
        <v/>
      </c>
      <c r="AD262" s="16">
        <f>AG262</f>
        <v/>
      </c>
      <c r="AE262" s="16">
        <f>AI262</f>
        <v/>
      </c>
      <c r="AF262" s="16">
        <f>AC262+AD262+AE262</f>
        <v/>
      </c>
      <c r="AG262" s="16" t="n"/>
      <c r="AH262" s="17" t="n"/>
      <c r="AI262" s="17">
        <f>AH262*4</f>
        <v/>
      </c>
      <c r="AJ262" s="15">
        <f>AF262-AG262-AH262-AI262</f>
        <v/>
      </c>
      <c r="AK262" s="18" t="n">
        <v>255</v>
      </c>
      <c r="AL262" s="23" t="n"/>
    </row>
    <row r="263" ht="23.5" customHeight="1">
      <c r="A263" s="6" t="inlineStr">
        <is>
          <t>256</t>
        </is>
      </c>
      <c r="B263" s="24" t="n"/>
      <c r="C263" s="55" t="n"/>
      <c r="D263" s="19" t="n"/>
      <c r="E263" s="24" t="n"/>
      <c r="F263" s="25" t="n"/>
      <c r="G263" s="25" t="n"/>
      <c r="H263" s="25" t="n"/>
      <c r="I263" s="11" t="n"/>
      <c r="J263" s="57" t="n"/>
      <c r="K263" s="12" t="n"/>
      <c r="L263" s="22" t="n"/>
      <c r="M263" s="13" t="n"/>
      <c r="N263" s="14">
        <f>ROUND(I263*(SUM(J263:M263))*68%,0)</f>
        <v/>
      </c>
      <c r="O263" s="61" t="n"/>
      <c r="P263" s="59" t="n"/>
      <c r="Q263" s="59" t="n"/>
      <c r="R263" s="58" t="n"/>
      <c r="S263" s="15">
        <f>I263*J263</f>
        <v/>
      </c>
      <c r="T263" s="15">
        <f>SUM(S263:S263)*68%</f>
        <v/>
      </c>
      <c r="U263" s="15">
        <f>I263*K263*40%*O263</f>
        <v/>
      </c>
      <c r="V263" s="15">
        <f>IF(P263&gt;=6750,(I263*K263*40%),0)</f>
        <v/>
      </c>
      <c r="W263" s="15">
        <f>IF(P263&lt;6750,0,IF(Q263="",0,IF(OR(Q263="KURANG",Q263="SANGAT KURANG"),I263*K263*10%,I263*K263*20%)))</f>
        <v/>
      </c>
      <c r="X263" s="15">
        <f>SUM(U263:W263)*68%</f>
        <v/>
      </c>
      <c r="Y263" s="15">
        <f>I263*L263</f>
        <v/>
      </c>
      <c r="Z263" s="15">
        <f>Y263 * 68%</f>
        <v/>
      </c>
      <c r="AA263" s="15">
        <f>I263*M263</f>
        <v/>
      </c>
      <c r="AB263" s="15">
        <f>AA263*68%</f>
        <v/>
      </c>
      <c r="AC263" s="16">
        <f>ROUND((T263+X263+Z263+AB263),0)</f>
        <v/>
      </c>
      <c r="AD263" s="16">
        <f>AG263</f>
        <v/>
      </c>
      <c r="AE263" s="16">
        <f>AI263</f>
        <v/>
      </c>
      <c r="AF263" s="16">
        <f>AC263+AD263+AE263</f>
        <v/>
      </c>
      <c r="AG263" s="16" t="n"/>
      <c r="AH263" s="17" t="n"/>
      <c r="AI263" s="17">
        <f>AH263*4</f>
        <v/>
      </c>
      <c r="AJ263" s="15">
        <f>AF263-AG263-AH263-AI263</f>
        <v/>
      </c>
      <c r="AK263" s="18" t="n">
        <v>256</v>
      </c>
      <c r="AL263" s="23" t="n"/>
    </row>
    <row r="264" ht="23.5" customHeight="1">
      <c r="A264" s="6" t="inlineStr">
        <is>
          <t>257</t>
        </is>
      </c>
      <c r="B264" s="24" t="n"/>
      <c r="C264" s="55" t="n"/>
      <c r="D264" s="19" t="n"/>
      <c r="E264" s="24" t="n"/>
      <c r="F264" s="25" t="n"/>
      <c r="G264" s="25" t="n"/>
      <c r="H264" s="25" t="n"/>
      <c r="I264" s="11" t="n"/>
      <c r="J264" s="57" t="n"/>
      <c r="K264" s="12" t="n"/>
      <c r="L264" s="22" t="n"/>
      <c r="M264" s="13" t="n"/>
      <c r="N264" s="14">
        <f>ROUND(I264*(SUM(J264:M264))*68%,0)</f>
        <v/>
      </c>
      <c r="O264" s="61" t="n"/>
      <c r="P264" s="59" t="n"/>
      <c r="Q264" s="59" t="n"/>
      <c r="R264" s="58" t="n"/>
      <c r="S264" s="15">
        <f>I264*J264</f>
        <v/>
      </c>
      <c r="T264" s="15">
        <f>SUM(S264:S264)*68%</f>
        <v/>
      </c>
      <c r="U264" s="15">
        <f>I264*K264*40%*O264</f>
        <v/>
      </c>
      <c r="V264" s="15">
        <f>IF(P264&gt;=6750,(I264*K264*40%),0)</f>
        <v/>
      </c>
      <c r="W264" s="15">
        <f>IF(P264&lt;6750,0,IF(Q264="",0,IF(OR(Q264="KURANG",Q264="SANGAT KURANG"),I264*K264*10%,I264*K264*20%)))</f>
        <v/>
      </c>
      <c r="X264" s="15">
        <f>SUM(U264:W264)*68%</f>
        <v/>
      </c>
      <c r="Y264" s="15">
        <f>I264*L264</f>
        <v/>
      </c>
      <c r="Z264" s="15">
        <f>Y264 * 68%</f>
        <v/>
      </c>
      <c r="AA264" s="15">
        <f>I264*M264</f>
        <v/>
      </c>
      <c r="AB264" s="15">
        <f>AA264*68%</f>
        <v/>
      </c>
      <c r="AC264" s="16">
        <f>ROUND((T264+X264+Z264+AB264),0)</f>
        <v/>
      </c>
      <c r="AD264" s="16">
        <f>AG264</f>
        <v/>
      </c>
      <c r="AE264" s="16">
        <f>AI264</f>
        <v/>
      </c>
      <c r="AF264" s="16">
        <f>AC264+AD264+AE264</f>
        <v/>
      </c>
      <c r="AG264" s="16" t="n"/>
      <c r="AH264" s="17" t="n"/>
      <c r="AI264" s="17">
        <f>AH264*4</f>
        <v/>
      </c>
      <c r="AJ264" s="15">
        <f>AF264-AG264-AH264-AI264</f>
        <v/>
      </c>
      <c r="AK264" s="18" t="n">
        <v>257</v>
      </c>
      <c r="AL264" s="40" t="n"/>
    </row>
    <row r="265" ht="23.5" customHeight="1">
      <c r="A265" s="6" t="inlineStr">
        <is>
          <t>258</t>
        </is>
      </c>
      <c r="B265" s="24" t="n"/>
      <c r="C265" s="55" t="n"/>
      <c r="D265" s="19" t="n"/>
      <c r="E265" s="24" t="n"/>
      <c r="F265" s="25" t="n"/>
      <c r="G265" s="25" t="n"/>
      <c r="H265" s="25" t="n"/>
      <c r="I265" s="11" t="n"/>
      <c r="J265" s="57" t="n"/>
      <c r="K265" s="12" t="n"/>
      <c r="L265" s="22" t="n"/>
      <c r="M265" s="13" t="n"/>
      <c r="N265" s="14">
        <f>ROUND(I265*(SUM(J265:M265))*68%,0)</f>
        <v/>
      </c>
      <c r="O265" s="61" t="n"/>
      <c r="P265" s="59" t="n"/>
      <c r="Q265" s="59" t="n"/>
      <c r="R265" s="58" t="n"/>
      <c r="S265" s="15">
        <f>I265*J265</f>
        <v/>
      </c>
      <c r="T265" s="15">
        <f>SUM(S265:S265)*68%</f>
        <v/>
      </c>
      <c r="U265" s="15">
        <f>I265*K265*40%*O265</f>
        <v/>
      </c>
      <c r="V265" s="15">
        <f>IF(P265&gt;=6750,(I265*K265*40%),0)</f>
        <v/>
      </c>
      <c r="W265" s="15">
        <f>IF(P265&lt;6750,0,IF(Q265="",0,IF(OR(Q265="KURANG",Q265="SANGAT KURANG"),I265*K265*10%,I265*K265*20%)))</f>
        <v/>
      </c>
      <c r="X265" s="15">
        <f>SUM(U265:W265)*68%</f>
        <v/>
      </c>
      <c r="Y265" s="15">
        <f>I265*L265</f>
        <v/>
      </c>
      <c r="Z265" s="15">
        <f>Y265 * 68%</f>
        <v/>
      </c>
      <c r="AA265" s="15">
        <f>I265*M265</f>
        <v/>
      </c>
      <c r="AB265" s="15">
        <f>AA265*68%</f>
        <v/>
      </c>
      <c r="AC265" s="16">
        <f>ROUND((T265+X265+Z265+AB265),0)</f>
        <v/>
      </c>
      <c r="AD265" s="16">
        <f>AG265</f>
        <v/>
      </c>
      <c r="AE265" s="16">
        <f>AI265</f>
        <v/>
      </c>
      <c r="AF265" s="16">
        <f>AC265+AD265+AE265</f>
        <v/>
      </c>
      <c r="AG265" s="16" t="n"/>
      <c r="AH265" s="17" t="n"/>
      <c r="AI265" s="17">
        <f>AH265*4</f>
        <v/>
      </c>
      <c r="AJ265" s="15">
        <f>AF265-AG265-AH265-AI265</f>
        <v/>
      </c>
      <c r="AK265" s="18" t="n">
        <v>258</v>
      </c>
      <c r="AL265" s="23" t="n"/>
    </row>
    <row r="266" ht="23.5" customHeight="1">
      <c r="A266" s="6" t="inlineStr">
        <is>
          <t>259</t>
        </is>
      </c>
      <c r="B266" s="24" t="n"/>
      <c r="C266" s="55" t="n"/>
      <c r="D266" s="19" t="n"/>
      <c r="E266" s="24" t="n"/>
      <c r="F266" s="25" t="n"/>
      <c r="G266" s="25" t="n"/>
      <c r="H266" s="25" t="n"/>
      <c r="I266" s="11" t="n"/>
      <c r="J266" s="57" t="n"/>
      <c r="K266" s="12" t="n"/>
      <c r="L266" s="22" t="n"/>
      <c r="M266" s="13" t="n"/>
      <c r="N266" s="14">
        <f>ROUND(I266*(SUM(J266:M266))*68%,0)</f>
        <v/>
      </c>
      <c r="O266" s="61" t="n"/>
      <c r="P266" s="59" t="n"/>
      <c r="Q266" s="59" t="n"/>
      <c r="R266" s="58" t="n"/>
      <c r="S266" s="15">
        <f>I266*J266</f>
        <v/>
      </c>
      <c r="T266" s="15">
        <f>SUM(S266:S266)*68%</f>
        <v/>
      </c>
      <c r="U266" s="15">
        <f>I266*K266*40%*O266</f>
        <v/>
      </c>
      <c r="V266" s="15">
        <f>IF(P266&gt;=6750,(I266*K266*40%),0)</f>
        <v/>
      </c>
      <c r="W266" s="15">
        <f>IF(P266&lt;6750,0,IF(Q266="",0,IF(OR(Q266="KURANG",Q266="SANGAT KURANG"),I266*K266*10%,I266*K266*20%)))</f>
        <v/>
      </c>
      <c r="X266" s="15">
        <f>SUM(U266:W266)*68%</f>
        <v/>
      </c>
      <c r="Y266" s="15">
        <f>I266*L266</f>
        <v/>
      </c>
      <c r="Z266" s="15">
        <f>Y266 * 68%</f>
        <v/>
      </c>
      <c r="AA266" s="15">
        <f>I266*M266</f>
        <v/>
      </c>
      <c r="AB266" s="15">
        <f>AA266*68%</f>
        <v/>
      </c>
      <c r="AC266" s="16">
        <f>ROUND((T266+X266+Z266+AB266),0)</f>
        <v/>
      </c>
      <c r="AD266" s="16">
        <f>AG266</f>
        <v/>
      </c>
      <c r="AE266" s="16">
        <f>AI266</f>
        <v/>
      </c>
      <c r="AF266" s="16">
        <f>AC266+AD266+AE266</f>
        <v/>
      </c>
      <c r="AG266" s="16" t="n"/>
      <c r="AH266" s="17" t="n"/>
      <c r="AI266" s="17">
        <f>AH266*4</f>
        <v/>
      </c>
      <c r="AJ266" s="15">
        <f>AF266-AG266-AH266-AI266</f>
        <v/>
      </c>
      <c r="AK266" s="18" t="n">
        <v>259</v>
      </c>
      <c r="AL266" s="23" t="n"/>
    </row>
    <row r="267" ht="23.5" customHeight="1">
      <c r="A267" s="6" t="inlineStr">
        <is>
          <t>260</t>
        </is>
      </c>
      <c r="B267" s="24" t="n"/>
      <c r="C267" s="55" t="n"/>
      <c r="D267" s="19" t="n"/>
      <c r="E267" s="24" t="n"/>
      <c r="F267" s="25" t="n"/>
      <c r="G267" s="25" t="n"/>
      <c r="H267" s="25" t="n"/>
      <c r="I267" s="11" t="n"/>
      <c r="J267" s="57" t="n"/>
      <c r="K267" s="12" t="n"/>
      <c r="L267" s="22" t="n"/>
      <c r="M267" s="13" t="n"/>
      <c r="N267" s="14">
        <f>ROUND(I267*(SUM(J267:M267))*68%,0)</f>
        <v/>
      </c>
      <c r="O267" s="61" t="n"/>
      <c r="P267" s="59" t="n"/>
      <c r="Q267" s="59" t="n"/>
      <c r="R267" s="58" t="n"/>
      <c r="S267" s="15">
        <f>I267*J267</f>
        <v/>
      </c>
      <c r="T267" s="15">
        <f>SUM(S267:S267)*68%</f>
        <v/>
      </c>
      <c r="U267" s="15">
        <f>I267*K267*40%*O267</f>
        <v/>
      </c>
      <c r="V267" s="15">
        <f>IF(P267&gt;=6750,(I267*K267*40%),0)</f>
        <v/>
      </c>
      <c r="W267" s="15">
        <f>IF(P267&lt;6750,0,IF(Q267="",0,IF(OR(Q267="KURANG",Q267="SANGAT KURANG"),I267*K267*10%,I267*K267*20%)))</f>
        <v/>
      </c>
      <c r="X267" s="15">
        <f>SUM(U267:W267)*68%</f>
        <v/>
      </c>
      <c r="Y267" s="15">
        <f>I267*L267</f>
        <v/>
      </c>
      <c r="Z267" s="15">
        <f>Y267 * 68%</f>
        <v/>
      </c>
      <c r="AA267" s="15">
        <f>I267*M267</f>
        <v/>
      </c>
      <c r="AB267" s="15">
        <f>AA267*68%</f>
        <v/>
      </c>
      <c r="AC267" s="16">
        <f>ROUND((T267+X267+Z267+AB267),0)</f>
        <v/>
      </c>
      <c r="AD267" s="16">
        <f>AG267</f>
        <v/>
      </c>
      <c r="AE267" s="16">
        <f>AI267</f>
        <v/>
      </c>
      <c r="AF267" s="16">
        <f>AC267+AD267+AE267</f>
        <v/>
      </c>
      <c r="AG267" s="16" t="n"/>
      <c r="AH267" s="17" t="n"/>
      <c r="AI267" s="17">
        <f>AH267*4</f>
        <v/>
      </c>
      <c r="AJ267" s="15">
        <f>AF267-AG267-AH267-AI267</f>
        <v/>
      </c>
      <c r="AK267" s="18" t="n">
        <v>260</v>
      </c>
      <c r="AL267" s="40" t="n"/>
    </row>
    <row r="268" ht="23.5" customHeight="1">
      <c r="A268" s="6" t="inlineStr">
        <is>
          <t>261</t>
        </is>
      </c>
      <c r="B268" s="24" t="n"/>
      <c r="C268" s="55" t="n"/>
      <c r="D268" s="19" t="n"/>
      <c r="E268" s="24" t="n"/>
      <c r="F268" s="25" t="n"/>
      <c r="G268" s="25" t="n"/>
      <c r="H268" s="25" t="n"/>
      <c r="I268" s="11" t="n"/>
      <c r="J268" s="57" t="n"/>
      <c r="K268" s="12" t="n"/>
      <c r="L268" s="22" t="n"/>
      <c r="M268" s="13" t="n"/>
      <c r="N268" s="14">
        <f>ROUND(I268*(SUM(J268:M268))*68%,0)</f>
        <v/>
      </c>
      <c r="O268" s="61" t="n"/>
      <c r="P268" s="59" t="n"/>
      <c r="Q268" s="59" t="n"/>
      <c r="R268" s="58" t="n"/>
      <c r="S268" s="15">
        <f>I268*J268</f>
        <v/>
      </c>
      <c r="T268" s="15">
        <f>SUM(S268:S268)*68%</f>
        <v/>
      </c>
      <c r="U268" s="15">
        <f>I268*K268*40%*O268</f>
        <v/>
      </c>
      <c r="V268" s="15">
        <f>IF(P268&gt;=6750,(I268*K268*40%),0)</f>
        <v/>
      </c>
      <c r="W268" s="15">
        <f>IF(P268&lt;6750,0,IF(Q268="",0,IF(OR(Q268="KURANG",Q268="SANGAT KURANG"),I268*K268*10%,I268*K268*20%)))</f>
        <v/>
      </c>
      <c r="X268" s="15">
        <f>SUM(U268:W268)*68%</f>
        <v/>
      </c>
      <c r="Y268" s="15">
        <f>I268*L268</f>
        <v/>
      </c>
      <c r="Z268" s="15">
        <f>Y268 * 68%</f>
        <v/>
      </c>
      <c r="AA268" s="15">
        <f>I268*M268</f>
        <v/>
      </c>
      <c r="AB268" s="15">
        <f>AA268*68%</f>
        <v/>
      </c>
      <c r="AC268" s="16">
        <f>ROUND((T268+X268+Z268+AB268),0)</f>
        <v/>
      </c>
      <c r="AD268" s="16">
        <f>AG268</f>
        <v/>
      </c>
      <c r="AE268" s="16">
        <f>AI268</f>
        <v/>
      </c>
      <c r="AF268" s="16">
        <f>AC268+AD268+AE268</f>
        <v/>
      </c>
      <c r="AG268" s="16" t="n"/>
      <c r="AH268" s="17" t="n"/>
      <c r="AI268" s="17">
        <f>AH268*4</f>
        <v/>
      </c>
      <c r="AJ268" s="15">
        <f>AF268-AG268-AH268-AI268</f>
        <v/>
      </c>
      <c r="AK268" s="18" t="n">
        <v>261</v>
      </c>
      <c r="AL268" s="23" t="n"/>
    </row>
    <row r="269" ht="23.5" customHeight="1">
      <c r="A269" s="6" t="inlineStr">
        <is>
          <t>262</t>
        </is>
      </c>
      <c r="B269" s="28" t="n"/>
      <c r="C269" s="55" t="n"/>
      <c r="D269" s="19" t="n"/>
      <c r="E269" s="24" t="n"/>
      <c r="F269" s="25" t="n"/>
      <c r="G269" s="25" t="n"/>
      <c r="H269" s="25" t="n"/>
      <c r="I269" s="11" t="n"/>
      <c r="J269" s="57" t="n"/>
      <c r="K269" s="12" t="n"/>
      <c r="L269" s="22" t="n"/>
      <c r="M269" s="13" t="n"/>
      <c r="N269" s="14">
        <f>ROUND(I269*(SUM(J269:M269))*68%,0)</f>
        <v/>
      </c>
      <c r="O269" s="61" t="n"/>
      <c r="P269" s="59" t="n"/>
      <c r="Q269" s="59" t="n"/>
      <c r="R269" s="58" t="n"/>
      <c r="S269" s="15">
        <f>I269*J269</f>
        <v/>
      </c>
      <c r="T269" s="15">
        <f>SUM(S269:S269)*68%</f>
        <v/>
      </c>
      <c r="U269" s="15">
        <f>I269*K269*40%*O269</f>
        <v/>
      </c>
      <c r="V269" s="15">
        <f>IF(P269&gt;=6750,(I269*K269*40%),0)</f>
        <v/>
      </c>
      <c r="W269" s="15">
        <f>IF(P269&lt;6750,0,IF(Q269="",0,IF(OR(Q269="KURANG",Q269="SANGAT KURANG"),I269*K269*10%,I269*K269*20%)))</f>
        <v/>
      </c>
      <c r="X269" s="15">
        <f>SUM(U269:W269)*68%</f>
        <v/>
      </c>
      <c r="Y269" s="15">
        <f>I269*L269</f>
        <v/>
      </c>
      <c r="Z269" s="15">
        <f>Y269 * 68%</f>
        <v/>
      </c>
      <c r="AA269" s="15">
        <f>I269*M269</f>
        <v/>
      </c>
      <c r="AB269" s="15">
        <f>AA269*68%</f>
        <v/>
      </c>
      <c r="AC269" s="16">
        <f>ROUND((T269+X269+Z269+AB269),0)</f>
        <v/>
      </c>
      <c r="AD269" s="16">
        <f>AG269</f>
        <v/>
      </c>
      <c r="AE269" s="16">
        <f>AI269</f>
        <v/>
      </c>
      <c r="AF269" s="16">
        <f>AC269+AD269+AE269</f>
        <v/>
      </c>
      <c r="AG269" s="16" t="n"/>
      <c r="AH269" s="17" t="n"/>
      <c r="AI269" s="17">
        <f>AH269*4</f>
        <v/>
      </c>
      <c r="AJ269" s="15">
        <f>AF269-AG269-AH269-AI269</f>
        <v/>
      </c>
      <c r="AK269" s="18" t="n">
        <v>262</v>
      </c>
      <c r="AL269" s="23" t="n"/>
    </row>
    <row r="270" ht="23.5" customHeight="1">
      <c r="A270" s="6" t="inlineStr">
        <is>
          <t>263</t>
        </is>
      </c>
      <c r="B270" s="28" t="n"/>
      <c r="C270" s="55" t="n"/>
      <c r="D270" s="19" t="n"/>
      <c r="E270" s="24" t="n"/>
      <c r="F270" s="25" t="n"/>
      <c r="G270" s="25" t="n"/>
      <c r="H270" s="25" t="n"/>
      <c r="I270" s="11" t="n"/>
      <c r="J270" s="57" t="n"/>
      <c r="K270" s="12" t="n"/>
      <c r="L270" s="22" t="n"/>
      <c r="M270" s="13" t="n"/>
      <c r="N270" s="14">
        <f>ROUND(I270*(SUM(J270:M270))*68%,0)</f>
        <v/>
      </c>
      <c r="O270" s="61" t="n"/>
      <c r="P270" s="59" t="n"/>
      <c r="Q270" s="59" t="n"/>
      <c r="R270" s="58" t="n"/>
      <c r="S270" s="15">
        <f>I270*J270</f>
        <v/>
      </c>
      <c r="T270" s="15">
        <f>SUM(S270:S270)*68%</f>
        <v/>
      </c>
      <c r="U270" s="15">
        <f>I270*K270*40%*O270</f>
        <v/>
      </c>
      <c r="V270" s="15">
        <f>IF(P270&gt;=6750,(I270*K270*40%),0)</f>
        <v/>
      </c>
      <c r="W270" s="15">
        <f>IF(P270&lt;6750,0,IF(Q270="",0,IF(OR(Q270="KURANG",Q270="SANGAT KURANG"),I270*K270*10%,I270*K270*20%)))</f>
        <v/>
      </c>
      <c r="X270" s="15">
        <f>SUM(U270:W270)*68%</f>
        <v/>
      </c>
      <c r="Y270" s="15">
        <f>I270*L270</f>
        <v/>
      </c>
      <c r="Z270" s="15">
        <f>Y270 * 68%</f>
        <v/>
      </c>
      <c r="AA270" s="15">
        <f>I270*M270</f>
        <v/>
      </c>
      <c r="AB270" s="15">
        <f>AA270*68%</f>
        <v/>
      </c>
      <c r="AC270" s="16">
        <f>ROUND((T270+X270+Z270+AB270),0)</f>
        <v/>
      </c>
      <c r="AD270" s="16">
        <f>AG270</f>
        <v/>
      </c>
      <c r="AE270" s="16">
        <f>AI270</f>
        <v/>
      </c>
      <c r="AF270" s="16">
        <f>AC270+AD270+AE270</f>
        <v/>
      </c>
      <c r="AG270" s="16" t="n"/>
      <c r="AH270" s="17" t="n"/>
      <c r="AI270" s="17">
        <f>AH270*4</f>
        <v/>
      </c>
      <c r="AJ270" s="15">
        <f>AF270-AG270-AH270-AI270</f>
        <v/>
      </c>
      <c r="AK270" s="18" t="n">
        <v>263</v>
      </c>
      <c r="AL270" s="40" t="n"/>
    </row>
    <row r="271" ht="23.5" customHeight="1">
      <c r="A271" s="6" t="inlineStr">
        <is>
          <t>264</t>
        </is>
      </c>
      <c r="B271" s="24" t="n"/>
      <c r="C271" s="55" t="n"/>
      <c r="D271" s="19" t="n"/>
      <c r="E271" s="24" t="n"/>
      <c r="F271" s="25" t="n"/>
      <c r="G271" s="25" t="n"/>
      <c r="H271" s="25" t="n"/>
      <c r="I271" s="11" t="n"/>
      <c r="J271" s="57" t="n"/>
      <c r="K271" s="12" t="n"/>
      <c r="L271" s="22" t="n"/>
      <c r="M271" s="13" t="n"/>
      <c r="N271" s="14">
        <f>ROUND(I271*(SUM(J271:M271))*68%,0)</f>
        <v/>
      </c>
      <c r="O271" s="61" t="n"/>
      <c r="P271" s="59" t="n"/>
      <c r="Q271" s="59" t="n"/>
      <c r="R271" s="58" t="n"/>
      <c r="S271" s="15">
        <f>I271*J271</f>
        <v/>
      </c>
      <c r="T271" s="15">
        <f>SUM(S271:S271)*68%</f>
        <v/>
      </c>
      <c r="U271" s="15">
        <f>I271*K271*40%*O271</f>
        <v/>
      </c>
      <c r="V271" s="15">
        <f>IF(P271&gt;=6750,(I271*K271*40%),0)</f>
        <v/>
      </c>
      <c r="W271" s="15">
        <f>IF(P271&lt;6750,0,IF(Q271="",0,IF(OR(Q271="KURANG",Q271="SANGAT KURANG"),I271*K271*10%,I271*K271*20%)))</f>
        <v/>
      </c>
      <c r="X271" s="15">
        <f>SUM(U271:W271)*68%</f>
        <v/>
      </c>
      <c r="Y271" s="15">
        <f>I271*L271</f>
        <v/>
      </c>
      <c r="Z271" s="15">
        <f>Y271 * 68%</f>
        <v/>
      </c>
      <c r="AA271" s="15">
        <f>I271*M271</f>
        <v/>
      </c>
      <c r="AB271" s="15">
        <f>AA271*68%</f>
        <v/>
      </c>
      <c r="AC271" s="16">
        <f>ROUND((T271+X271+Z271+AB271),0)</f>
        <v/>
      </c>
      <c r="AD271" s="16">
        <f>AG271</f>
        <v/>
      </c>
      <c r="AE271" s="16">
        <f>AI271</f>
        <v/>
      </c>
      <c r="AF271" s="16">
        <f>AC271+AD271+AE271</f>
        <v/>
      </c>
      <c r="AG271" s="16" t="n"/>
      <c r="AH271" s="17" t="n"/>
      <c r="AI271" s="17">
        <f>AH271*4</f>
        <v/>
      </c>
      <c r="AJ271" s="15">
        <f>AF271-AG271-AH271-AI271</f>
        <v/>
      </c>
      <c r="AK271" s="18" t="n">
        <v>264</v>
      </c>
      <c r="AL271" s="23" t="n"/>
    </row>
    <row r="272" ht="23.5" customHeight="1">
      <c r="A272" s="6" t="inlineStr">
        <is>
          <t>265</t>
        </is>
      </c>
      <c r="B272" s="24" t="n"/>
      <c r="C272" s="55" t="n"/>
      <c r="D272" s="19" t="n"/>
      <c r="E272" s="24" t="n"/>
      <c r="F272" s="25" t="n"/>
      <c r="G272" s="25" t="n"/>
      <c r="H272" s="25" t="n"/>
      <c r="I272" s="11" t="n"/>
      <c r="J272" s="57" t="n"/>
      <c r="K272" s="12" t="n"/>
      <c r="L272" s="22" t="n"/>
      <c r="M272" s="13" t="n"/>
      <c r="N272" s="14">
        <f>ROUND(I272*(SUM(J272:M272))*68%,0)</f>
        <v/>
      </c>
      <c r="O272" s="61" t="n"/>
      <c r="P272" s="59" t="n"/>
      <c r="Q272" s="59" t="n"/>
      <c r="R272" s="58" t="n"/>
      <c r="S272" s="15">
        <f>I272*J272</f>
        <v/>
      </c>
      <c r="T272" s="15">
        <f>SUM(S272:S272)*68%</f>
        <v/>
      </c>
      <c r="U272" s="15">
        <f>I272*K272*40%*O272</f>
        <v/>
      </c>
      <c r="V272" s="15">
        <f>IF(P272&gt;=6750,(I272*K272*40%),0)</f>
        <v/>
      </c>
      <c r="W272" s="15">
        <f>IF(P272&lt;6750,0,IF(Q272="",0,IF(OR(Q272="KURANG",Q272="SANGAT KURANG"),I272*K272*10%,I272*K272*20%)))</f>
        <v/>
      </c>
      <c r="X272" s="15">
        <f>SUM(U272:W272)*68%</f>
        <v/>
      </c>
      <c r="Y272" s="15">
        <f>I272*L272</f>
        <v/>
      </c>
      <c r="Z272" s="15">
        <f>Y272 * 68%</f>
        <v/>
      </c>
      <c r="AA272" s="15">
        <f>I272*M272</f>
        <v/>
      </c>
      <c r="AB272" s="15">
        <f>AA272*68%</f>
        <v/>
      </c>
      <c r="AC272" s="16">
        <f>ROUND((T272+X272+Z272+AB272),0)</f>
        <v/>
      </c>
      <c r="AD272" s="16">
        <f>AG272</f>
        <v/>
      </c>
      <c r="AE272" s="16">
        <f>AI272</f>
        <v/>
      </c>
      <c r="AF272" s="16">
        <f>AC272+AD272+AE272</f>
        <v/>
      </c>
      <c r="AG272" s="16" t="n"/>
      <c r="AH272" s="17" t="n"/>
      <c r="AI272" s="17">
        <f>AH272*4</f>
        <v/>
      </c>
      <c r="AJ272" s="15">
        <f>AF272-AG272-AH272-AI272</f>
        <v/>
      </c>
      <c r="AK272" s="18" t="n">
        <v>265</v>
      </c>
      <c r="AL272" s="23" t="n"/>
    </row>
    <row r="273" ht="23.5" customHeight="1">
      <c r="A273" s="6" t="inlineStr">
        <is>
          <t>266</t>
        </is>
      </c>
      <c r="B273" s="24" t="n"/>
      <c r="C273" s="55" t="n"/>
      <c r="D273" s="19" t="n"/>
      <c r="E273" s="24" t="n"/>
      <c r="F273" s="25" t="n"/>
      <c r="G273" s="25" t="n"/>
      <c r="H273" s="25" t="n"/>
      <c r="I273" s="11" t="n"/>
      <c r="J273" s="57" t="n"/>
      <c r="K273" s="12" t="n"/>
      <c r="L273" s="22" t="n"/>
      <c r="M273" s="13" t="n"/>
      <c r="N273" s="14">
        <f>ROUND(I273*(SUM(J273:M273))*68%,0)</f>
        <v/>
      </c>
      <c r="O273" s="61" t="n"/>
      <c r="P273" s="59" t="n"/>
      <c r="Q273" s="59" t="n"/>
      <c r="R273" s="58" t="n"/>
      <c r="S273" s="15">
        <f>I273*J273</f>
        <v/>
      </c>
      <c r="T273" s="15">
        <f>SUM(S273:S273)*68%</f>
        <v/>
      </c>
      <c r="U273" s="15">
        <f>I273*K273*40%*O273</f>
        <v/>
      </c>
      <c r="V273" s="15">
        <f>IF(P273&gt;=6750,(I273*K273*40%),0)</f>
        <v/>
      </c>
      <c r="W273" s="15">
        <f>IF(P273&lt;6750,0,IF(Q273="",0,IF(OR(Q273="KURANG",Q273="SANGAT KURANG"),I273*K273*10%,I273*K273*20%)))</f>
        <v/>
      </c>
      <c r="X273" s="15">
        <f>SUM(U273:W273)*68%</f>
        <v/>
      </c>
      <c r="Y273" s="15">
        <f>I273*L273</f>
        <v/>
      </c>
      <c r="Z273" s="15">
        <f>Y273 * 68%</f>
        <v/>
      </c>
      <c r="AA273" s="15">
        <f>I273*M273</f>
        <v/>
      </c>
      <c r="AB273" s="15">
        <f>AA273*68%</f>
        <v/>
      </c>
      <c r="AC273" s="16">
        <f>ROUND((T273+X273+Z273+AB273),0)</f>
        <v/>
      </c>
      <c r="AD273" s="16">
        <f>AG273</f>
        <v/>
      </c>
      <c r="AE273" s="16">
        <f>AI273</f>
        <v/>
      </c>
      <c r="AF273" s="16">
        <f>AC273+AD273+AE273</f>
        <v/>
      </c>
      <c r="AG273" s="16" t="n"/>
      <c r="AH273" s="17" t="n"/>
      <c r="AI273" s="17">
        <f>AH273*4</f>
        <v/>
      </c>
      <c r="AJ273" s="15">
        <f>AF273-AG273-AH273-AI273</f>
        <v/>
      </c>
      <c r="AK273" s="18" t="n">
        <v>266</v>
      </c>
      <c r="AL273" s="40" t="n"/>
    </row>
    <row r="274" ht="23.5" customHeight="1">
      <c r="A274" s="6" t="inlineStr">
        <is>
          <t>267</t>
        </is>
      </c>
      <c r="B274" s="24" t="n"/>
      <c r="C274" s="55" t="n"/>
      <c r="D274" s="19" t="n"/>
      <c r="E274" s="24" t="n"/>
      <c r="F274" s="25" t="n"/>
      <c r="G274" s="25" t="n"/>
      <c r="H274" s="25" t="n"/>
      <c r="I274" s="11" t="n"/>
      <c r="J274" s="57" t="n"/>
      <c r="K274" s="12" t="n"/>
      <c r="L274" s="22" t="n"/>
      <c r="M274" s="13" t="n"/>
      <c r="N274" s="14">
        <f>ROUND(I274*(SUM(J274:M274))*68%,0)</f>
        <v/>
      </c>
      <c r="O274" s="61" t="n"/>
      <c r="P274" s="59" t="n"/>
      <c r="Q274" s="59" t="n"/>
      <c r="R274" s="58" t="n"/>
      <c r="S274" s="15">
        <f>I274*J274</f>
        <v/>
      </c>
      <c r="T274" s="15">
        <f>SUM(S274:S274)*68%</f>
        <v/>
      </c>
      <c r="U274" s="15">
        <f>I274*K274*40%*O274</f>
        <v/>
      </c>
      <c r="V274" s="15">
        <f>IF(P274&gt;=6750,(I274*K274*40%),0)</f>
        <v/>
      </c>
      <c r="W274" s="15">
        <f>IF(P274&lt;6750,0,IF(Q274="",0,IF(OR(Q274="KURANG",Q274="SANGAT KURANG"),I274*K274*10%,I274*K274*20%)))</f>
        <v/>
      </c>
      <c r="X274" s="15">
        <f>SUM(U274:W274)*68%</f>
        <v/>
      </c>
      <c r="Y274" s="15">
        <f>I274*L274</f>
        <v/>
      </c>
      <c r="Z274" s="15">
        <f>Y274 * 68%</f>
        <v/>
      </c>
      <c r="AA274" s="15">
        <f>I274*M274</f>
        <v/>
      </c>
      <c r="AB274" s="15">
        <f>AA274*68%</f>
        <v/>
      </c>
      <c r="AC274" s="16">
        <f>ROUND((T274+X274+Z274+AB274),0)</f>
        <v/>
      </c>
      <c r="AD274" s="16">
        <f>AG274</f>
        <v/>
      </c>
      <c r="AE274" s="16">
        <f>AI274</f>
        <v/>
      </c>
      <c r="AF274" s="16">
        <f>AC274+AD274+AE274</f>
        <v/>
      </c>
      <c r="AG274" s="16" t="n"/>
      <c r="AH274" s="17" t="n"/>
      <c r="AI274" s="17">
        <f>AH274*4</f>
        <v/>
      </c>
      <c r="AJ274" s="15">
        <f>AF274-AG274-AH274-AI274</f>
        <v/>
      </c>
      <c r="AK274" s="18" t="n">
        <v>267</v>
      </c>
      <c r="AL274" s="23" t="n"/>
    </row>
    <row r="275" ht="23.5" customHeight="1">
      <c r="A275" s="6" t="inlineStr">
        <is>
          <t>268</t>
        </is>
      </c>
      <c r="B275" s="24" t="n"/>
      <c r="C275" s="55" t="n"/>
      <c r="D275" s="19" t="n"/>
      <c r="E275" s="24" t="n"/>
      <c r="F275" s="25" t="n"/>
      <c r="G275" s="25" t="n"/>
      <c r="H275" s="25" t="n"/>
      <c r="I275" s="11" t="n"/>
      <c r="J275" s="57" t="n"/>
      <c r="K275" s="12" t="n"/>
      <c r="L275" s="22" t="n"/>
      <c r="M275" s="13" t="n"/>
      <c r="N275" s="14">
        <f>ROUND(I275*(SUM(J275:M275))*68%,0)</f>
        <v/>
      </c>
      <c r="O275" s="61" t="n"/>
      <c r="P275" s="59" t="n"/>
      <c r="Q275" s="59" t="n"/>
      <c r="R275" s="58" t="n"/>
      <c r="S275" s="15">
        <f>I275*J275</f>
        <v/>
      </c>
      <c r="T275" s="15">
        <f>SUM(S275:S275)*68%</f>
        <v/>
      </c>
      <c r="U275" s="15">
        <f>I275*K275*40%*O275</f>
        <v/>
      </c>
      <c r="V275" s="15">
        <f>IF(P275&gt;=6750,(I275*K275*40%),0)</f>
        <v/>
      </c>
      <c r="W275" s="15">
        <f>IF(P275&lt;6750,0,IF(Q275="",0,IF(OR(Q275="KURANG",Q275="SANGAT KURANG"),I275*K275*10%,I275*K275*20%)))</f>
        <v/>
      </c>
      <c r="X275" s="15">
        <f>SUM(U275:W275)*68%</f>
        <v/>
      </c>
      <c r="Y275" s="15">
        <f>I275*L275</f>
        <v/>
      </c>
      <c r="Z275" s="15">
        <f>Y275 * 68%</f>
        <v/>
      </c>
      <c r="AA275" s="15">
        <f>I275*M275</f>
        <v/>
      </c>
      <c r="AB275" s="15">
        <f>AA275*68%</f>
        <v/>
      </c>
      <c r="AC275" s="16">
        <f>ROUND((T275+X275+Z275+AB275),0)</f>
        <v/>
      </c>
      <c r="AD275" s="16">
        <f>AG275</f>
        <v/>
      </c>
      <c r="AE275" s="16">
        <f>AI275</f>
        <v/>
      </c>
      <c r="AF275" s="16">
        <f>AC275+AD275+AE275</f>
        <v/>
      </c>
      <c r="AG275" s="16" t="n"/>
      <c r="AH275" s="17" t="n"/>
      <c r="AI275" s="17">
        <f>AH275*4</f>
        <v/>
      </c>
      <c r="AJ275" s="15">
        <f>AF275-AG275-AH275-AI275</f>
        <v/>
      </c>
      <c r="AK275" s="18" t="n">
        <v>268</v>
      </c>
      <c r="AL275" s="23" t="n"/>
    </row>
    <row r="276" ht="23.5" customHeight="1">
      <c r="A276" s="6" t="inlineStr">
        <is>
          <t>269</t>
        </is>
      </c>
      <c r="B276" s="24" t="n"/>
      <c r="C276" s="55" t="n"/>
      <c r="D276" s="19" t="n"/>
      <c r="E276" s="24" t="n"/>
      <c r="F276" s="25" t="n"/>
      <c r="G276" s="25" t="n"/>
      <c r="H276" s="25" t="n"/>
      <c r="I276" s="11" t="n"/>
      <c r="J276" s="57" t="n"/>
      <c r="K276" s="12" t="n"/>
      <c r="L276" s="22" t="n"/>
      <c r="M276" s="13" t="n"/>
      <c r="N276" s="14">
        <f>ROUND(I276*(SUM(J276:M276))*68%,0)</f>
        <v/>
      </c>
      <c r="O276" s="61" t="n"/>
      <c r="P276" s="59" t="n"/>
      <c r="Q276" s="59" t="n"/>
      <c r="R276" s="58" t="n"/>
      <c r="S276" s="15">
        <f>I276*J276</f>
        <v/>
      </c>
      <c r="T276" s="15">
        <f>SUM(S276:S276)*68%</f>
        <v/>
      </c>
      <c r="U276" s="15">
        <f>I276*K276*40%*O276</f>
        <v/>
      </c>
      <c r="V276" s="15">
        <f>IF(P276&gt;=6750,(I276*K276*40%),0)</f>
        <v/>
      </c>
      <c r="W276" s="15">
        <f>IF(P276&lt;6750,0,IF(Q276="",0,IF(OR(Q276="KURANG",Q276="SANGAT KURANG"),I276*K276*10%,I276*K276*20%)))</f>
        <v/>
      </c>
      <c r="X276" s="15">
        <f>SUM(U276:W276)*68%</f>
        <v/>
      </c>
      <c r="Y276" s="15">
        <f>I276*L276</f>
        <v/>
      </c>
      <c r="Z276" s="15">
        <f>Y276 * 68%</f>
        <v/>
      </c>
      <c r="AA276" s="15">
        <f>I276*M276</f>
        <v/>
      </c>
      <c r="AB276" s="15">
        <f>AA276*68%</f>
        <v/>
      </c>
      <c r="AC276" s="16">
        <f>ROUND((T276+X276+Z276+AB276),0)</f>
        <v/>
      </c>
      <c r="AD276" s="16">
        <f>AG276</f>
        <v/>
      </c>
      <c r="AE276" s="16">
        <f>AI276</f>
        <v/>
      </c>
      <c r="AF276" s="16">
        <f>AC276+AD276+AE276</f>
        <v/>
      </c>
      <c r="AG276" s="16" t="n"/>
      <c r="AH276" s="17" t="n"/>
      <c r="AI276" s="17">
        <f>AH276*4</f>
        <v/>
      </c>
      <c r="AJ276" s="15">
        <f>AF276-AG276-AH276-AI276</f>
        <v/>
      </c>
      <c r="AK276" s="18" t="n">
        <v>269</v>
      </c>
      <c r="AL276" s="40" t="n"/>
    </row>
    <row r="277" ht="23.5" customHeight="1">
      <c r="A277" s="6" t="inlineStr">
        <is>
          <t>270</t>
        </is>
      </c>
      <c r="B277" s="24" t="n"/>
      <c r="C277" s="55" t="n"/>
      <c r="D277" s="19" t="n"/>
      <c r="E277" s="24" t="n"/>
      <c r="F277" s="25" t="n"/>
      <c r="G277" s="25" t="n"/>
      <c r="H277" s="25" t="n"/>
      <c r="I277" s="11" t="n"/>
      <c r="J277" s="57" t="n"/>
      <c r="K277" s="12" t="n"/>
      <c r="L277" s="22" t="n"/>
      <c r="M277" s="13" t="n"/>
      <c r="N277" s="14">
        <f>ROUND(I277*(SUM(J277:M277))*68%,0)</f>
        <v/>
      </c>
      <c r="O277" s="61" t="n"/>
      <c r="P277" s="59" t="n"/>
      <c r="Q277" s="59" t="n"/>
      <c r="R277" s="58" t="n"/>
      <c r="S277" s="15">
        <f>I277*J277</f>
        <v/>
      </c>
      <c r="T277" s="15">
        <f>SUM(S277:S277)*68%</f>
        <v/>
      </c>
      <c r="U277" s="15">
        <f>I277*K277*40%*O277</f>
        <v/>
      </c>
      <c r="V277" s="15">
        <f>IF(P277&gt;=6750,(I277*K277*40%),0)</f>
        <v/>
      </c>
      <c r="W277" s="15">
        <f>IF(P277&lt;6750,0,IF(Q277="",0,IF(OR(Q277="KURANG",Q277="SANGAT KURANG"),I277*K277*10%,I277*K277*20%)))</f>
        <v/>
      </c>
      <c r="X277" s="15">
        <f>SUM(U277:W277)*68%</f>
        <v/>
      </c>
      <c r="Y277" s="15">
        <f>I277*L277</f>
        <v/>
      </c>
      <c r="Z277" s="15">
        <f>Y277 * 68%</f>
        <v/>
      </c>
      <c r="AA277" s="15">
        <f>I277*M277</f>
        <v/>
      </c>
      <c r="AB277" s="15">
        <f>AA277*68%</f>
        <v/>
      </c>
      <c r="AC277" s="16">
        <f>ROUND((T277+X277+Z277+AB277),0)</f>
        <v/>
      </c>
      <c r="AD277" s="16">
        <f>AG277</f>
        <v/>
      </c>
      <c r="AE277" s="16">
        <f>AI277</f>
        <v/>
      </c>
      <c r="AF277" s="16">
        <f>AC277+AD277+AE277</f>
        <v/>
      </c>
      <c r="AG277" s="16" t="n"/>
      <c r="AH277" s="17" t="n"/>
      <c r="AI277" s="17">
        <f>AH277*4</f>
        <v/>
      </c>
      <c r="AJ277" s="15">
        <f>AF277-AG277-AH277-AI277</f>
        <v/>
      </c>
      <c r="AK277" s="18" t="n">
        <v>270</v>
      </c>
      <c r="AL277" s="23" t="n"/>
    </row>
    <row r="278" ht="23.5" customHeight="1">
      <c r="A278" s="6" t="inlineStr">
        <is>
          <t>271</t>
        </is>
      </c>
      <c r="B278" s="24" t="n"/>
      <c r="C278" s="55" t="n"/>
      <c r="D278" s="19" t="n"/>
      <c r="E278" s="24" t="n"/>
      <c r="F278" s="25" t="n"/>
      <c r="G278" s="25" t="n"/>
      <c r="H278" s="25" t="n"/>
      <c r="I278" s="11" t="n"/>
      <c r="J278" s="57" t="n"/>
      <c r="K278" s="12" t="n"/>
      <c r="L278" s="22" t="n"/>
      <c r="M278" s="13" t="n"/>
      <c r="N278" s="14">
        <f>ROUND(I278*(SUM(J278:M278))*68%,0)</f>
        <v/>
      </c>
      <c r="O278" s="61" t="n"/>
      <c r="P278" s="59" t="n"/>
      <c r="Q278" s="59" t="n"/>
      <c r="R278" s="58" t="n"/>
      <c r="S278" s="15">
        <f>I278*J278</f>
        <v/>
      </c>
      <c r="T278" s="15">
        <f>SUM(S278:S278)*68%</f>
        <v/>
      </c>
      <c r="U278" s="15">
        <f>I278*K278*40%*O278</f>
        <v/>
      </c>
      <c r="V278" s="15">
        <f>IF(P278&gt;=6750,(I278*K278*40%),0)</f>
        <v/>
      </c>
      <c r="W278" s="15">
        <f>IF(P278&lt;6750,0,IF(Q278="",0,IF(OR(Q278="KURANG",Q278="SANGAT KURANG"),I278*K278*10%,I278*K278*20%)))</f>
        <v/>
      </c>
      <c r="X278" s="15">
        <f>SUM(U278:W278)*68%</f>
        <v/>
      </c>
      <c r="Y278" s="15">
        <f>I278*L278</f>
        <v/>
      </c>
      <c r="Z278" s="15">
        <f>Y278 * 68%</f>
        <v/>
      </c>
      <c r="AA278" s="15">
        <f>I278*M278</f>
        <v/>
      </c>
      <c r="AB278" s="15">
        <f>AA278*68%</f>
        <v/>
      </c>
      <c r="AC278" s="16">
        <f>ROUND((T278+X278+Z278+AB278),0)</f>
        <v/>
      </c>
      <c r="AD278" s="16">
        <f>AG278</f>
        <v/>
      </c>
      <c r="AE278" s="16">
        <f>AI278</f>
        <v/>
      </c>
      <c r="AF278" s="16">
        <f>AC278+AD278+AE278</f>
        <v/>
      </c>
      <c r="AG278" s="16" t="n"/>
      <c r="AH278" s="17" t="n"/>
      <c r="AI278" s="17">
        <f>AH278*4</f>
        <v/>
      </c>
      <c r="AJ278" s="15">
        <f>AF278-AG278-AH278-AI278</f>
        <v/>
      </c>
      <c r="AK278" s="18" t="n">
        <v>271</v>
      </c>
      <c r="AL278" s="23" t="n"/>
    </row>
    <row r="279" ht="23.5" customHeight="1">
      <c r="A279" s="6" t="inlineStr">
        <is>
          <t>272</t>
        </is>
      </c>
      <c r="B279" s="24" t="n"/>
      <c r="C279" s="55" t="n"/>
      <c r="D279" s="19" t="n"/>
      <c r="E279" s="24" t="n"/>
      <c r="F279" s="25" t="n"/>
      <c r="G279" s="25" t="n"/>
      <c r="H279" s="25" t="n"/>
      <c r="I279" s="11" t="n"/>
      <c r="J279" s="57" t="n"/>
      <c r="K279" s="12" t="n"/>
      <c r="L279" s="22" t="n"/>
      <c r="M279" s="13" t="n"/>
      <c r="N279" s="14">
        <f>ROUND(I279*(SUM(J279:M279))*68%,0)</f>
        <v/>
      </c>
      <c r="O279" s="61" t="n"/>
      <c r="P279" s="59" t="n"/>
      <c r="Q279" s="59" t="n"/>
      <c r="R279" s="58" t="n"/>
      <c r="S279" s="15">
        <f>I279*J279</f>
        <v/>
      </c>
      <c r="T279" s="15">
        <f>SUM(S279:S279)*68%</f>
        <v/>
      </c>
      <c r="U279" s="15">
        <f>I279*K279*40%*O279</f>
        <v/>
      </c>
      <c r="V279" s="15">
        <f>IF(P279&gt;=6750,(I279*K279*40%),0)</f>
        <v/>
      </c>
      <c r="W279" s="15">
        <f>IF(P279&lt;6750,0,IF(Q279="",0,IF(OR(Q279="KURANG",Q279="SANGAT KURANG"),I279*K279*10%,I279*K279*20%)))</f>
        <v/>
      </c>
      <c r="X279" s="15">
        <f>SUM(U279:W279)*68%</f>
        <v/>
      </c>
      <c r="Y279" s="15">
        <f>I279*L279</f>
        <v/>
      </c>
      <c r="Z279" s="15">
        <f>Y279 * 68%</f>
        <v/>
      </c>
      <c r="AA279" s="15">
        <f>I279*M279</f>
        <v/>
      </c>
      <c r="AB279" s="15">
        <f>AA279*68%</f>
        <v/>
      </c>
      <c r="AC279" s="16">
        <f>ROUND((T279+X279+Z279+AB279),0)</f>
        <v/>
      </c>
      <c r="AD279" s="16">
        <f>AG279</f>
        <v/>
      </c>
      <c r="AE279" s="16">
        <f>AI279</f>
        <v/>
      </c>
      <c r="AF279" s="16">
        <f>AC279+AD279+AE279</f>
        <v/>
      </c>
      <c r="AG279" s="16" t="n"/>
      <c r="AH279" s="17" t="n"/>
      <c r="AI279" s="17">
        <f>AH279*4</f>
        <v/>
      </c>
      <c r="AJ279" s="15">
        <f>AF279-AG279-AH279-AI279</f>
        <v/>
      </c>
      <c r="AK279" s="18" t="n">
        <v>272</v>
      </c>
      <c r="AL279" s="40" t="n"/>
    </row>
    <row r="280" ht="23.5" customHeight="1">
      <c r="A280" s="6" t="inlineStr">
        <is>
          <t>273</t>
        </is>
      </c>
      <c r="B280" s="24" t="n"/>
      <c r="C280" s="55" t="n"/>
      <c r="D280" s="19" t="n"/>
      <c r="E280" s="24" t="n"/>
      <c r="F280" s="25" t="n"/>
      <c r="G280" s="25" t="n"/>
      <c r="H280" s="25" t="n"/>
      <c r="I280" s="11" t="n"/>
      <c r="J280" s="57" t="n"/>
      <c r="K280" s="12" t="n"/>
      <c r="L280" s="22" t="n"/>
      <c r="M280" s="13" t="n"/>
      <c r="N280" s="14">
        <f>ROUND(I280*(SUM(J280:M280))*68%,0)</f>
        <v/>
      </c>
      <c r="O280" s="61" t="n"/>
      <c r="P280" s="59" t="n"/>
      <c r="Q280" s="59" t="n"/>
      <c r="R280" s="58" t="n"/>
      <c r="S280" s="15">
        <f>I280*J280</f>
        <v/>
      </c>
      <c r="T280" s="15">
        <f>SUM(S280:S280)*68%</f>
        <v/>
      </c>
      <c r="U280" s="15">
        <f>I280*K280*40%*O280</f>
        <v/>
      </c>
      <c r="V280" s="15">
        <f>IF(P280&gt;=6750,(I280*K280*40%),0)</f>
        <v/>
      </c>
      <c r="W280" s="15">
        <f>IF(P280&lt;6750,0,IF(Q280="",0,IF(OR(Q280="KURANG",Q280="SANGAT KURANG"),I280*K280*10%,I280*K280*20%)))</f>
        <v/>
      </c>
      <c r="X280" s="15">
        <f>SUM(U280:W280)*68%</f>
        <v/>
      </c>
      <c r="Y280" s="15">
        <f>I280*L280</f>
        <v/>
      </c>
      <c r="Z280" s="15">
        <f>Y280 * 68%</f>
        <v/>
      </c>
      <c r="AA280" s="15">
        <f>I280*M280</f>
        <v/>
      </c>
      <c r="AB280" s="15">
        <f>AA280*68%</f>
        <v/>
      </c>
      <c r="AC280" s="16">
        <f>ROUND((T280+X280+Z280+AB280),0)</f>
        <v/>
      </c>
      <c r="AD280" s="16">
        <f>AG280</f>
        <v/>
      </c>
      <c r="AE280" s="16">
        <f>AI280</f>
        <v/>
      </c>
      <c r="AF280" s="16">
        <f>AC280+AD280+AE280</f>
        <v/>
      </c>
      <c r="AG280" s="16" t="n"/>
      <c r="AH280" s="17" t="n"/>
      <c r="AI280" s="17">
        <f>AH280*4</f>
        <v/>
      </c>
      <c r="AJ280" s="15">
        <f>AF280-AG280-AH280-AI280</f>
        <v/>
      </c>
      <c r="AK280" s="18" t="n">
        <v>273</v>
      </c>
      <c r="AL280" s="23" t="n"/>
    </row>
    <row r="281" ht="23.5" customHeight="1">
      <c r="A281" s="6" t="inlineStr">
        <is>
          <t>274</t>
        </is>
      </c>
      <c r="B281" s="24" t="n"/>
      <c r="C281" s="55" t="n"/>
      <c r="D281" s="19" t="n"/>
      <c r="E281" s="24" t="n"/>
      <c r="F281" s="25" t="n"/>
      <c r="G281" s="25" t="n"/>
      <c r="H281" s="25" t="n"/>
      <c r="I281" s="11" t="n"/>
      <c r="J281" s="57" t="n"/>
      <c r="K281" s="12" t="n"/>
      <c r="L281" s="22" t="n"/>
      <c r="M281" s="13" t="n"/>
      <c r="N281" s="14">
        <f>ROUND(I281*(SUM(J281:M281))*68%,0)</f>
        <v/>
      </c>
      <c r="O281" s="61" t="n"/>
      <c r="P281" s="59" t="n"/>
      <c r="Q281" s="59" t="n"/>
      <c r="R281" s="58" t="n"/>
      <c r="S281" s="15">
        <f>I281*J281</f>
        <v/>
      </c>
      <c r="T281" s="15">
        <f>SUM(S281:S281)*68%</f>
        <v/>
      </c>
      <c r="U281" s="15">
        <f>I281*K281*40%*O281</f>
        <v/>
      </c>
      <c r="V281" s="15">
        <f>IF(P281&gt;=6750,(I281*K281*40%),0)</f>
        <v/>
      </c>
      <c r="W281" s="15">
        <f>IF(P281&lt;6750,0,IF(Q281="",0,IF(OR(Q281="KURANG",Q281="SANGAT KURANG"),I281*K281*10%,I281*K281*20%)))</f>
        <v/>
      </c>
      <c r="X281" s="15">
        <f>SUM(U281:W281)*68%</f>
        <v/>
      </c>
      <c r="Y281" s="15">
        <f>I281*L281</f>
        <v/>
      </c>
      <c r="Z281" s="15">
        <f>Y281 * 68%</f>
        <v/>
      </c>
      <c r="AA281" s="15">
        <f>I281*M281</f>
        <v/>
      </c>
      <c r="AB281" s="15">
        <f>AA281*68%</f>
        <v/>
      </c>
      <c r="AC281" s="16">
        <f>ROUND((T281+X281+Z281+AB281),0)</f>
        <v/>
      </c>
      <c r="AD281" s="16">
        <f>AG281</f>
        <v/>
      </c>
      <c r="AE281" s="16">
        <f>AI281</f>
        <v/>
      </c>
      <c r="AF281" s="16">
        <f>AC281+AD281+AE281</f>
        <v/>
      </c>
      <c r="AG281" s="16" t="n"/>
      <c r="AH281" s="17" t="n"/>
      <c r="AI281" s="17">
        <f>AH281*4</f>
        <v/>
      </c>
      <c r="AJ281" s="15">
        <f>AF281-AG281-AH281-AI281</f>
        <v/>
      </c>
      <c r="AK281" s="18" t="n">
        <v>274</v>
      </c>
      <c r="AL281" s="23" t="n"/>
    </row>
    <row r="282" ht="23.5" customHeight="1">
      <c r="A282" s="6" t="inlineStr">
        <is>
          <t>275</t>
        </is>
      </c>
      <c r="B282" s="28" t="n"/>
      <c r="C282" s="55" t="n"/>
      <c r="D282" s="19" t="n"/>
      <c r="E282" s="24" t="n"/>
      <c r="F282" s="25" t="n"/>
      <c r="G282" s="25" t="n"/>
      <c r="H282" s="24" t="n"/>
      <c r="I282" s="11" t="n"/>
      <c r="J282" s="57" t="n"/>
      <c r="K282" s="12" t="n"/>
      <c r="L282" s="13" t="n"/>
      <c r="M282" s="13" t="n"/>
      <c r="N282" s="14">
        <f>ROUND(I282*(SUM(J282:M282))*68%,0)</f>
        <v/>
      </c>
      <c r="O282" s="61" t="n"/>
      <c r="P282" s="59" t="n"/>
      <c r="Q282" s="59" t="n"/>
      <c r="R282" s="58" t="n"/>
      <c r="S282" s="15">
        <f>I282*J282</f>
        <v/>
      </c>
      <c r="T282" s="15">
        <f>SUM(S282:S282)*68%</f>
        <v/>
      </c>
      <c r="U282" s="15">
        <f>I282*K282*40%*O282</f>
        <v/>
      </c>
      <c r="V282" s="15">
        <f>IF(P282&gt;=6750,(I282*K282*40%),0)</f>
        <v/>
      </c>
      <c r="W282" s="15">
        <f>IF(P282&lt;6750,0,IF(Q282="",0,IF(OR(Q282="KURANG",Q282="SANGAT KURANG"),I282*K282*10%,I282*K282*20%)))</f>
        <v/>
      </c>
      <c r="X282" s="15">
        <f>SUM(U282:W282)*68%</f>
        <v/>
      </c>
      <c r="Y282" s="15">
        <f>I282*L282</f>
        <v/>
      </c>
      <c r="Z282" s="15">
        <f>Y282 * 68%</f>
        <v/>
      </c>
      <c r="AA282" s="15">
        <f>I282*M282</f>
        <v/>
      </c>
      <c r="AB282" s="15">
        <f>AA282*68%</f>
        <v/>
      </c>
      <c r="AC282" s="16">
        <f>ROUND((T282+X282+Z282+AB282),0)</f>
        <v/>
      </c>
      <c r="AD282" s="16">
        <f>AG282</f>
        <v/>
      </c>
      <c r="AE282" s="16">
        <f>AI282</f>
        <v/>
      </c>
      <c r="AF282" s="16">
        <f>AC282+AD282+AE282</f>
        <v/>
      </c>
      <c r="AG282" s="16" t="n"/>
      <c r="AH282" s="17" t="n"/>
      <c r="AI282" s="17">
        <f>AH282*4</f>
        <v/>
      </c>
      <c r="AJ282" s="15">
        <f>AF282-AG282-AH282-AI282</f>
        <v/>
      </c>
      <c r="AK282" s="18" t="n">
        <v>275</v>
      </c>
      <c r="AL282" s="40" t="n"/>
    </row>
    <row r="283" ht="23.5" customHeight="1">
      <c r="A283" s="6" t="inlineStr">
        <is>
          <t>276</t>
        </is>
      </c>
      <c r="B283" s="28" t="n"/>
      <c r="C283" s="55" t="n"/>
      <c r="D283" s="19" t="n"/>
      <c r="E283" s="24" t="n"/>
      <c r="F283" s="25" t="n"/>
      <c r="G283" s="25" t="n"/>
      <c r="H283" s="24" t="n"/>
      <c r="I283" s="11" t="n"/>
      <c r="J283" s="57" t="n"/>
      <c r="K283" s="12" t="n"/>
      <c r="L283" s="13" t="n"/>
      <c r="M283" s="13" t="n"/>
      <c r="N283" s="14">
        <f>ROUND(I283*(SUM(J283:M283))*68%,0)</f>
        <v/>
      </c>
      <c r="O283" s="61" t="n"/>
      <c r="P283" s="59" t="n"/>
      <c r="Q283" s="59" t="n"/>
      <c r="R283" s="58" t="n"/>
      <c r="S283" s="15">
        <f>I283*J283</f>
        <v/>
      </c>
      <c r="T283" s="15">
        <f>SUM(S283:S283)*68%</f>
        <v/>
      </c>
      <c r="U283" s="15">
        <f>I283*K283*40%*O283</f>
        <v/>
      </c>
      <c r="V283" s="15">
        <f>IF(P283&gt;=6750,(I283*K283*40%),0)</f>
        <v/>
      </c>
      <c r="W283" s="15">
        <f>IF(P283&lt;6750,0,IF(Q283="",0,IF(OR(Q283="KURANG",Q283="SANGAT KURANG"),I283*K283*10%,I283*K283*20%)))</f>
        <v/>
      </c>
      <c r="X283" s="15">
        <f>SUM(U283:W283)*68%</f>
        <v/>
      </c>
      <c r="Y283" s="15">
        <f>I283*L283</f>
        <v/>
      </c>
      <c r="Z283" s="15">
        <f>Y283 * 68%</f>
        <v/>
      </c>
      <c r="AA283" s="15">
        <f>I283*M283</f>
        <v/>
      </c>
      <c r="AB283" s="15">
        <f>AA283*68%</f>
        <v/>
      </c>
      <c r="AC283" s="16">
        <f>ROUND((T283+X283+Z283+AB283),0)</f>
        <v/>
      </c>
      <c r="AD283" s="16">
        <f>AG283</f>
        <v/>
      </c>
      <c r="AE283" s="16">
        <f>AI283</f>
        <v/>
      </c>
      <c r="AF283" s="16">
        <f>AC283+AD283+AE283</f>
        <v/>
      </c>
      <c r="AG283" s="16" t="n"/>
      <c r="AH283" s="17" t="n"/>
      <c r="AI283" s="17">
        <f>AH283*4</f>
        <v/>
      </c>
      <c r="AJ283" s="15">
        <f>AF283-AG283-AH283-AI283</f>
        <v/>
      </c>
      <c r="AK283" s="18" t="n">
        <v>276</v>
      </c>
      <c r="AL283" s="23" t="n"/>
    </row>
    <row r="284" ht="23.5" customHeight="1">
      <c r="A284" s="6" t="inlineStr">
        <is>
          <t>277</t>
        </is>
      </c>
      <c r="B284" s="28" t="n"/>
      <c r="C284" s="55" t="n"/>
      <c r="D284" s="19" t="n"/>
      <c r="E284" s="24" t="n"/>
      <c r="F284" s="25" t="n"/>
      <c r="G284" s="25" t="n"/>
      <c r="H284" s="24" t="n"/>
      <c r="I284" s="11" t="n"/>
      <c r="J284" s="57" t="n"/>
      <c r="K284" s="12" t="n"/>
      <c r="L284" s="13" t="n"/>
      <c r="M284" s="13" t="n"/>
      <c r="N284" s="14">
        <f>ROUND(I284*(SUM(J284:M284))*68%,0)</f>
        <v/>
      </c>
      <c r="O284" s="61" t="n"/>
      <c r="P284" s="59" t="n"/>
      <c r="Q284" s="59" t="n"/>
      <c r="R284" s="58" t="n"/>
      <c r="S284" s="15">
        <f>I284*J284</f>
        <v/>
      </c>
      <c r="T284" s="15">
        <f>SUM(S284:S284)*68%</f>
        <v/>
      </c>
      <c r="U284" s="15">
        <f>I284*K284*40%*O284</f>
        <v/>
      </c>
      <c r="V284" s="15">
        <f>IF(P284&gt;=6750,(I284*K284*40%),0)</f>
        <v/>
      </c>
      <c r="W284" s="15">
        <f>IF(P284&lt;6750,0,IF(Q284="",0,IF(OR(Q284="KURANG",Q284="SANGAT KURANG"),I284*K284*10%,I284*K284*20%)))</f>
        <v/>
      </c>
      <c r="X284" s="15">
        <f>SUM(U284:W284)*68%</f>
        <v/>
      </c>
      <c r="Y284" s="15">
        <f>I284*L284</f>
        <v/>
      </c>
      <c r="Z284" s="15">
        <f>Y284 * 68%</f>
        <v/>
      </c>
      <c r="AA284" s="15">
        <f>I284*M284</f>
        <v/>
      </c>
      <c r="AB284" s="15">
        <f>AA284*68%</f>
        <v/>
      </c>
      <c r="AC284" s="16">
        <f>ROUND((T284+X284+Z284+AB284),0)</f>
        <v/>
      </c>
      <c r="AD284" s="16">
        <f>AG284</f>
        <v/>
      </c>
      <c r="AE284" s="16">
        <f>AI284</f>
        <v/>
      </c>
      <c r="AF284" s="16">
        <f>AC284+AD284+AE284</f>
        <v/>
      </c>
      <c r="AG284" s="16" t="n"/>
      <c r="AH284" s="17" t="n"/>
      <c r="AI284" s="17">
        <f>AH284*4</f>
        <v/>
      </c>
      <c r="AJ284" s="15">
        <f>AF284-AG284-AH284-AI284</f>
        <v/>
      </c>
      <c r="AK284" s="18" t="n">
        <v>277</v>
      </c>
      <c r="AL284" s="23" t="n"/>
    </row>
    <row r="285" ht="23.5" customHeight="1">
      <c r="A285" s="6" t="inlineStr">
        <is>
          <t>278</t>
        </is>
      </c>
      <c r="B285" s="28" t="n"/>
      <c r="C285" s="55" t="n"/>
      <c r="D285" s="19" t="n"/>
      <c r="E285" s="24" t="n"/>
      <c r="F285" s="25" t="n"/>
      <c r="G285" s="25" t="n"/>
      <c r="H285" s="24" t="n"/>
      <c r="I285" s="11" t="n"/>
      <c r="J285" s="57" t="n"/>
      <c r="K285" s="12" t="n"/>
      <c r="L285" s="13" t="n"/>
      <c r="M285" s="13" t="n"/>
      <c r="N285" s="14">
        <f>ROUND(I285*(SUM(J285:M285))*68%,0)</f>
        <v/>
      </c>
      <c r="O285" s="61" t="n"/>
      <c r="P285" s="59" t="n"/>
      <c r="Q285" s="59" t="n"/>
      <c r="R285" s="58" t="n"/>
      <c r="S285" s="15">
        <f>I285*J285</f>
        <v/>
      </c>
      <c r="T285" s="15">
        <f>SUM(S285:S285)*68%</f>
        <v/>
      </c>
      <c r="U285" s="15">
        <f>I285*K285*40%*O285</f>
        <v/>
      </c>
      <c r="V285" s="15">
        <f>IF(P285&gt;=6750,(I285*K285*40%),0)</f>
        <v/>
      </c>
      <c r="W285" s="15">
        <f>IF(P285&lt;6750,0,IF(Q285="",0,IF(OR(Q285="KURANG",Q285="SANGAT KURANG"),I285*K285*10%,I285*K285*20%)))</f>
        <v/>
      </c>
      <c r="X285" s="15">
        <f>SUM(U285:W285)*68%</f>
        <v/>
      </c>
      <c r="Y285" s="15">
        <f>I285*L285</f>
        <v/>
      </c>
      <c r="Z285" s="15">
        <f>Y285 * 68%</f>
        <v/>
      </c>
      <c r="AA285" s="15">
        <f>I285*M285</f>
        <v/>
      </c>
      <c r="AB285" s="15">
        <f>AA285*68%</f>
        <v/>
      </c>
      <c r="AC285" s="16">
        <f>ROUND((T285+X285+Z285+AB285),0)</f>
        <v/>
      </c>
      <c r="AD285" s="16">
        <f>AG285</f>
        <v/>
      </c>
      <c r="AE285" s="16">
        <f>AI285</f>
        <v/>
      </c>
      <c r="AF285" s="16">
        <f>AC285+AD285+AE285</f>
        <v/>
      </c>
      <c r="AG285" s="16" t="n"/>
      <c r="AH285" s="17" t="n"/>
      <c r="AI285" s="17">
        <f>AH285*4</f>
        <v/>
      </c>
      <c r="AJ285" s="15">
        <f>AF285-AG285-AH285-AI285</f>
        <v/>
      </c>
      <c r="AK285" s="18" t="n">
        <v>278</v>
      </c>
      <c r="AL285" s="40" t="n"/>
    </row>
    <row r="286" ht="23.5" customHeight="1">
      <c r="A286" s="6" t="inlineStr">
        <is>
          <t>279</t>
        </is>
      </c>
      <c r="B286" s="28" t="n"/>
      <c r="C286" s="55" t="n"/>
      <c r="D286" s="19" t="n"/>
      <c r="E286" s="24" t="n"/>
      <c r="F286" s="25" t="n"/>
      <c r="G286" s="25" t="n"/>
      <c r="H286" s="24" t="n"/>
      <c r="I286" s="11" t="n"/>
      <c r="J286" s="57" t="n"/>
      <c r="K286" s="12" t="n"/>
      <c r="L286" s="13" t="n"/>
      <c r="M286" s="13" t="n"/>
      <c r="N286" s="14">
        <f>ROUND(I286*(SUM(J286:M286))*68%,0)</f>
        <v/>
      </c>
      <c r="O286" s="61" t="n"/>
      <c r="P286" s="59" t="n"/>
      <c r="Q286" s="59" t="n"/>
      <c r="R286" s="58" t="n"/>
      <c r="S286" s="15">
        <f>I286*J286</f>
        <v/>
      </c>
      <c r="T286" s="15">
        <f>SUM(S286:S286)*68%</f>
        <v/>
      </c>
      <c r="U286" s="15">
        <f>I286*K286*40%*O286</f>
        <v/>
      </c>
      <c r="V286" s="15">
        <f>IF(P286&gt;=6750,(I286*K286*40%),0)</f>
        <v/>
      </c>
      <c r="W286" s="15">
        <f>IF(P286&lt;6750,0,IF(Q286="",0,IF(OR(Q286="KURANG",Q286="SANGAT KURANG"),I286*K286*10%,I286*K286*20%)))</f>
        <v/>
      </c>
      <c r="X286" s="15">
        <f>SUM(U286:W286)*68%</f>
        <v/>
      </c>
      <c r="Y286" s="15">
        <f>I286*L286</f>
        <v/>
      </c>
      <c r="Z286" s="15">
        <f>Y286 * 68%</f>
        <v/>
      </c>
      <c r="AA286" s="15">
        <f>I286*M286</f>
        <v/>
      </c>
      <c r="AB286" s="15">
        <f>AA286*68%</f>
        <v/>
      </c>
      <c r="AC286" s="16">
        <f>ROUND((T286+X286+Z286+AB286),0)</f>
        <v/>
      </c>
      <c r="AD286" s="16">
        <f>AG286</f>
        <v/>
      </c>
      <c r="AE286" s="16">
        <f>AI286</f>
        <v/>
      </c>
      <c r="AF286" s="16">
        <f>AC286+AD286+AE286</f>
        <v/>
      </c>
      <c r="AG286" s="16" t="n"/>
      <c r="AH286" s="17" t="n"/>
      <c r="AI286" s="17">
        <f>AH286*4</f>
        <v/>
      </c>
      <c r="AJ286" s="15">
        <f>AF286-AG286-AH286-AI286</f>
        <v/>
      </c>
      <c r="AK286" s="18" t="n">
        <v>279</v>
      </c>
      <c r="AL286" s="23" t="n"/>
    </row>
    <row r="287" ht="23.5" customHeight="1">
      <c r="A287" s="6" t="inlineStr">
        <is>
          <t>280</t>
        </is>
      </c>
      <c r="B287" s="28" t="n"/>
      <c r="C287" s="55" t="n"/>
      <c r="D287" s="19" t="n"/>
      <c r="E287" s="24" t="n"/>
      <c r="F287" s="25" t="n"/>
      <c r="G287" s="25" t="n"/>
      <c r="H287" s="24" t="n"/>
      <c r="I287" s="11" t="n"/>
      <c r="J287" s="57" t="n"/>
      <c r="K287" s="12" t="n"/>
      <c r="L287" s="13" t="n"/>
      <c r="M287" s="13" t="n"/>
      <c r="N287" s="14">
        <f>ROUND(I287*(SUM(J287:M287))*68%,0)</f>
        <v/>
      </c>
      <c r="O287" s="61" t="n"/>
      <c r="P287" s="59" t="n"/>
      <c r="Q287" s="59" t="n"/>
      <c r="R287" s="58" t="n"/>
      <c r="S287" s="15">
        <f>I287*J287</f>
        <v/>
      </c>
      <c r="T287" s="15">
        <f>SUM(S287:S287)*68%</f>
        <v/>
      </c>
      <c r="U287" s="15">
        <f>I287*K287*40%*O287</f>
        <v/>
      </c>
      <c r="V287" s="15">
        <f>IF(P287&gt;=6750,(I287*K287*40%),0)</f>
        <v/>
      </c>
      <c r="W287" s="15">
        <f>IF(P287&lt;6750,0,IF(Q287="",0,IF(OR(Q287="KURANG",Q287="SANGAT KURANG"),I287*K287*10%,I287*K287*20%)))</f>
        <v/>
      </c>
      <c r="X287" s="15">
        <f>SUM(U287:W287)*68%</f>
        <v/>
      </c>
      <c r="Y287" s="15">
        <f>I287*L287</f>
        <v/>
      </c>
      <c r="Z287" s="15">
        <f>Y287 * 68%</f>
        <v/>
      </c>
      <c r="AA287" s="15">
        <f>I287*M287</f>
        <v/>
      </c>
      <c r="AB287" s="15">
        <f>AA287*68%</f>
        <v/>
      </c>
      <c r="AC287" s="16">
        <f>ROUND((T287+X287+Z287+AB287),0)</f>
        <v/>
      </c>
      <c r="AD287" s="16">
        <f>AG287</f>
        <v/>
      </c>
      <c r="AE287" s="16">
        <f>AI287</f>
        <v/>
      </c>
      <c r="AF287" s="16">
        <f>AC287+AD287+AE287</f>
        <v/>
      </c>
      <c r="AG287" s="16" t="n"/>
      <c r="AH287" s="17" t="n"/>
      <c r="AI287" s="17">
        <f>AH287*4</f>
        <v/>
      </c>
      <c r="AJ287" s="15">
        <f>AF287-AG287-AH287-AI287</f>
        <v/>
      </c>
      <c r="AK287" s="18" t="n">
        <v>280</v>
      </c>
      <c r="AL287" s="23" t="n"/>
    </row>
    <row r="288" ht="23.5" customHeight="1">
      <c r="A288" s="6" t="inlineStr">
        <is>
          <t>281</t>
        </is>
      </c>
      <c r="B288" s="28" t="n"/>
      <c r="C288" s="55" t="n"/>
      <c r="D288" s="19" t="n"/>
      <c r="E288" s="24" t="n"/>
      <c r="F288" s="25" t="n"/>
      <c r="G288" s="25" t="n"/>
      <c r="H288" s="24" t="n"/>
      <c r="I288" s="11" t="n"/>
      <c r="J288" s="57" t="n"/>
      <c r="K288" s="12" t="n"/>
      <c r="L288" s="13" t="n"/>
      <c r="M288" s="13" t="n"/>
      <c r="N288" s="14">
        <f>ROUND(I288*(SUM(J288:M288))*68%,0)</f>
        <v/>
      </c>
      <c r="O288" s="61" t="n"/>
      <c r="P288" s="59" t="n"/>
      <c r="Q288" s="59" t="n"/>
      <c r="R288" s="58" t="n"/>
      <c r="S288" s="15">
        <f>I288*J288</f>
        <v/>
      </c>
      <c r="T288" s="15">
        <f>SUM(S288:S288)*68%</f>
        <v/>
      </c>
      <c r="U288" s="15">
        <f>I288*K288*40%*O288</f>
        <v/>
      </c>
      <c r="V288" s="15">
        <f>IF(P288&gt;=6750,(I288*K288*40%),0)</f>
        <v/>
      </c>
      <c r="W288" s="15">
        <f>IF(P288&lt;6750,0,IF(Q288="",0,IF(OR(Q288="KURANG",Q288="SANGAT KURANG"),I288*K288*10%,I288*K288*20%)))</f>
        <v/>
      </c>
      <c r="X288" s="15">
        <f>SUM(U288:W288)*68%</f>
        <v/>
      </c>
      <c r="Y288" s="15">
        <f>I288*L288</f>
        <v/>
      </c>
      <c r="Z288" s="15">
        <f>Y288 * 68%</f>
        <v/>
      </c>
      <c r="AA288" s="15">
        <f>I288*M288</f>
        <v/>
      </c>
      <c r="AB288" s="15">
        <f>AA288*68%</f>
        <v/>
      </c>
      <c r="AC288" s="16">
        <f>ROUND((T288+X288+Z288+AB288),0)</f>
        <v/>
      </c>
      <c r="AD288" s="16">
        <f>AG288</f>
        <v/>
      </c>
      <c r="AE288" s="16">
        <f>AI288</f>
        <v/>
      </c>
      <c r="AF288" s="16">
        <f>AC288+AD288+AE288</f>
        <v/>
      </c>
      <c r="AG288" s="16" t="n"/>
      <c r="AH288" s="17" t="n"/>
      <c r="AI288" s="17">
        <f>AH288*4</f>
        <v/>
      </c>
      <c r="AJ288" s="15">
        <f>AF288-AG288-AH288-AI288</f>
        <v/>
      </c>
      <c r="AK288" s="18" t="n">
        <v>281</v>
      </c>
      <c r="AL288" s="40" t="n"/>
    </row>
    <row r="289" ht="23.5" customHeight="1">
      <c r="A289" s="6" t="inlineStr">
        <is>
          <t>282</t>
        </is>
      </c>
      <c r="B289" s="28" t="n"/>
      <c r="C289" s="55" t="n"/>
      <c r="D289" s="19" t="n"/>
      <c r="E289" s="24" t="n"/>
      <c r="F289" s="25" t="n"/>
      <c r="G289" s="25" t="n"/>
      <c r="H289" s="24" t="n"/>
      <c r="I289" s="11" t="n"/>
      <c r="J289" s="57" t="n"/>
      <c r="K289" s="12" t="n"/>
      <c r="L289" s="13" t="n"/>
      <c r="M289" s="13" t="n"/>
      <c r="N289" s="14">
        <f>ROUND(I289*(SUM(J289:M289))*68%,0)</f>
        <v/>
      </c>
      <c r="O289" s="61" t="n"/>
      <c r="P289" s="59" t="n"/>
      <c r="Q289" s="59" t="n"/>
      <c r="R289" s="58" t="n"/>
      <c r="S289" s="15">
        <f>I289*J289</f>
        <v/>
      </c>
      <c r="T289" s="15">
        <f>SUM(S289:S289)*68%</f>
        <v/>
      </c>
      <c r="U289" s="15">
        <f>I289*K289*40%*O289</f>
        <v/>
      </c>
      <c r="V289" s="15">
        <f>IF(P289&gt;=6750,(I289*K289*40%),0)</f>
        <v/>
      </c>
      <c r="W289" s="15">
        <f>IF(P289&lt;6750,0,IF(Q289="",0,IF(OR(Q289="KURANG",Q289="SANGAT KURANG"),I289*K289*10%,I289*K289*20%)))</f>
        <v/>
      </c>
      <c r="X289" s="15">
        <f>SUM(U289:W289)*68%</f>
        <v/>
      </c>
      <c r="Y289" s="15">
        <f>I289*L289</f>
        <v/>
      </c>
      <c r="Z289" s="15">
        <f>Y289 * 68%</f>
        <v/>
      </c>
      <c r="AA289" s="15">
        <f>I289*M289</f>
        <v/>
      </c>
      <c r="AB289" s="15">
        <f>AA289*68%</f>
        <v/>
      </c>
      <c r="AC289" s="16">
        <f>ROUND((T289+X289+Z289+AB289),0)</f>
        <v/>
      </c>
      <c r="AD289" s="16">
        <f>AG289</f>
        <v/>
      </c>
      <c r="AE289" s="16">
        <f>AI289</f>
        <v/>
      </c>
      <c r="AF289" s="16">
        <f>AC289+AD289+AE289</f>
        <v/>
      </c>
      <c r="AG289" s="16" t="n"/>
      <c r="AH289" s="17" t="n"/>
      <c r="AI289" s="17">
        <f>AH289*4</f>
        <v/>
      </c>
      <c r="AJ289" s="15">
        <f>AF289-AG289-AH289-AI289</f>
        <v/>
      </c>
      <c r="AK289" s="18" t="n">
        <v>282</v>
      </c>
      <c r="AL289" s="23" t="n"/>
    </row>
    <row r="290" ht="23.5" customHeight="1">
      <c r="A290" s="6" t="inlineStr">
        <is>
          <t>283</t>
        </is>
      </c>
      <c r="B290" s="28" t="n"/>
      <c r="C290" s="55" t="n"/>
      <c r="D290" s="19" t="n"/>
      <c r="E290" s="24" t="n"/>
      <c r="F290" s="25" t="n"/>
      <c r="G290" s="25" t="n"/>
      <c r="H290" s="24" t="n"/>
      <c r="I290" s="11" t="n"/>
      <c r="J290" s="57" t="n"/>
      <c r="K290" s="12" t="n"/>
      <c r="L290" s="13" t="n"/>
      <c r="M290" s="13" t="n"/>
      <c r="N290" s="14">
        <f>ROUND(I290*(SUM(J290:M290))*68%,0)</f>
        <v/>
      </c>
      <c r="O290" s="61" t="n"/>
      <c r="P290" s="59" t="n"/>
      <c r="Q290" s="59" t="n"/>
      <c r="R290" s="58" t="n"/>
      <c r="S290" s="15">
        <f>I290*J290</f>
        <v/>
      </c>
      <c r="T290" s="15">
        <f>SUM(S290:S290)*68%</f>
        <v/>
      </c>
      <c r="U290" s="15">
        <f>I290*K290*40%*O290</f>
        <v/>
      </c>
      <c r="V290" s="15">
        <f>IF(P290&gt;=6750,(I290*K290*40%),0)</f>
        <v/>
      </c>
      <c r="W290" s="15">
        <f>IF(P290&lt;6750,0,IF(Q290="",0,IF(OR(Q290="KURANG",Q290="SANGAT KURANG"),I290*K290*10%,I290*K290*20%)))</f>
        <v/>
      </c>
      <c r="X290" s="15">
        <f>SUM(U290:W290)*68%</f>
        <v/>
      </c>
      <c r="Y290" s="15">
        <f>I290*L290</f>
        <v/>
      </c>
      <c r="Z290" s="15">
        <f>Y290 * 68%</f>
        <v/>
      </c>
      <c r="AA290" s="15">
        <f>I290*M290</f>
        <v/>
      </c>
      <c r="AB290" s="15">
        <f>AA290*68%</f>
        <v/>
      </c>
      <c r="AC290" s="16">
        <f>ROUND((T290+X290+Z290+AB290),0)</f>
        <v/>
      </c>
      <c r="AD290" s="16">
        <f>AG290</f>
        <v/>
      </c>
      <c r="AE290" s="16">
        <f>AI290</f>
        <v/>
      </c>
      <c r="AF290" s="16">
        <f>AC290+AD290+AE290</f>
        <v/>
      </c>
      <c r="AG290" s="16" t="n"/>
      <c r="AH290" s="17" t="n"/>
      <c r="AI290" s="17">
        <f>AH290*4</f>
        <v/>
      </c>
      <c r="AJ290" s="15">
        <f>AF290-AG290-AH290-AI290</f>
        <v/>
      </c>
      <c r="AK290" s="18" t="n">
        <v>283</v>
      </c>
      <c r="AL290" s="23" t="n"/>
    </row>
    <row r="291" ht="23.5" customHeight="1">
      <c r="A291" s="6" t="inlineStr">
        <is>
          <t>284</t>
        </is>
      </c>
      <c r="B291" s="28" t="n"/>
      <c r="C291" s="55" t="n"/>
      <c r="D291" s="19" t="n"/>
      <c r="E291" s="24" t="n"/>
      <c r="F291" s="25" t="n"/>
      <c r="G291" s="25" t="n"/>
      <c r="H291" s="24" t="n"/>
      <c r="I291" s="11" t="n"/>
      <c r="J291" s="57" t="n"/>
      <c r="K291" s="12" t="n"/>
      <c r="L291" s="13" t="n"/>
      <c r="M291" s="13" t="n"/>
      <c r="N291" s="14">
        <f>ROUND(I291*(SUM(J291:M291))*68%,0)</f>
        <v/>
      </c>
      <c r="O291" s="61" t="n"/>
      <c r="P291" s="59" t="n"/>
      <c r="Q291" s="59" t="n"/>
      <c r="R291" s="58" t="n"/>
      <c r="S291" s="15">
        <f>I291*J291</f>
        <v/>
      </c>
      <c r="T291" s="15">
        <f>SUM(S291:S291)*68%</f>
        <v/>
      </c>
      <c r="U291" s="15">
        <f>I291*K291*40%*O291</f>
        <v/>
      </c>
      <c r="V291" s="15">
        <f>IF(P291&gt;=6750,(I291*K291*40%),0)</f>
        <v/>
      </c>
      <c r="W291" s="15">
        <f>IF(P291&lt;6750,0,IF(Q291="",0,IF(OR(Q291="KURANG",Q291="SANGAT KURANG"),I291*K291*10%,I291*K291*20%)))</f>
        <v/>
      </c>
      <c r="X291" s="15">
        <f>SUM(U291:W291)*68%</f>
        <v/>
      </c>
      <c r="Y291" s="15">
        <f>I291*L291</f>
        <v/>
      </c>
      <c r="Z291" s="15">
        <f>Y291 * 68%</f>
        <v/>
      </c>
      <c r="AA291" s="15">
        <f>I291*M291</f>
        <v/>
      </c>
      <c r="AB291" s="15">
        <f>AA291*68%</f>
        <v/>
      </c>
      <c r="AC291" s="16">
        <f>ROUND((T291+X291+Z291+AB291),0)</f>
        <v/>
      </c>
      <c r="AD291" s="16">
        <f>AG291</f>
        <v/>
      </c>
      <c r="AE291" s="16">
        <f>AI291</f>
        <v/>
      </c>
      <c r="AF291" s="16">
        <f>AC291+AD291+AE291</f>
        <v/>
      </c>
      <c r="AG291" s="16" t="n"/>
      <c r="AH291" s="17" t="n"/>
      <c r="AI291" s="17">
        <f>AH291*4</f>
        <v/>
      </c>
      <c r="AJ291" s="15">
        <f>AF291-AG291-AH291-AI291</f>
        <v/>
      </c>
      <c r="AK291" s="18" t="n">
        <v>284</v>
      </c>
      <c r="AL291" s="40" t="n"/>
    </row>
    <row r="292" ht="23.5" customHeight="1">
      <c r="A292" s="6" t="inlineStr">
        <is>
          <t>285</t>
        </is>
      </c>
      <c r="B292" s="28" t="n"/>
      <c r="C292" s="55" t="n"/>
      <c r="D292" s="19" t="n"/>
      <c r="E292" s="24" t="n"/>
      <c r="F292" s="25" t="n"/>
      <c r="G292" s="25" t="n"/>
      <c r="H292" s="24" t="n"/>
      <c r="I292" s="11" t="n"/>
      <c r="J292" s="57" t="n"/>
      <c r="K292" s="12" t="n"/>
      <c r="L292" s="13" t="n"/>
      <c r="M292" s="13" t="n"/>
      <c r="N292" s="14">
        <f>ROUND(I292*(SUM(J292:M292))*68%,0)</f>
        <v/>
      </c>
      <c r="O292" s="61" t="n"/>
      <c r="P292" s="59" t="n"/>
      <c r="Q292" s="59" t="n"/>
      <c r="R292" s="58" t="n"/>
      <c r="S292" s="15">
        <f>I292*J292</f>
        <v/>
      </c>
      <c r="T292" s="15">
        <f>SUM(S292:S292)*68%</f>
        <v/>
      </c>
      <c r="U292" s="15">
        <f>I292*K292*40%*O292</f>
        <v/>
      </c>
      <c r="V292" s="15">
        <f>IF(P292&gt;=6750,(I292*K292*40%),0)</f>
        <v/>
      </c>
      <c r="W292" s="15">
        <f>IF(P292&lt;6750,0,IF(Q292="",0,IF(OR(Q292="KURANG",Q292="SANGAT KURANG"),I292*K292*10%,I292*K292*20%)))</f>
        <v/>
      </c>
      <c r="X292" s="15">
        <f>SUM(U292:W292)*68%</f>
        <v/>
      </c>
      <c r="Y292" s="15">
        <f>I292*L292</f>
        <v/>
      </c>
      <c r="Z292" s="15">
        <f>Y292 * 68%</f>
        <v/>
      </c>
      <c r="AA292" s="15">
        <f>I292*M292</f>
        <v/>
      </c>
      <c r="AB292" s="15">
        <f>AA292*68%</f>
        <v/>
      </c>
      <c r="AC292" s="16">
        <f>ROUND((T292+X292+Z292+AB292),0)</f>
        <v/>
      </c>
      <c r="AD292" s="16">
        <f>AG292</f>
        <v/>
      </c>
      <c r="AE292" s="16">
        <f>AI292</f>
        <v/>
      </c>
      <c r="AF292" s="16">
        <f>AC292+AD292+AE292</f>
        <v/>
      </c>
      <c r="AG292" s="16" t="n"/>
      <c r="AH292" s="17" t="n"/>
      <c r="AI292" s="17">
        <f>AH292*4</f>
        <v/>
      </c>
      <c r="AJ292" s="15">
        <f>AF292-AG292-AH292-AI292</f>
        <v/>
      </c>
      <c r="AK292" s="18" t="n">
        <v>285</v>
      </c>
      <c r="AL292" s="23" t="n"/>
    </row>
    <row r="293" ht="23.5" customHeight="1">
      <c r="A293" s="6" t="inlineStr">
        <is>
          <t>286</t>
        </is>
      </c>
      <c r="B293" s="28" t="n"/>
      <c r="C293" s="55" t="n"/>
      <c r="D293" s="19" t="n"/>
      <c r="E293" s="24" t="n"/>
      <c r="F293" s="25" t="n"/>
      <c r="G293" s="25" t="n"/>
      <c r="H293" s="24" t="n"/>
      <c r="I293" s="11" t="n"/>
      <c r="J293" s="57" t="n"/>
      <c r="K293" s="12" t="n"/>
      <c r="L293" s="13" t="n"/>
      <c r="M293" s="13" t="n"/>
      <c r="N293" s="14">
        <f>ROUND(I293*(SUM(J293:M293))*68%,0)</f>
        <v/>
      </c>
      <c r="O293" s="61" t="n"/>
      <c r="P293" s="59" t="n"/>
      <c r="Q293" s="59" t="n"/>
      <c r="R293" s="58" t="n"/>
      <c r="S293" s="15">
        <f>I293*J293</f>
        <v/>
      </c>
      <c r="T293" s="15">
        <f>SUM(S293:S293)*68%</f>
        <v/>
      </c>
      <c r="U293" s="15">
        <f>I293*K293*40%*O293</f>
        <v/>
      </c>
      <c r="V293" s="15">
        <f>IF(P293&gt;=6750,(I293*K293*40%),0)</f>
        <v/>
      </c>
      <c r="W293" s="15">
        <f>IF(P293&lt;6750,0,IF(Q293="",0,IF(OR(Q293="KURANG",Q293="SANGAT KURANG"),I293*K293*10%,I293*K293*20%)))</f>
        <v/>
      </c>
      <c r="X293" s="15">
        <f>SUM(U293:W293)*68%</f>
        <v/>
      </c>
      <c r="Y293" s="15">
        <f>I293*L293</f>
        <v/>
      </c>
      <c r="Z293" s="15">
        <f>Y293 * 68%</f>
        <v/>
      </c>
      <c r="AA293" s="15">
        <f>I293*M293</f>
        <v/>
      </c>
      <c r="AB293" s="15">
        <f>AA293*68%</f>
        <v/>
      </c>
      <c r="AC293" s="16">
        <f>ROUND((T293+X293+Z293+AB293),0)</f>
        <v/>
      </c>
      <c r="AD293" s="16">
        <f>AG293</f>
        <v/>
      </c>
      <c r="AE293" s="16">
        <f>AI293</f>
        <v/>
      </c>
      <c r="AF293" s="16">
        <f>AC293+AD293+AE293</f>
        <v/>
      </c>
      <c r="AG293" s="16" t="n"/>
      <c r="AH293" s="17" t="n"/>
      <c r="AI293" s="17">
        <f>AH293*4</f>
        <v/>
      </c>
      <c r="AJ293" s="15">
        <f>AF293-AG293-AH293-AI293</f>
        <v/>
      </c>
      <c r="AK293" s="18" t="n">
        <v>286</v>
      </c>
      <c r="AL293" s="23" t="n"/>
    </row>
    <row r="294" ht="23.5" customHeight="1">
      <c r="A294" s="6" t="inlineStr">
        <is>
          <t>287</t>
        </is>
      </c>
      <c r="B294" s="28" t="n"/>
      <c r="C294" s="55" t="n"/>
      <c r="D294" s="19" t="n"/>
      <c r="E294" s="24" t="n"/>
      <c r="F294" s="25" t="n"/>
      <c r="G294" s="25" t="n"/>
      <c r="H294" s="24" t="n"/>
      <c r="I294" s="11" t="n"/>
      <c r="J294" s="57" t="n"/>
      <c r="K294" s="12" t="n"/>
      <c r="L294" s="13" t="n"/>
      <c r="M294" s="13" t="n"/>
      <c r="N294" s="14">
        <f>ROUND(I294*(SUM(J294:M294))*68%,0)</f>
        <v/>
      </c>
      <c r="O294" s="61" t="n"/>
      <c r="P294" s="59" t="n"/>
      <c r="Q294" s="59" t="n"/>
      <c r="R294" s="58" t="n"/>
      <c r="S294" s="15">
        <f>I294*J294</f>
        <v/>
      </c>
      <c r="T294" s="15">
        <f>SUM(S294:S294)*68%</f>
        <v/>
      </c>
      <c r="U294" s="15">
        <f>I294*K294*40%*O294</f>
        <v/>
      </c>
      <c r="V294" s="15">
        <f>IF(P294&gt;=6750,(I294*K294*40%),0)</f>
        <v/>
      </c>
      <c r="W294" s="15">
        <f>IF(P294&lt;6750,0,IF(Q294="",0,IF(OR(Q294="KURANG",Q294="SANGAT KURANG"),I294*K294*10%,I294*K294*20%)))</f>
        <v/>
      </c>
      <c r="X294" s="15">
        <f>SUM(U294:W294)*68%</f>
        <v/>
      </c>
      <c r="Y294" s="15">
        <f>I294*L294</f>
        <v/>
      </c>
      <c r="Z294" s="15">
        <f>Y294 * 68%</f>
        <v/>
      </c>
      <c r="AA294" s="15">
        <f>I294*M294</f>
        <v/>
      </c>
      <c r="AB294" s="15">
        <f>AA294*68%</f>
        <v/>
      </c>
      <c r="AC294" s="16">
        <f>ROUND((T294+X294+Z294+AB294),0)</f>
        <v/>
      </c>
      <c r="AD294" s="16">
        <f>AG294</f>
        <v/>
      </c>
      <c r="AE294" s="16">
        <f>AI294</f>
        <v/>
      </c>
      <c r="AF294" s="16">
        <f>AC294+AD294+AE294</f>
        <v/>
      </c>
      <c r="AG294" s="16" t="n"/>
      <c r="AH294" s="17" t="n"/>
      <c r="AI294" s="17">
        <f>AH294*4</f>
        <v/>
      </c>
      <c r="AJ294" s="15">
        <f>AF294-AG294-AH294-AI294</f>
        <v/>
      </c>
      <c r="AK294" s="18" t="n">
        <v>287</v>
      </c>
      <c r="AL294" s="40" t="n"/>
    </row>
    <row r="295" ht="23.5" customHeight="1">
      <c r="A295" s="6" t="inlineStr">
        <is>
          <t>288</t>
        </is>
      </c>
      <c r="B295" s="28" t="n"/>
      <c r="C295" s="55" t="n"/>
      <c r="D295" s="19" t="n"/>
      <c r="E295" s="24" t="n"/>
      <c r="F295" s="25" t="n"/>
      <c r="G295" s="25" t="n"/>
      <c r="H295" s="24" t="n"/>
      <c r="I295" s="11" t="n"/>
      <c r="J295" s="57" t="n"/>
      <c r="K295" s="12" t="n"/>
      <c r="L295" s="13" t="n"/>
      <c r="M295" s="13" t="n"/>
      <c r="N295" s="14">
        <f>ROUND(I295*(SUM(J295:M295))*68%,0)</f>
        <v/>
      </c>
      <c r="O295" s="61" t="n"/>
      <c r="P295" s="59" t="n"/>
      <c r="Q295" s="59" t="n"/>
      <c r="R295" s="58" t="n"/>
      <c r="S295" s="15">
        <f>I295*J295</f>
        <v/>
      </c>
      <c r="T295" s="15">
        <f>SUM(S295:S295)*68%</f>
        <v/>
      </c>
      <c r="U295" s="15">
        <f>I295*K295*40%*O295</f>
        <v/>
      </c>
      <c r="V295" s="15">
        <f>IF(P295&gt;=6750,(I295*K295*40%),0)</f>
        <v/>
      </c>
      <c r="W295" s="15">
        <f>IF(P295&lt;6750,0,IF(Q295="",0,IF(OR(Q295="KURANG",Q295="SANGAT KURANG"),I295*K295*10%,I295*K295*20%)))</f>
        <v/>
      </c>
      <c r="X295" s="15">
        <f>SUM(U295:W295)*68%</f>
        <v/>
      </c>
      <c r="Y295" s="15">
        <f>I295*L295</f>
        <v/>
      </c>
      <c r="Z295" s="15">
        <f>Y295 * 68%</f>
        <v/>
      </c>
      <c r="AA295" s="15">
        <f>I295*M295</f>
        <v/>
      </c>
      <c r="AB295" s="15">
        <f>AA295*68%</f>
        <v/>
      </c>
      <c r="AC295" s="16">
        <f>ROUND((T295+X295+Z295+AB295),0)</f>
        <v/>
      </c>
      <c r="AD295" s="16">
        <f>AG295</f>
        <v/>
      </c>
      <c r="AE295" s="16">
        <f>AI295</f>
        <v/>
      </c>
      <c r="AF295" s="16">
        <f>AC295+AD295+AE295</f>
        <v/>
      </c>
      <c r="AG295" s="16" t="n"/>
      <c r="AH295" s="17" t="n"/>
      <c r="AI295" s="17">
        <f>AH295*4</f>
        <v/>
      </c>
      <c r="AJ295" s="15">
        <f>AF295-AG295-AH295-AI295</f>
        <v/>
      </c>
      <c r="AK295" s="18" t="n">
        <v>288</v>
      </c>
      <c r="AL295" s="23" t="n"/>
    </row>
    <row r="296" ht="23.5" customHeight="1">
      <c r="A296" s="6" t="inlineStr">
        <is>
          <t>289</t>
        </is>
      </c>
      <c r="B296" s="28" t="n"/>
      <c r="C296" s="55" t="n"/>
      <c r="D296" s="19" t="n"/>
      <c r="E296" s="24" t="n"/>
      <c r="F296" s="25" t="n"/>
      <c r="G296" s="25" t="n"/>
      <c r="H296" s="24" t="n"/>
      <c r="I296" s="11" t="n"/>
      <c r="J296" s="57" t="n"/>
      <c r="K296" s="12" t="n"/>
      <c r="L296" s="13" t="n"/>
      <c r="M296" s="13" t="n"/>
      <c r="N296" s="14">
        <f>ROUND(I296*(SUM(J296:M296))*68%,0)</f>
        <v/>
      </c>
      <c r="O296" s="61" t="n"/>
      <c r="P296" s="59" t="n"/>
      <c r="Q296" s="59" t="n"/>
      <c r="R296" s="58" t="n"/>
      <c r="S296" s="15">
        <f>I296*J296</f>
        <v/>
      </c>
      <c r="T296" s="15">
        <f>SUM(S296:S296)*68%</f>
        <v/>
      </c>
      <c r="U296" s="15">
        <f>I296*K296*40%*O296</f>
        <v/>
      </c>
      <c r="V296" s="15">
        <f>IF(P296&gt;=6750,(I296*K296*40%),0)</f>
        <v/>
      </c>
      <c r="W296" s="15">
        <f>IF(P296&lt;6750,0,IF(Q296="",0,IF(OR(Q296="KURANG",Q296="SANGAT KURANG"),I296*K296*10%,I296*K296*20%)))</f>
        <v/>
      </c>
      <c r="X296" s="15">
        <f>SUM(U296:W296)*68%</f>
        <v/>
      </c>
      <c r="Y296" s="15">
        <f>I296*L296</f>
        <v/>
      </c>
      <c r="Z296" s="15">
        <f>Y296 * 68%</f>
        <v/>
      </c>
      <c r="AA296" s="15">
        <f>I296*M296</f>
        <v/>
      </c>
      <c r="AB296" s="15">
        <f>AA296*68%</f>
        <v/>
      </c>
      <c r="AC296" s="16">
        <f>ROUND((T296+X296+Z296+AB296),0)</f>
        <v/>
      </c>
      <c r="AD296" s="16">
        <f>AG296</f>
        <v/>
      </c>
      <c r="AE296" s="16">
        <f>AI296</f>
        <v/>
      </c>
      <c r="AF296" s="16">
        <f>AC296+AD296+AE296</f>
        <v/>
      </c>
      <c r="AG296" s="16" t="n"/>
      <c r="AH296" s="17" t="n"/>
      <c r="AI296" s="17">
        <f>AH296*4</f>
        <v/>
      </c>
      <c r="AJ296" s="15">
        <f>AF296-AG296-AH296-AI296</f>
        <v/>
      </c>
      <c r="AK296" s="18" t="n">
        <v>289</v>
      </c>
      <c r="AL296" s="23" t="n"/>
    </row>
    <row r="297" ht="23.5" customHeight="1">
      <c r="A297" s="6" t="inlineStr">
        <is>
          <t>290</t>
        </is>
      </c>
      <c r="B297" s="28" t="n"/>
      <c r="C297" s="55" t="n"/>
      <c r="D297" s="19" t="n"/>
      <c r="E297" s="24" t="n"/>
      <c r="F297" s="25" t="n"/>
      <c r="G297" s="25" t="n"/>
      <c r="H297" s="24" t="n"/>
      <c r="I297" s="11" t="n"/>
      <c r="J297" s="57" t="n"/>
      <c r="K297" s="12" t="n"/>
      <c r="L297" s="13" t="n"/>
      <c r="M297" s="13" t="n"/>
      <c r="N297" s="14">
        <f>ROUND(I297*(SUM(J297:M297))*68%,0)</f>
        <v/>
      </c>
      <c r="O297" s="61" t="n"/>
      <c r="P297" s="59" t="n"/>
      <c r="Q297" s="59" t="n"/>
      <c r="R297" s="58" t="n"/>
      <c r="S297" s="15">
        <f>I297*J297</f>
        <v/>
      </c>
      <c r="T297" s="15">
        <f>SUM(S297:S297)*68%</f>
        <v/>
      </c>
      <c r="U297" s="15">
        <f>I297*K297*40%*O297</f>
        <v/>
      </c>
      <c r="V297" s="15">
        <f>IF(P297&gt;=6750,(I297*K297*40%),0)</f>
        <v/>
      </c>
      <c r="W297" s="15">
        <f>IF(P297&lt;6750,0,IF(Q297="",0,IF(OR(Q297="KURANG",Q297="SANGAT KURANG"),I297*K297*10%,I297*K297*20%)))</f>
        <v/>
      </c>
      <c r="X297" s="15">
        <f>SUM(U297:W297)*68%</f>
        <v/>
      </c>
      <c r="Y297" s="15">
        <f>I297*L297</f>
        <v/>
      </c>
      <c r="Z297" s="15">
        <f>Y297 * 68%</f>
        <v/>
      </c>
      <c r="AA297" s="15">
        <f>I297*M297</f>
        <v/>
      </c>
      <c r="AB297" s="15">
        <f>AA297*68%</f>
        <v/>
      </c>
      <c r="AC297" s="16">
        <f>ROUND((T297+X297+Z297+AB297),0)</f>
        <v/>
      </c>
      <c r="AD297" s="16">
        <f>AG297</f>
        <v/>
      </c>
      <c r="AE297" s="16">
        <f>AI297</f>
        <v/>
      </c>
      <c r="AF297" s="16">
        <f>AC297+AD297+AE297</f>
        <v/>
      </c>
      <c r="AG297" s="16" t="n"/>
      <c r="AH297" s="17" t="n"/>
      <c r="AI297" s="17">
        <f>AH297*4</f>
        <v/>
      </c>
      <c r="AJ297" s="15">
        <f>AF297-AG297-AH297-AI297</f>
        <v/>
      </c>
      <c r="AK297" s="18" t="n">
        <v>290</v>
      </c>
      <c r="AL297" s="40" t="n"/>
    </row>
    <row r="298" ht="23.5" customHeight="1">
      <c r="A298" s="6" t="inlineStr">
        <is>
          <t>291</t>
        </is>
      </c>
      <c r="B298" s="28" t="n"/>
      <c r="C298" s="55" t="n"/>
      <c r="D298" s="19" t="n"/>
      <c r="E298" s="24" t="n"/>
      <c r="F298" s="25" t="n"/>
      <c r="G298" s="25" t="n"/>
      <c r="H298" s="24" t="n"/>
      <c r="I298" s="11" t="n"/>
      <c r="J298" s="57" t="n"/>
      <c r="K298" s="12" t="n"/>
      <c r="L298" s="13" t="n"/>
      <c r="M298" s="13" t="n"/>
      <c r="N298" s="14">
        <f>ROUND(I298*(SUM(J298:M298))*68%,0)</f>
        <v/>
      </c>
      <c r="O298" s="61" t="n"/>
      <c r="P298" s="59" t="n"/>
      <c r="Q298" s="59" t="n"/>
      <c r="R298" s="58" t="n"/>
      <c r="S298" s="15">
        <f>I298*J298</f>
        <v/>
      </c>
      <c r="T298" s="15">
        <f>SUM(S298:S298)*68%</f>
        <v/>
      </c>
      <c r="U298" s="15">
        <f>I298*K298*40%*O298</f>
        <v/>
      </c>
      <c r="V298" s="15">
        <f>IF(P298&gt;=6750,(I298*K298*40%),0)</f>
        <v/>
      </c>
      <c r="W298" s="15">
        <f>IF(P298&lt;6750,0,IF(Q298="",0,IF(OR(Q298="KURANG",Q298="SANGAT KURANG"),I298*K298*10%,I298*K298*20%)))</f>
        <v/>
      </c>
      <c r="X298" s="15">
        <f>SUM(U298:W298)*68%</f>
        <v/>
      </c>
      <c r="Y298" s="15">
        <f>I298*L298</f>
        <v/>
      </c>
      <c r="Z298" s="15">
        <f>Y298 * 68%</f>
        <v/>
      </c>
      <c r="AA298" s="15">
        <f>I298*M298</f>
        <v/>
      </c>
      <c r="AB298" s="15">
        <f>AA298*68%</f>
        <v/>
      </c>
      <c r="AC298" s="16">
        <f>ROUND((T298+X298+Z298+AB298),0)</f>
        <v/>
      </c>
      <c r="AD298" s="16">
        <f>AG298</f>
        <v/>
      </c>
      <c r="AE298" s="16">
        <f>AI298</f>
        <v/>
      </c>
      <c r="AF298" s="16">
        <f>AC298+AD298+AE298</f>
        <v/>
      </c>
      <c r="AG298" s="16" t="n"/>
      <c r="AH298" s="17" t="n"/>
      <c r="AI298" s="17">
        <f>AH298*4</f>
        <v/>
      </c>
      <c r="AJ298" s="15">
        <f>AF298-AG298-AH298-AI298</f>
        <v/>
      </c>
      <c r="AK298" s="18" t="n">
        <v>291</v>
      </c>
      <c r="AL298" s="23" t="n"/>
    </row>
    <row r="299" ht="23.5" customHeight="1">
      <c r="A299" s="6" t="inlineStr">
        <is>
          <t>292</t>
        </is>
      </c>
      <c r="B299" s="28" t="n"/>
      <c r="C299" s="55" t="n"/>
      <c r="D299" s="19" t="n"/>
      <c r="E299" s="24" t="n"/>
      <c r="F299" s="25" t="n"/>
      <c r="G299" s="25" t="n"/>
      <c r="H299" s="24" t="n"/>
      <c r="I299" s="11" t="n"/>
      <c r="J299" s="57" t="n"/>
      <c r="K299" s="12" t="n"/>
      <c r="L299" s="13" t="n"/>
      <c r="M299" s="13" t="n"/>
      <c r="N299" s="14">
        <f>ROUND(I299*(SUM(J299:M299))*68%,0)</f>
        <v/>
      </c>
      <c r="O299" s="61" t="n"/>
      <c r="P299" s="59" t="n"/>
      <c r="Q299" s="59" t="n"/>
      <c r="R299" s="58" t="n"/>
      <c r="S299" s="15">
        <f>I299*J299</f>
        <v/>
      </c>
      <c r="T299" s="15">
        <f>SUM(S299:S299)*68%</f>
        <v/>
      </c>
      <c r="U299" s="15">
        <f>I299*K299*40%*O299</f>
        <v/>
      </c>
      <c r="V299" s="15">
        <f>IF(P299&gt;=6750,(I299*K299*40%),0)</f>
        <v/>
      </c>
      <c r="W299" s="15">
        <f>IF(P299&lt;6750,0,IF(Q299="",0,IF(OR(Q299="KURANG",Q299="SANGAT KURANG"),I299*K299*10%,I299*K299*20%)))</f>
        <v/>
      </c>
      <c r="X299" s="15">
        <f>SUM(U299:W299)*68%</f>
        <v/>
      </c>
      <c r="Y299" s="15">
        <f>I299*L299</f>
        <v/>
      </c>
      <c r="Z299" s="15">
        <f>Y299 * 68%</f>
        <v/>
      </c>
      <c r="AA299" s="15">
        <f>I299*M299</f>
        <v/>
      </c>
      <c r="AB299" s="15">
        <f>AA299*68%</f>
        <v/>
      </c>
      <c r="AC299" s="16">
        <f>ROUND((T299+X299+Z299+AB299),0)</f>
        <v/>
      </c>
      <c r="AD299" s="16">
        <f>AG299</f>
        <v/>
      </c>
      <c r="AE299" s="16">
        <f>AI299</f>
        <v/>
      </c>
      <c r="AF299" s="16">
        <f>AC299+AD299+AE299</f>
        <v/>
      </c>
      <c r="AG299" s="16" t="n"/>
      <c r="AH299" s="17" t="n"/>
      <c r="AI299" s="17">
        <f>AH299*4</f>
        <v/>
      </c>
      <c r="AJ299" s="15">
        <f>AF299-AG299-AH299-AI299</f>
        <v/>
      </c>
      <c r="AK299" s="18" t="n">
        <v>292</v>
      </c>
      <c r="AL299" s="23" t="n"/>
    </row>
    <row r="300" ht="23.5" customHeight="1">
      <c r="A300" s="6" t="inlineStr">
        <is>
          <t>293</t>
        </is>
      </c>
      <c r="B300" s="28" t="n"/>
      <c r="C300" s="55" t="n"/>
      <c r="D300" s="19" t="n"/>
      <c r="E300" s="24" t="n"/>
      <c r="F300" s="25" t="n"/>
      <c r="G300" s="25" t="n"/>
      <c r="H300" s="24" t="n"/>
      <c r="I300" s="11" t="n"/>
      <c r="J300" s="57" t="n"/>
      <c r="K300" s="12" t="n"/>
      <c r="L300" s="13" t="n"/>
      <c r="M300" s="13" t="n"/>
      <c r="N300" s="14">
        <f>ROUND(I300*(SUM(J300:M300))*68%,0)</f>
        <v/>
      </c>
      <c r="O300" s="61" t="n"/>
      <c r="P300" s="59" t="n"/>
      <c r="Q300" s="59" t="n"/>
      <c r="R300" s="58" t="n"/>
      <c r="S300" s="15">
        <f>I300*J300</f>
        <v/>
      </c>
      <c r="T300" s="15">
        <f>SUM(S300:S300)*68%</f>
        <v/>
      </c>
      <c r="U300" s="15">
        <f>I300*K300*40%*O300</f>
        <v/>
      </c>
      <c r="V300" s="15">
        <f>IF(P300&gt;=6750,(I300*K300*40%),0)</f>
        <v/>
      </c>
      <c r="W300" s="15">
        <f>IF(P300&lt;6750,0,IF(Q300="",0,IF(OR(Q300="KURANG",Q300="SANGAT KURANG"),I300*K300*10%,I300*K300*20%)))</f>
        <v/>
      </c>
      <c r="X300" s="15">
        <f>SUM(U300:W300)*68%</f>
        <v/>
      </c>
      <c r="Y300" s="15">
        <f>I300*L300</f>
        <v/>
      </c>
      <c r="Z300" s="15">
        <f>Y300 * 68%</f>
        <v/>
      </c>
      <c r="AA300" s="15">
        <f>I300*M300</f>
        <v/>
      </c>
      <c r="AB300" s="15">
        <f>AA300*68%</f>
        <v/>
      </c>
      <c r="AC300" s="16">
        <f>ROUND((T300+X300+Z300+AB300),0)</f>
        <v/>
      </c>
      <c r="AD300" s="16">
        <f>AG300</f>
        <v/>
      </c>
      <c r="AE300" s="16">
        <f>AI300</f>
        <v/>
      </c>
      <c r="AF300" s="16">
        <f>AC300+AD300+AE300</f>
        <v/>
      </c>
      <c r="AG300" s="16" t="n"/>
      <c r="AH300" s="17" t="n"/>
      <c r="AI300" s="17">
        <f>AH300*4</f>
        <v/>
      </c>
      <c r="AJ300" s="15">
        <f>AF300-AG300-AH300-AI300</f>
        <v/>
      </c>
      <c r="AK300" s="18" t="n">
        <v>293</v>
      </c>
      <c r="AL300" s="40" t="n"/>
    </row>
    <row r="301" ht="23.5" customHeight="1">
      <c r="A301" s="6" t="inlineStr">
        <is>
          <t>294</t>
        </is>
      </c>
      <c r="B301" s="28" t="n"/>
      <c r="C301" s="55" t="n"/>
      <c r="D301" s="19" t="n"/>
      <c r="E301" s="24" t="n"/>
      <c r="F301" s="25" t="n"/>
      <c r="G301" s="25" t="n"/>
      <c r="H301" s="24" t="n"/>
      <c r="I301" s="11" t="n"/>
      <c r="J301" s="57" t="n"/>
      <c r="K301" s="12" t="n"/>
      <c r="L301" s="13" t="n"/>
      <c r="M301" s="13" t="n"/>
      <c r="N301" s="14">
        <f>ROUND(I301*(SUM(J301:M301))*68%,0)</f>
        <v/>
      </c>
      <c r="O301" s="61" t="n"/>
      <c r="P301" s="59" t="n"/>
      <c r="Q301" s="59" t="n"/>
      <c r="R301" s="58" t="n"/>
      <c r="S301" s="15">
        <f>I301*J301</f>
        <v/>
      </c>
      <c r="T301" s="15">
        <f>SUM(S301:S301)*68%</f>
        <v/>
      </c>
      <c r="U301" s="15">
        <f>I301*K301*40%*O301</f>
        <v/>
      </c>
      <c r="V301" s="15">
        <f>IF(P301&gt;=6750,(I301*K301*40%),0)</f>
        <v/>
      </c>
      <c r="W301" s="15">
        <f>IF(P301&lt;6750,0,IF(Q301="",0,IF(OR(Q301="KURANG",Q301="SANGAT KURANG"),I301*K301*10%,I301*K301*20%)))</f>
        <v/>
      </c>
      <c r="X301" s="15">
        <f>SUM(U301:W301)*68%</f>
        <v/>
      </c>
      <c r="Y301" s="15">
        <f>I301*L301</f>
        <v/>
      </c>
      <c r="Z301" s="15">
        <f>Y301 * 68%</f>
        <v/>
      </c>
      <c r="AA301" s="15">
        <f>I301*M301</f>
        <v/>
      </c>
      <c r="AB301" s="15">
        <f>AA301*68%</f>
        <v/>
      </c>
      <c r="AC301" s="16">
        <f>ROUND((T301+X301+Z301+AB301),0)</f>
        <v/>
      </c>
      <c r="AD301" s="16">
        <f>AG301</f>
        <v/>
      </c>
      <c r="AE301" s="16">
        <f>AI301</f>
        <v/>
      </c>
      <c r="AF301" s="16">
        <f>AC301+AD301+AE301</f>
        <v/>
      </c>
      <c r="AG301" s="16" t="n"/>
      <c r="AH301" s="17" t="n"/>
      <c r="AI301" s="17">
        <f>AH301*4</f>
        <v/>
      </c>
      <c r="AJ301" s="15">
        <f>AF301-AG301-AH301-AI301</f>
        <v/>
      </c>
      <c r="AK301" s="18" t="n">
        <v>294</v>
      </c>
      <c r="AL301" s="23" t="n"/>
    </row>
    <row r="302" ht="23.5" customHeight="1">
      <c r="A302" s="6" t="inlineStr">
        <is>
          <t>295</t>
        </is>
      </c>
      <c r="B302" s="28" t="n"/>
      <c r="C302" s="55" t="n"/>
      <c r="D302" s="19" t="n"/>
      <c r="E302" s="24" t="n"/>
      <c r="F302" s="25" t="n"/>
      <c r="G302" s="25" t="n"/>
      <c r="H302" s="24" t="n"/>
      <c r="I302" s="11" t="n"/>
      <c r="J302" s="57" t="n"/>
      <c r="K302" s="12" t="n"/>
      <c r="L302" s="13" t="n"/>
      <c r="M302" s="13" t="n"/>
      <c r="N302" s="14">
        <f>ROUND(I302*(SUM(J302:M302))*68%,0)</f>
        <v/>
      </c>
      <c r="O302" s="61" t="n"/>
      <c r="P302" s="59" t="n"/>
      <c r="Q302" s="59" t="n"/>
      <c r="R302" s="58" t="n"/>
      <c r="S302" s="15">
        <f>I302*J302</f>
        <v/>
      </c>
      <c r="T302" s="15">
        <f>SUM(S302:S302)*68%</f>
        <v/>
      </c>
      <c r="U302" s="15">
        <f>I302*K302*40%*O302</f>
        <v/>
      </c>
      <c r="V302" s="15">
        <f>IF(P302&gt;=6750,(I302*K302*40%),0)</f>
        <v/>
      </c>
      <c r="W302" s="15">
        <f>IF(P302&lt;6750,0,IF(Q302="",0,IF(OR(Q302="KURANG",Q302="SANGAT KURANG"),I302*K302*10%,I302*K302*20%)))</f>
        <v/>
      </c>
      <c r="X302" s="15">
        <f>SUM(U302:W302)*68%</f>
        <v/>
      </c>
      <c r="Y302" s="15">
        <f>I302*L302</f>
        <v/>
      </c>
      <c r="Z302" s="15">
        <f>Y302 * 68%</f>
        <v/>
      </c>
      <c r="AA302" s="15">
        <f>I302*M302</f>
        <v/>
      </c>
      <c r="AB302" s="15">
        <f>AA302*68%</f>
        <v/>
      </c>
      <c r="AC302" s="16">
        <f>ROUND((T302+X302+Z302+AB302),0)</f>
        <v/>
      </c>
      <c r="AD302" s="16">
        <f>AG302</f>
        <v/>
      </c>
      <c r="AE302" s="16">
        <f>AI302</f>
        <v/>
      </c>
      <c r="AF302" s="16">
        <f>AC302+AD302+AE302</f>
        <v/>
      </c>
      <c r="AG302" s="16" t="n"/>
      <c r="AH302" s="17" t="n"/>
      <c r="AI302" s="17">
        <f>AH302*4</f>
        <v/>
      </c>
      <c r="AJ302" s="15">
        <f>AF302-AG302-AH302-AI302</f>
        <v/>
      </c>
      <c r="AK302" s="18" t="n">
        <v>295</v>
      </c>
      <c r="AL302" s="23" t="n"/>
    </row>
    <row r="303" ht="23.5" customHeight="1">
      <c r="A303" s="6" t="inlineStr">
        <is>
          <t>296</t>
        </is>
      </c>
      <c r="B303" s="28" t="n"/>
      <c r="C303" s="55" t="n"/>
      <c r="D303" s="19" t="n"/>
      <c r="E303" s="24" t="n"/>
      <c r="F303" s="25" t="n"/>
      <c r="G303" s="25" t="n"/>
      <c r="H303" s="24" t="n"/>
      <c r="I303" s="11" t="n"/>
      <c r="J303" s="57" t="n"/>
      <c r="K303" s="12" t="n"/>
      <c r="L303" s="13" t="n"/>
      <c r="M303" s="13" t="n"/>
      <c r="N303" s="14">
        <f>ROUND(I303*(SUM(J303:M303))*68%,0)</f>
        <v/>
      </c>
      <c r="O303" s="61" t="n"/>
      <c r="P303" s="59" t="n"/>
      <c r="Q303" s="59" t="n"/>
      <c r="R303" s="58" t="n"/>
      <c r="S303" s="15">
        <f>I303*J303</f>
        <v/>
      </c>
      <c r="T303" s="15">
        <f>SUM(S303:S303)*68%</f>
        <v/>
      </c>
      <c r="U303" s="15">
        <f>I303*K303*40%*O303</f>
        <v/>
      </c>
      <c r="V303" s="15">
        <f>IF(P303&gt;=6750,(I303*K303*40%),0)</f>
        <v/>
      </c>
      <c r="W303" s="15">
        <f>IF(P303&lt;6750,0,IF(Q303="",0,IF(OR(Q303="KURANG",Q303="SANGAT KURANG"),I303*K303*10%,I303*K303*20%)))</f>
        <v/>
      </c>
      <c r="X303" s="15">
        <f>SUM(U303:W303)*68%</f>
        <v/>
      </c>
      <c r="Y303" s="15">
        <f>I303*L303</f>
        <v/>
      </c>
      <c r="Z303" s="15">
        <f>Y303 * 68%</f>
        <v/>
      </c>
      <c r="AA303" s="15">
        <f>I303*M303</f>
        <v/>
      </c>
      <c r="AB303" s="15">
        <f>AA303*68%</f>
        <v/>
      </c>
      <c r="AC303" s="16">
        <f>ROUND((T303+X303+Z303+AB303),0)</f>
        <v/>
      </c>
      <c r="AD303" s="16">
        <f>AG303</f>
        <v/>
      </c>
      <c r="AE303" s="16">
        <f>AI303</f>
        <v/>
      </c>
      <c r="AF303" s="16">
        <f>AC303+AD303+AE303</f>
        <v/>
      </c>
      <c r="AG303" s="16" t="n"/>
      <c r="AH303" s="17" t="n"/>
      <c r="AI303" s="17">
        <f>AH303*4</f>
        <v/>
      </c>
      <c r="AJ303" s="15">
        <f>AF303-AG303-AH303-AI303</f>
        <v/>
      </c>
      <c r="AK303" s="18" t="n">
        <v>296</v>
      </c>
      <c r="AL303" s="40" t="n"/>
    </row>
    <row r="304" ht="23.5" customHeight="1">
      <c r="A304" s="6" t="inlineStr">
        <is>
          <t>297</t>
        </is>
      </c>
      <c r="B304" s="28" t="n"/>
      <c r="C304" s="55" t="n"/>
      <c r="D304" s="19" t="n"/>
      <c r="E304" s="24" t="n"/>
      <c r="F304" s="25" t="n"/>
      <c r="G304" s="25" t="n"/>
      <c r="H304" s="24" t="n"/>
      <c r="I304" s="11" t="n"/>
      <c r="J304" s="57" t="n"/>
      <c r="K304" s="12" t="n"/>
      <c r="L304" s="13" t="n"/>
      <c r="M304" s="13" t="n"/>
      <c r="N304" s="14">
        <f>ROUND(I304*(SUM(J304:M304))*68%,0)</f>
        <v/>
      </c>
      <c r="O304" s="61" t="n"/>
      <c r="P304" s="59" t="n"/>
      <c r="Q304" s="59" t="n"/>
      <c r="R304" s="58" t="n"/>
      <c r="S304" s="15">
        <f>I304*J304</f>
        <v/>
      </c>
      <c r="T304" s="15">
        <f>SUM(S304:S304)*68%</f>
        <v/>
      </c>
      <c r="U304" s="15">
        <f>I304*K304*40%*O304</f>
        <v/>
      </c>
      <c r="V304" s="15">
        <f>IF(P304&gt;=6750,(I304*K304*40%),0)</f>
        <v/>
      </c>
      <c r="W304" s="15">
        <f>IF(P304&lt;6750,0,IF(Q304="",0,IF(OR(Q304="KURANG",Q304="SANGAT KURANG"),I304*K304*10%,I304*K304*20%)))</f>
        <v/>
      </c>
      <c r="X304" s="15">
        <f>SUM(U304:W304)*68%</f>
        <v/>
      </c>
      <c r="Y304" s="15">
        <f>I304*L304</f>
        <v/>
      </c>
      <c r="Z304" s="15">
        <f>Y304 * 68%</f>
        <v/>
      </c>
      <c r="AA304" s="15">
        <f>I304*M304</f>
        <v/>
      </c>
      <c r="AB304" s="15">
        <f>AA304*68%</f>
        <v/>
      </c>
      <c r="AC304" s="16">
        <f>ROUND((T304+X304+Z304+AB304),0)</f>
        <v/>
      </c>
      <c r="AD304" s="16">
        <f>AG304</f>
        <v/>
      </c>
      <c r="AE304" s="16">
        <f>AI304</f>
        <v/>
      </c>
      <c r="AF304" s="16">
        <f>AC304+AD304+AE304</f>
        <v/>
      </c>
      <c r="AG304" s="16" t="n"/>
      <c r="AH304" s="17" t="n"/>
      <c r="AI304" s="17">
        <f>AH304*4</f>
        <v/>
      </c>
      <c r="AJ304" s="15">
        <f>AF304-AG304-AH304-AI304</f>
        <v/>
      </c>
      <c r="AK304" s="18" t="n">
        <v>297</v>
      </c>
      <c r="AL304" s="23" t="n"/>
    </row>
    <row r="305" ht="23.5" customHeight="1">
      <c r="A305" s="6" t="inlineStr">
        <is>
          <t>298</t>
        </is>
      </c>
      <c r="B305" s="28" t="n"/>
      <c r="C305" s="55" t="n"/>
      <c r="D305" s="19" t="n"/>
      <c r="E305" s="24" t="n"/>
      <c r="F305" s="25" t="n"/>
      <c r="G305" s="25" t="n"/>
      <c r="H305" s="24" t="n"/>
      <c r="I305" s="11" t="n"/>
      <c r="J305" s="57" t="n"/>
      <c r="K305" s="12" t="n"/>
      <c r="L305" s="13" t="n"/>
      <c r="M305" s="13" t="n"/>
      <c r="N305" s="14">
        <f>ROUND(I305*(SUM(J305:M305))*68%,0)</f>
        <v/>
      </c>
      <c r="O305" s="61" t="n"/>
      <c r="P305" s="59" t="n"/>
      <c r="Q305" s="59" t="n"/>
      <c r="R305" s="58" t="n"/>
      <c r="S305" s="15">
        <f>I305*J305</f>
        <v/>
      </c>
      <c r="T305" s="15">
        <f>SUM(S305:S305)*68%</f>
        <v/>
      </c>
      <c r="U305" s="15">
        <f>I305*K305*40%*O305</f>
        <v/>
      </c>
      <c r="V305" s="15">
        <f>IF(P305&gt;=6750,(I305*K305*40%),0)</f>
        <v/>
      </c>
      <c r="W305" s="15">
        <f>IF(P305&lt;6750,0,IF(Q305="",0,IF(OR(Q305="KURANG",Q305="SANGAT KURANG"),I305*K305*10%,I305*K305*20%)))</f>
        <v/>
      </c>
      <c r="X305" s="15">
        <f>SUM(U305:W305)*68%</f>
        <v/>
      </c>
      <c r="Y305" s="15">
        <f>I305*L305</f>
        <v/>
      </c>
      <c r="Z305" s="15">
        <f>Y305 * 68%</f>
        <v/>
      </c>
      <c r="AA305" s="15">
        <f>I305*M305</f>
        <v/>
      </c>
      <c r="AB305" s="15">
        <f>AA305*68%</f>
        <v/>
      </c>
      <c r="AC305" s="16">
        <f>ROUND((T305+X305+Z305+AB305),0)</f>
        <v/>
      </c>
      <c r="AD305" s="16">
        <f>AG305</f>
        <v/>
      </c>
      <c r="AE305" s="16">
        <f>AI305</f>
        <v/>
      </c>
      <c r="AF305" s="16">
        <f>AC305+AD305+AE305</f>
        <v/>
      </c>
      <c r="AG305" s="16" t="n"/>
      <c r="AH305" s="17" t="n"/>
      <c r="AI305" s="17">
        <f>AH305*4</f>
        <v/>
      </c>
      <c r="AJ305" s="15">
        <f>AF305-AG305-AH305-AI305</f>
        <v/>
      </c>
      <c r="AK305" s="18" t="n">
        <v>298</v>
      </c>
      <c r="AL305" s="23" t="n"/>
    </row>
    <row r="306" ht="23.5" customHeight="1">
      <c r="A306" s="6" t="inlineStr">
        <is>
          <t>299</t>
        </is>
      </c>
      <c r="B306" s="28" t="n"/>
      <c r="C306" s="55" t="n"/>
      <c r="D306" s="19" t="n"/>
      <c r="E306" s="24" t="n"/>
      <c r="F306" s="25" t="n"/>
      <c r="G306" s="25" t="n"/>
      <c r="H306" s="24" t="n"/>
      <c r="I306" s="11" t="n"/>
      <c r="J306" s="57" t="n"/>
      <c r="K306" s="12" t="n"/>
      <c r="L306" s="13" t="n"/>
      <c r="M306" s="13" t="n"/>
      <c r="N306" s="14">
        <f>ROUND(I306*(SUM(J306:M306))*68%,0)</f>
        <v/>
      </c>
      <c r="O306" s="61" t="n"/>
      <c r="P306" s="59" t="n"/>
      <c r="Q306" s="59" t="n"/>
      <c r="R306" s="58" t="n"/>
      <c r="S306" s="15">
        <f>I306*J306</f>
        <v/>
      </c>
      <c r="T306" s="15">
        <f>SUM(S306:S306)*68%</f>
        <v/>
      </c>
      <c r="U306" s="15">
        <f>I306*K306*40%*O306</f>
        <v/>
      </c>
      <c r="V306" s="15">
        <f>IF(P306&gt;=6750,(I306*K306*40%),0)</f>
        <v/>
      </c>
      <c r="W306" s="15">
        <f>IF(P306&lt;6750,0,IF(Q306="",0,IF(OR(Q306="KURANG",Q306="SANGAT KURANG"),I306*K306*10%,I306*K306*20%)))</f>
        <v/>
      </c>
      <c r="X306" s="15">
        <f>SUM(U306:W306)*68%</f>
        <v/>
      </c>
      <c r="Y306" s="15">
        <f>I306*L306</f>
        <v/>
      </c>
      <c r="Z306" s="15">
        <f>Y306 * 68%</f>
        <v/>
      </c>
      <c r="AA306" s="15">
        <f>I306*M306</f>
        <v/>
      </c>
      <c r="AB306" s="15">
        <f>AA306*68%</f>
        <v/>
      </c>
      <c r="AC306" s="16">
        <f>ROUND((T306+X306+Z306+AB306),0)</f>
        <v/>
      </c>
      <c r="AD306" s="16">
        <f>AG306</f>
        <v/>
      </c>
      <c r="AE306" s="16">
        <f>AI306</f>
        <v/>
      </c>
      <c r="AF306" s="16">
        <f>AC306+AD306+AE306</f>
        <v/>
      </c>
      <c r="AG306" s="16" t="n"/>
      <c r="AH306" s="17" t="n"/>
      <c r="AI306" s="17">
        <f>AH306*4</f>
        <v/>
      </c>
      <c r="AJ306" s="15">
        <f>AF306-AG306-AH306-AI306</f>
        <v/>
      </c>
      <c r="AK306" s="18" t="n">
        <v>299</v>
      </c>
      <c r="AL306" s="40" t="n"/>
    </row>
    <row r="307" ht="23.5" customHeight="1">
      <c r="A307" s="6" t="inlineStr">
        <is>
          <t>300</t>
        </is>
      </c>
      <c r="B307" s="28" t="n"/>
      <c r="C307" s="55" t="n"/>
      <c r="D307" s="19" t="n"/>
      <c r="E307" s="24" t="n"/>
      <c r="F307" s="25" t="n"/>
      <c r="G307" s="25" t="n"/>
      <c r="H307" s="24" t="n"/>
      <c r="I307" s="11" t="n"/>
      <c r="J307" s="57" t="n"/>
      <c r="K307" s="12" t="n"/>
      <c r="L307" s="13" t="n"/>
      <c r="M307" s="13" t="n"/>
      <c r="N307" s="14">
        <f>ROUND(I307*(SUM(J307:M307))*68%,0)</f>
        <v/>
      </c>
      <c r="O307" s="61" t="n"/>
      <c r="P307" s="59" t="n"/>
      <c r="Q307" s="59" t="n"/>
      <c r="R307" s="58" t="n"/>
      <c r="S307" s="15">
        <f>I307*J307</f>
        <v/>
      </c>
      <c r="T307" s="15">
        <f>SUM(S307:S307)*68%</f>
        <v/>
      </c>
      <c r="U307" s="15">
        <f>I307*K307*40%*O307</f>
        <v/>
      </c>
      <c r="V307" s="15">
        <f>IF(P307&gt;=6750,(I307*K307*40%),0)</f>
        <v/>
      </c>
      <c r="W307" s="15">
        <f>IF(P307&lt;6750,0,IF(Q307="",0,IF(OR(Q307="KURANG",Q307="SANGAT KURANG"),I307*K307*10%,I307*K307*20%)))</f>
        <v/>
      </c>
      <c r="X307" s="15">
        <f>SUM(U307:W307)*68%</f>
        <v/>
      </c>
      <c r="Y307" s="15">
        <f>I307*L307</f>
        <v/>
      </c>
      <c r="Z307" s="15">
        <f>Y307 * 68%</f>
        <v/>
      </c>
      <c r="AA307" s="15">
        <f>I307*M307</f>
        <v/>
      </c>
      <c r="AB307" s="15">
        <f>AA307*68%</f>
        <v/>
      </c>
      <c r="AC307" s="16">
        <f>ROUND((T307+X307+Z307+AB307),0)</f>
        <v/>
      </c>
      <c r="AD307" s="16">
        <f>AG307</f>
        <v/>
      </c>
      <c r="AE307" s="16">
        <f>AI307</f>
        <v/>
      </c>
      <c r="AF307" s="16">
        <f>AC307+AD307+AE307</f>
        <v/>
      </c>
      <c r="AG307" s="16" t="n"/>
      <c r="AH307" s="17" t="n"/>
      <c r="AI307" s="17">
        <f>AH307*4</f>
        <v/>
      </c>
      <c r="AJ307" s="15">
        <f>AF307-AG307-AH307-AI307</f>
        <v/>
      </c>
      <c r="AK307" s="18" t="n">
        <v>300</v>
      </c>
      <c r="AL307" s="23" t="n"/>
    </row>
    <row r="308" ht="23.5" customHeight="1">
      <c r="A308" s="6" t="inlineStr">
        <is>
          <t>301</t>
        </is>
      </c>
      <c r="B308" s="28" t="n"/>
      <c r="C308" s="55" t="n"/>
      <c r="D308" s="19" t="n"/>
      <c r="E308" s="24" t="n"/>
      <c r="F308" s="25" t="n"/>
      <c r="G308" s="25" t="n"/>
      <c r="H308" s="24" t="n"/>
      <c r="I308" s="11" t="n"/>
      <c r="J308" s="57" t="n"/>
      <c r="K308" s="12" t="n"/>
      <c r="L308" s="13" t="n"/>
      <c r="M308" s="13" t="n"/>
      <c r="N308" s="14">
        <f>ROUND(I308*(SUM(J308:M308))*68%,0)</f>
        <v/>
      </c>
      <c r="O308" s="61" t="n"/>
      <c r="P308" s="59" t="n"/>
      <c r="Q308" s="59" t="n"/>
      <c r="R308" s="58" t="n"/>
      <c r="S308" s="15">
        <f>I308*J308</f>
        <v/>
      </c>
      <c r="T308" s="15">
        <f>SUM(S308:S308)*68%</f>
        <v/>
      </c>
      <c r="U308" s="15">
        <f>I308*K308*40%*O308</f>
        <v/>
      </c>
      <c r="V308" s="15">
        <f>IF(P308&gt;=6750,(I308*K308*40%),0)</f>
        <v/>
      </c>
      <c r="W308" s="15">
        <f>IF(P308&lt;6750,0,IF(Q308="",0,IF(OR(Q308="KURANG",Q308="SANGAT KURANG"),I308*K308*10%,I308*K308*20%)))</f>
        <v/>
      </c>
      <c r="X308" s="15">
        <f>SUM(U308:W308)*68%</f>
        <v/>
      </c>
      <c r="Y308" s="15">
        <f>I308*L308</f>
        <v/>
      </c>
      <c r="Z308" s="15">
        <f>Y308 * 68%</f>
        <v/>
      </c>
      <c r="AA308" s="15">
        <f>I308*M308</f>
        <v/>
      </c>
      <c r="AB308" s="15">
        <f>AA308*68%</f>
        <v/>
      </c>
      <c r="AC308" s="16">
        <f>ROUND((T308+X308+Z308+AB308),0)</f>
        <v/>
      </c>
      <c r="AD308" s="16">
        <f>AG308</f>
        <v/>
      </c>
      <c r="AE308" s="16">
        <f>AI308</f>
        <v/>
      </c>
      <c r="AF308" s="16">
        <f>AC308+AD308+AE308</f>
        <v/>
      </c>
      <c r="AG308" s="16" t="n"/>
      <c r="AH308" s="17" t="n"/>
      <c r="AI308" s="17">
        <f>AH308*4</f>
        <v/>
      </c>
      <c r="AJ308" s="15">
        <f>AF308-AG308-AH308-AI308</f>
        <v/>
      </c>
      <c r="AK308" s="18" t="n">
        <v>301</v>
      </c>
      <c r="AL308" s="23" t="n"/>
    </row>
    <row r="309" ht="23.5" customHeight="1">
      <c r="A309" s="6" t="inlineStr">
        <is>
          <t>302</t>
        </is>
      </c>
      <c r="B309" s="28" t="n"/>
      <c r="C309" s="55" t="n"/>
      <c r="D309" s="19" t="n"/>
      <c r="E309" s="24" t="n"/>
      <c r="F309" s="25" t="n"/>
      <c r="G309" s="25" t="n"/>
      <c r="H309" s="24" t="n"/>
      <c r="I309" s="11" t="n"/>
      <c r="J309" s="57" t="n"/>
      <c r="K309" s="12" t="n"/>
      <c r="L309" s="13" t="n"/>
      <c r="M309" s="13" t="n"/>
      <c r="N309" s="14">
        <f>ROUND(I309*(SUM(J309:M309))*68%,0)</f>
        <v/>
      </c>
      <c r="O309" s="61" t="n"/>
      <c r="P309" s="59" t="n"/>
      <c r="Q309" s="59" t="n"/>
      <c r="R309" s="58" t="n"/>
      <c r="S309" s="15">
        <f>I309*J309</f>
        <v/>
      </c>
      <c r="T309" s="15">
        <f>SUM(S309:S309)*68%</f>
        <v/>
      </c>
      <c r="U309" s="15">
        <f>I309*K309*40%*O309</f>
        <v/>
      </c>
      <c r="V309" s="15">
        <f>IF(P309&gt;=6750,(I309*K309*40%),0)</f>
        <v/>
      </c>
      <c r="W309" s="15">
        <f>IF(P309&lt;6750,0,IF(Q309="",0,IF(OR(Q309="KURANG",Q309="SANGAT KURANG"),I309*K309*10%,I309*K309*20%)))</f>
        <v/>
      </c>
      <c r="X309" s="15">
        <f>SUM(U309:W309)*68%</f>
        <v/>
      </c>
      <c r="Y309" s="15">
        <f>I309*L309</f>
        <v/>
      </c>
      <c r="Z309" s="15">
        <f>Y309 * 68%</f>
        <v/>
      </c>
      <c r="AA309" s="15">
        <f>I309*M309</f>
        <v/>
      </c>
      <c r="AB309" s="15">
        <f>AA309*68%</f>
        <v/>
      </c>
      <c r="AC309" s="16">
        <f>ROUND((T309+X309+Z309+AB309),0)</f>
        <v/>
      </c>
      <c r="AD309" s="16">
        <f>AG309</f>
        <v/>
      </c>
      <c r="AE309" s="16">
        <f>AI309</f>
        <v/>
      </c>
      <c r="AF309" s="16">
        <f>AC309+AD309+AE309</f>
        <v/>
      </c>
      <c r="AG309" s="16" t="n"/>
      <c r="AH309" s="17" t="n"/>
      <c r="AI309" s="17">
        <f>AH309*4</f>
        <v/>
      </c>
      <c r="AJ309" s="15">
        <f>AF309-AG309-AH309-AI309</f>
        <v/>
      </c>
      <c r="AK309" s="18" t="n">
        <v>302</v>
      </c>
      <c r="AL309" s="40" t="n"/>
    </row>
    <row r="310" ht="23.5" customHeight="1">
      <c r="A310" s="6" t="inlineStr">
        <is>
          <t>303</t>
        </is>
      </c>
      <c r="B310" s="28" t="n"/>
      <c r="C310" s="55" t="n"/>
      <c r="D310" s="19" t="n"/>
      <c r="E310" s="24" t="n"/>
      <c r="F310" s="25" t="n"/>
      <c r="G310" s="25" t="n"/>
      <c r="H310" s="24" t="n"/>
      <c r="I310" s="11" t="n"/>
      <c r="J310" s="57" t="n"/>
      <c r="K310" s="12" t="n"/>
      <c r="L310" s="13" t="n"/>
      <c r="M310" s="13" t="n"/>
      <c r="N310" s="14">
        <f>ROUND(I310*(SUM(J310:M310))*68%,0)</f>
        <v/>
      </c>
      <c r="O310" s="61" t="n"/>
      <c r="P310" s="59" t="n"/>
      <c r="Q310" s="59" t="n"/>
      <c r="R310" s="58" t="n"/>
      <c r="S310" s="15">
        <f>I310*J310</f>
        <v/>
      </c>
      <c r="T310" s="15">
        <f>SUM(S310:S310)*68%</f>
        <v/>
      </c>
      <c r="U310" s="15">
        <f>I310*K310*40%*O310</f>
        <v/>
      </c>
      <c r="V310" s="15">
        <f>IF(P310&gt;=6750,(I310*K310*40%),0)</f>
        <v/>
      </c>
      <c r="W310" s="15">
        <f>IF(P310&lt;6750,0,IF(Q310="",0,IF(OR(Q310="KURANG",Q310="SANGAT KURANG"),I310*K310*10%,I310*K310*20%)))</f>
        <v/>
      </c>
      <c r="X310" s="15">
        <f>SUM(U310:W310)*68%</f>
        <v/>
      </c>
      <c r="Y310" s="15">
        <f>I310*L310</f>
        <v/>
      </c>
      <c r="Z310" s="15">
        <f>Y310 * 68%</f>
        <v/>
      </c>
      <c r="AA310" s="15">
        <f>I310*M310</f>
        <v/>
      </c>
      <c r="AB310" s="15">
        <f>AA310*68%</f>
        <v/>
      </c>
      <c r="AC310" s="16">
        <f>ROUND((T310+X310+Z310+AB310),0)</f>
        <v/>
      </c>
      <c r="AD310" s="16">
        <f>AG310</f>
        <v/>
      </c>
      <c r="AE310" s="16">
        <f>AI310</f>
        <v/>
      </c>
      <c r="AF310" s="16">
        <f>AC310+AD310+AE310</f>
        <v/>
      </c>
      <c r="AG310" s="16" t="n"/>
      <c r="AH310" s="17" t="n"/>
      <c r="AI310" s="17">
        <f>AH310*4</f>
        <v/>
      </c>
      <c r="AJ310" s="15">
        <f>AF310-AG310-AH310-AI310</f>
        <v/>
      </c>
      <c r="AK310" s="18" t="n">
        <v>303</v>
      </c>
      <c r="AL310" s="23" t="n"/>
    </row>
    <row r="311" ht="23.5" customHeight="1">
      <c r="A311" s="6" t="inlineStr">
        <is>
          <t>304</t>
        </is>
      </c>
      <c r="B311" s="28" t="n"/>
      <c r="C311" s="55" t="n"/>
      <c r="D311" s="19" t="n"/>
      <c r="E311" s="24" t="n"/>
      <c r="F311" s="25" t="n"/>
      <c r="G311" s="25" t="n"/>
      <c r="H311" s="24" t="n"/>
      <c r="I311" s="11" t="n"/>
      <c r="J311" s="57" t="n"/>
      <c r="K311" s="12" t="n"/>
      <c r="L311" s="13" t="n"/>
      <c r="M311" s="13" t="n"/>
      <c r="N311" s="14">
        <f>ROUND(I311*(SUM(J311:M311))*68%,0)</f>
        <v/>
      </c>
      <c r="O311" s="61" t="n"/>
      <c r="P311" s="59" t="n"/>
      <c r="Q311" s="59" t="n"/>
      <c r="R311" s="58" t="n"/>
      <c r="S311" s="15">
        <f>I311*J311</f>
        <v/>
      </c>
      <c r="T311" s="15">
        <f>SUM(S311:S311)*68%</f>
        <v/>
      </c>
      <c r="U311" s="15">
        <f>I311*K311*40%*O311</f>
        <v/>
      </c>
      <c r="V311" s="15">
        <f>IF(P311&gt;=6750,(I311*K311*40%),0)</f>
        <v/>
      </c>
      <c r="W311" s="15">
        <f>IF(P311&lt;6750,0,IF(Q311="",0,IF(OR(Q311="KURANG",Q311="SANGAT KURANG"),I311*K311*10%,I311*K311*20%)))</f>
        <v/>
      </c>
      <c r="X311" s="15">
        <f>SUM(U311:W311)*68%</f>
        <v/>
      </c>
      <c r="Y311" s="15">
        <f>I311*L311</f>
        <v/>
      </c>
      <c r="Z311" s="15">
        <f>Y311 * 68%</f>
        <v/>
      </c>
      <c r="AA311" s="15">
        <f>I311*M311</f>
        <v/>
      </c>
      <c r="AB311" s="15">
        <f>AA311*68%</f>
        <v/>
      </c>
      <c r="AC311" s="16">
        <f>ROUND((T311+X311+Z311+AB311),0)</f>
        <v/>
      </c>
      <c r="AD311" s="16">
        <f>AG311</f>
        <v/>
      </c>
      <c r="AE311" s="16">
        <f>AI311</f>
        <v/>
      </c>
      <c r="AF311" s="16">
        <f>AC311+AD311+AE311</f>
        <v/>
      </c>
      <c r="AG311" s="16" t="n"/>
      <c r="AH311" s="17" t="n"/>
      <c r="AI311" s="17">
        <f>AH311*4</f>
        <v/>
      </c>
      <c r="AJ311" s="15">
        <f>AF311-AG311-AH311-AI311</f>
        <v/>
      </c>
      <c r="AK311" s="18" t="n">
        <v>304</v>
      </c>
      <c r="AL311" s="23" t="n"/>
    </row>
    <row r="312" ht="23.5" customHeight="1">
      <c r="A312" s="6" t="inlineStr">
        <is>
          <t>305</t>
        </is>
      </c>
      <c r="B312" s="24" t="n"/>
      <c r="C312" s="55" t="n"/>
      <c r="D312" s="19" t="n"/>
      <c r="E312" s="24" t="n"/>
      <c r="F312" s="25" t="n"/>
      <c r="G312" s="25" t="n"/>
      <c r="H312" s="24" t="n"/>
      <c r="I312" s="11" t="n"/>
      <c r="J312" s="57" t="n"/>
      <c r="K312" s="12" t="n"/>
      <c r="L312" s="13" t="n"/>
      <c r="M312" s="13" t="n"/>
      <c r="N312" s="14">
        <f>ROUND(I312*(SUM(J312:M312))*68%,0)</f>
        <v/>
      </c>
      <c r="O312" s="61" t="n"/>
      <c r="P312" s="59" t="n"/>
      <c r="Q312" s="59" t="n"/>
      <c r="R312" s="58" t="n"/>
      <c r="S312" s="15">
        <f>I312*J312</f>
        <v/>
      </c>
      <c r="T312" s="15">
        <f>SUM(S312:S312)*68%</f>
        <v/>
      </c>
      <c r="U312" s="15">
        <f>I312*K312*40%*O312</f>
        <v/>
      </c>
      <c r="V312" s="15">
        <f>IF(P312&gt;=6750,(I312*K312*40%),0)</f>
        <v/>
      </c>
      <c r="W312" s="15">
        <f>IF(P312&lt;6750,0,IF(Q312="",0,IF(OR(Q312="KURANG",Q312="SANGAT KURANG"),I312*K312*10%,I312*K312*20%)))</f>
        <v/>
      </c>
      <c r="X312" s="15">
        <f>SUM(U312:W312)*68%</f>
        <v/>
      </c>
      <c r="Y312" s="15">
        <f>I312*L312</f>
        <v/>
      </c>
      <c r="Z312" s="15">
        <f>Y312 * 68%</f>
        <v/>
      </c>
      <c r="AA312" s="15">
        <f>I312*M312</f>
        <v/>
      </c>
      <c r="AB312" s="15">
        <f>AA312*68%</f>
        <v/>
      </c>
      <c r="AC312" s="16">
        <f>ROUND((T312+X312+Z312+AB312),0)</f>
        <v/>
      </c>
      <c r="AD312" s="16">
        <f>AG312</f>
        <v/>
      </c>
      <c r="AE312" s="16">
        <f>AI312</f>
        <v/>
      </c>
      <c r="AF312" s="16">
        <f>AC312+AD312+AE312</f>
        <v/>
      </c>
      <c r="AG312" s="16" t="n"/>
      <c r="AH312" s="17" t="n"/>
      <c r="AI312" s="17">
        <f>AH312*4</f>
        <v/>
      </c>
      <c r="AJ312" s="15">
        <f>AF312-AG312-AH312-AI312</f>
        <v/>
      </c>
      <c r="AK312" s="18" t="n">
        <v>305</v>
      </c>
      <c r="AL312" s="40" t="n"/>
    </row>
    <row r="313" ht="23.5" customHeight="1">
      <c r="A313" s="6" t="inlineStr">
        <is>
          <t>306</t>
        </is>
      </c>
      <c r="B313" s="54" t="n"/>
      <c r="C313" s="55" t="n"/>
      <c r="D313" s="19" t="n"/>
      <c r="E313" s="26" t="n"/>
      <c r="F313" s="27" t="n"/>
      <c r="G313" s="25" t="n"/>
      <c r="H313" s="24" t="n"/>
      <c r="I313" s="11" t="n"/>
      <c r="J313" s="57" t="n"/>
      <c r="K313" s="12" t="n"/>
      <c r="L313" s="13" t="n"/>
      <c r="M313" s="13" t="n"/>
      <c r="N313" s="14">
        <f>ROUND(I313*(SUM(J313:M313))*68%,0)</f>
        <v/>
      </c>
      <c r="O313" s="61" t="n"/>
      <c r="P313" s="59" t="n"/>
      <c r="Q313" s="59" t="n"/>
      <c r="R313" s="58" t="n"/>
      <c r="S313" s="15">
        <f>I313*J313</f>
        <v/>
      </c>
      <c r="T313" s="15">
        <f>SUM(S313:S313)*68%</f>
        <v/>
      </c>
      <c r="U313" s="15">
        <f>I313*K313*40%*O313</f>
        <v/>
      </c>
      <c r="V313" s="15">
        <f>IF(P313&gt;=6750,(I313*K313*40%),0)</f>
        <v/>
      </c>
      <c r="W313" s="15">
        <f>IF(P313&lt;6750,0,IF(Q313="",0,IF(OR(Q313="KURANG",Q313="SANGAT KURANG"),I313*K313*10%,I313*K313*20%)))</f>
        <v/>
      </c>
      <c r="X313" s="15">
        <f>SUM(U313:W313)*68%</f>
        <v/>
      </c>
      <c r="Y313" s="15">
        <f>I313*L313</f>
        <v/>
      </c>
      <c r="Z313" s="15">
        <f>Y313 * 68%</f>
        <v/>
      </c>
      <c r="AA313" s="15">
        <f>I313*M313</f>
        <v/>
      </c>
      <c r="AB313" s="15">
        <f>AA313*68%</f>
        <v/>
      </c>
      <c r="AC313" s="16">
        <f>ROUND((T313+X313+Z313+AB313),0)</f>
        <v/>
      </c>
      <c r="AD313" s="16">
        <f>AG313</f>
        <v/>
      </c>
      <c r="AE313" s="16">
        <f>AI313</f>
        <v/>
      </c>
      <c r="AF313" s="16">
        <f>AC313+AD313+AE313</f>
        <v/>
      </c>
      <c r="AG313" s="16" t="n"/>
      <c r="AH313" s="17" t="n"/>
      <c r="AI313" s="17">
        <f>AH313*4</f>
        <v/>
      </c>
      <c r="AJ313" s="15">
        <f>AF313-AG313-AH313-AI313</f>
        <v/>
      </c>
      <c r="AK313" s="18" t="n">
        <v>306</v>
      </c>
      <c r="AL313" s="23" t="n"/>
    </row>
    <row r="314" ht="23.5" customHeight="1">
      <c r="A314" s="6" t="inlineStr">
        <is>
          <t>307</t>
        </is>
      </c>
      <c r="B314" s="28" t="n"/>
      <c r="C314" s="55" t="n"/>
      <c r="D314" s="19" t="n"/>
      <c r="E314" s="24" t="n"/>
      <c r="F314" s="27" t="n"/>
      <c r="G314" s="25" t="n"/>
      <c r="H314" s="24" t="n"/>
      <c r="I314" s="11" t="n"/>
      <c r="J314" s="57" t="n"/>
      <c r="K314" s="12" t="n"/>
      <c r="L314" s="13" t="n"/>
      <c r="M314" s="13" t="n"/>
      <c r="N314" s="14">
        <f>ROUND(I314*(SUM(J314:M314))*68%,0)</f>
        <v/>
      </c>
      <c r="O314" s="61" t="n"/>
      <c r="P314" s="59" t="n"/>
      <c r="Q314" s="59" t="n"/>
      <c r="R314" s="58" t="n"/>
      <c r="S314" s="15">
        <f>I314*J314</f>
        <v/>
      </c>
      <c r="T314" s="15">
        <f>SUM(S314:S314)*68%</f>
        <v/>
      </c>
      <c r="U314" s="15">
        <f>I314*K314*40%*O314</f>
        <v/>
      </c>
      <c r="V314" s="15">
        <f>IF(P314&gt;=6750,(I314*K314*40%),0)</f>
        <v/>
      </c>
      <c r="W314" s="15">
        <f>IF(P314&lt;6750,0,IF(Q314="",0,IF(OR(Q314="KURANG",Q314="SANGAT KURANG"),I314*K314*10%,I314*K314*20%)))</f>
        <v/>
      </c>
      <c r="X314" s="15">
        <f>SUM(U314:W314)*68%</f>
        <v/>
      </c>
      <c r="Y314" s="15">
        <f>I314*L314</f>
        <v/>
      </c>
      <c r="Z314" s="15">
        <f>Y314 * 68%</f>
        <v/>
      </c>
      <c r="AA314" s="15">
        <f>I314*M314</f>
        <v/>
      </c>
      <c r="AB314" s="15">
        <f>AA314*68%</f>
        <v/>
      </c>
      <c r="AC314" s="16">
        <f>ROUND((T314+X314+Z314+AB314),0)</f>
        <v/>
      </c>
      <c r="AD314" s="16">
        <f>AG314</f>
        <v/>
      </c>
      <c r="AE314" s="16">
        <f>AI314</f>
        <v/>
      </c>
      <c r="AF314" s="16">
        <f>AC314+AD314+AE314</f>
        <v/>
      </c>
      <c r="AG314" s="16" t="n"/>
      <c r="AH314" s="17" t="n"/>
      <c r="AI314" s="17">
        <f>AH314*4</f>
        <v/>
      </c>
      <c r="AJ314" s="15">
        <f>AF314-AG314-AH314-AI314</f>
        <v/>
      </c>
      <c r="AK314" s="18" t="n">
        <v>307</v>
      </c>
      <c r="AL314" s="23" t="n"/>
    </row>
    <row r="315" ht="23.5" customHeight="1">
      <c r="A315" s="6" t="inlineStr">
        <is>
          <t>308</t>
        </is>
      </c>
      <c r="B315" s="28" t="n"/>
      <c r="C315" s="55" t="n"/>
      <c r="D315" s="19" t="n"/>
      <c r="E315" s="24" t="n"/>
      <c r="F315" s="25" t="n"/>
      <c r="G315" s="10" t="n"/>
      <c r="H315" s="8" t="n"/>
      <c r="I315" s="11" t="n"/>
      <c r="J315" s="57" t="n"/>
      <c r="K315" s="12" t="n"/>
      <c r="L315" s="13" t="n"/>
      <c r="M315" s="13" t="n"/>
      <c r="N315" s="14">
        <f>ROUND(I315*(SUM(J315:M315))*68%,0)</f>
        <v/>
      </c>
      <c r="O315" s="61" t="n"/>
      <c r="P315" s="59" t="n"/>
      <c r="Q315" s="59" t="n"/>
      <c r="R315" s="58" t="n"/>
      <c r="S315" s="15">
        <f>I315*J315</f>
        <v/>
      </c>
      <c r="T315" s="15">
        <f>SUM(S315:S315)*68%</f>
        <v/>
      </c>
      <c r="U315" s="15">
        <f>I315*K315*40%*O315</f>
        <v/>
      </c>
      <c r="V315" s="15">
        <f>IF(P315&gt;=6750,(I315*K315*40%),0)</f>
        <v/>
      </c>
      <c r="W315" s="15">
        <f>IF(P315&lt;6750,0,IF(Q315="",0,IF(OR(Q315="KURANG",Q315="SANGAT KURANG"),I315*K315*10%,I315*K315*20%)))</f>
        <v/>
      </c>
      <c r="X315" s="15">
        <f>SUM(U315:W315)*68%</f>
        <v/>
      </c>
      <c r="Y315" s="15">
        <f>I315*L315</f>
        <v/>
      </c>
      <c r="Z315" s="15">
        <f>Y315 * 68%</f>
        <v/>
      </c>
      <c r="AA315" s="15">
        <f>I315*M315</f>
        <v/>
      </c>
      <c r="AB315" s="15">
        <f>AA315*68%</f>
        <v/>
      </c>
      <c r="AC315" s="16">
        <f>ROUND((T315+X315+Z315+AB315),0)</f>
        <v/>
      </c>
      <c r="AD315" s="16">
        <f>AG315</f>
        <v/>
      </c>
      <c r="AE315" s="16">
        <f>AI315</f>
        <v/>
      </c>
      <c r="AF315" s="16">
        <f>AC315+AD315+AE315</f>
        <v/>
      </c>
      <c r="AG315" s="16" t="n"/>
      <c r="AH315" s="17" t="n"/>
      <c r="AI315" s="17">
        <f>AH315*4</f>
        <v/>
      </c>
      <c r="AJ315" s="15">
        <f>AF315-AG315-AH315-AI315</f>
        <v/>
      </c>
      <c r="AK315" s="18" t="n">
        <v>308</v>
      </c>
      <c r="AL315" s="40" t="n"/>
    </row>
    <row r="316" ht="23.5" customHeight="1">
      <c r="A316" s="6" t="inlineStr">
        <is>
          <t>309</t>
        </is>
      </c>
      <c r="B316" s="24" t="n"/>
      <c r="C316" s="55" t="n"/>
      <c r="D316" s="19" t="n"/>
      <c r="E316" s="24" t="n"/>
      <c r="F316" s="25" t="n"/>
      <c r="G316" s="10" t="n"/>
      <c r="H316" s="8" t="n"/>
      <c r="I316" s="11" t="n"/>
      <c r="J316" s="57" t="n"/>
      <c r="K316" s="12" t="n"/>
      <c r="L316" s="13" t="n"/>
      <c r="M316" s="13" t="n"/>
      <c r="N316" s="14">
        <f>ROUND(I316*(SUM(J316:M316))*68%,0)</f>
        <v/>
      </c>
      <c r="O316" s="61" t="n"/>
      <c r="P316" s="59" t="n"/>
      <c r="Q316" s="59" t="n"/>
      <c r="R316" s="58" t="n"/>
      <c r="S316" s="15">
        <f>I316*J316</f>
        <v/>
      </c>
      <c r="T316" s="15">
        <f>SUM(S316:S316)*68%</f>
        <v/>
      </c>
      <c r="U316" s="15">
        <f>I316*K316*40%*O316</f>
        <v/>
      </c>
      <c r="V316" s="15">
        <f>IF(P316&gt;=6750,(I316*K316*40%),0)</f>
        <v/>
      </c>
      <c r="W316" s="15">
        <f>IF(P316&lt;6750,0,IF(Q316="",0,IF(OR(Q316="KURANG",Q316="SANGAT KURANG"),I316*K316*10%,I316*K316*20%)))</f>
        <v/>
      </c>
      <c r="X316" s="15">
        <f>SUM(U316:W316)*68%</f>
        <v/>
      </c>
      <c r="Y316" s="15">
        <f>I316*L316</f>
        <v/>
      </c>
      <c r="Z316" s="15">
        <f>Y316 * 68%</f>
        <v/>
      </c>
      <c r="AA316" s="15">
        <f>I316*M316</f>
        <v/>
      </c>
      <c r="AB316" s="15">
        <f>AA316*68%</f>
        <v/>
      </c>
      <c r="AC316" s="16">
        <f>ROUND((T316+X316+Z316+AB316),0)</f>
        <v/>
      </c>
      <c r="AD316" s="16">
        <f>AG316</f>
        <v/>
      </c>
      <c r="AE316" s="16">
        <f>AI316</f>
        <v/>
      </c>
      <c r="AF316" s="16">
        <f>AC316+AD316+AE316</f>
        <v/>
      </c>
      <c r="AG316" s="16" t="n"/>
      <c r="AH316" s="17" t="n"/>
      <c r="AI316" s="17">
        <f>AH316*4</f>
        <v/>
      </c>
      <c r="AJ316" s="15">
        <f>AF316-AG316-AH316-AI316</f>
        <v/>
      </c>
      <c r="AK316" s="18" t="n">
        <v>309</v>
      </c>
      <c r="AL316" s="23" t="n"/>
    </row>
    <row r="317" ht="23.5" customHeight="1">
      <c r="A317" s="6" t="inlineStr">
        <is>
          <t>310</t>
        </is>
      </c>
      <c r="B317" s="28" t="n"/>
      <c r="C317" s="55" t="n"/>
      <c r="D317" s="19" t="n"/>
      <c r="E317" s="24" t="n"/>
      <c r="F317" s="25" t="n"/>
      <c r="G317" s="10" t="n"/>
      <c r="H317" s="8" t="n"/>
      <c r="I317" s="11" t="n"/>
      <c r="J317" s="57" t="n"/>
      <c r="K317" s="12" t="n"/>
      <c r="L317" s="13" t="n"/>
      <c r="M317" s="13" t="n"/>
      <c r="N317" s="14">
        <f>ROUND(I317*(SUM(J317:M317))*68%,0)</f>
        <v/>
      </c>
      <c r="O317" s="61" t="n"/>
      <c r="P317" s="59" t="n"/>
      <c r="Q317" s="59" t="n"/>
      <c r="R317" s="58" t="n"/>
      <c r="S317" s="15">
        <f>I317*J317</f>
        <v/>
      </c>
      <c r="T317" s="15">
        <f>SUM(S317:S317)*68%</f>
        <v/>
      </c>
      <c r="U317" s="15">
        <f>I317*K317*40%*O317</f>
        <v/>
      </c>
      <c r="V317" s="15">
        <f>IF(P317&gt;=6750,(I317*K317*40%),0)</f>
        <v/>
      </c>
      <c r="W317" s="15">
        <f>IF(P317&lt;6750,0,IF(Q317="",0,IF(OR(Q317="KURANG",Q317="SANGAT KURANG"),I317*K317*10%,I317*K317*20%)))</f>
        <v/>
      </c>
      <c r="X317" s="15">
        <f>SUM(U317:W317)*68%</f>
        <v/>
      </c>
      <c r="Y317" s="15">
        <f>I317*L317</f>
        <v/>
      </c>
      <c r="Z317" s="15">
        <f>Y317 * 68%</f>
        <v/>
      </c>
      <c r="AA317" s="15">
        <f>I317*M317</f>
        <v/>
      </c>
      <c r="AB317" s="15">
        <f>AA317*68%</f>
        <v/>
      </c>
      <c r="AC317" s="16">
        <f>ROUND((T317+X317+Z317+AB317),0)</f>
        <v/>
      </c>
      <c r="AD317" s="16">
        <f>AG317</f>
        <v/>
      </c>
      <c r="AE317" s="16">
        <f>AI317</f>
        <v/>
      </c>
      <c r="AF317" s="16">
        <f>AC317+AD317+AE317</f>
        <v/>
      </c>
      <c r="AG317" s="16" t="n"/>
      <c r="AH317" s="17" t="n"/>
      <c r="AI317" s="17">
        <f>AH317*4</f>
        <v/>
      </c>
      <c r="AJ317" s="15">
        <f>AF317-AG317-AH317-AI317</f>
        <v/>
      </c>
      <c r="AK317" s="18" t="n">
        <v>310</v>
      </c>
      <c r="AL317" s="23" t="n"/>
    </row>
    <row r="318" ht="23.5" customHeight="1">
      <c r="A318" s="6" t="inlineStr">
        <is>
          <t>311</t>
        </is>
      </c>
      <c r="B318" s="28" t="n"/>
      <c r="C318" s="55" t="n"/>
      <c r="D318" s="19" t="n"/>
      <c r="E318" s="24" t="n"/>
      <c r="F318" s="25" t="n"/>
      <c r="G318" s="10" t="n"/>
      <c r="H318" s="8" t="n"/>
      <c r="I318" s="11" t="n"/>
      <c r="J318" s="57" t="n"/>
      <c r="K318" s="12" t="n"/>
      <c r="L318" s="13" t="n"/>
      <c r="M318" s="13" t="n"/>
      <c r="N318" s="14">
        <f>ROUND(I318*(SUM(J318:M318))*68%,0)</f>
        <v/>
      </c>
      <c r="O318" s="61" t="n"/>
      <c r="P318" s="59" t="n"/>
      <c r="Q318" s="59" t="n"/>
      <c r="R318" s="58" t="n"/>
      <c r="S318" s="15">
        <f>I318*J318</f>
        <v/>
      </c>
      <c r="T318" s="15">
        <f>SUM(S318:S318)*68%</f>
        <v/>
      </c>
      <c r="U318" s="15">
        <f>I318*K318*40%*O318</f>
        <v/>
      </c>
      <c r="V318" s="15">
        <f>IF(P318&gt;=6750,(I318*K318*40%),0)</f>
        <v/>
      </c>
      <c r="W318" s="15">
        <f>IF(P318&lt;6750,0,IF(Q318="",0,IF(OR(Q318="KURANG",Q318="SANGAT KURANG"),I318*K318*10%,I318*K318*20%)))</f>
        <v/>
      </c>
      <c r="X318" s="15">
        <f>SUM(U318:W318)*68%</f>
        <v/>
      </c>
      <c r="Y318" s="15">
        <f>I318*L318</f>
        <v/>
      </c>
      <c r="Z318" s="15">
        <f>Y318 * 68%</f>
        <v/>
      </c>
      <c r="AA318" s="15">
        <f>I318*M318</f>
        <v/>
      </c>
      <c r="AB318" s="15">
        <f>AA318*68%</f>
        <v/>
      </c>
      <c r="AC318" s="16">
        <f>ROUND((T318+X318+Z318+AB318),0)</f>
        <v/>
      </c>
      <c r="AD318" s="16">
        <f>AG318</f>
        <v/>
      </c>
      <c r="AE318" s="16">
        <f>AI318</f>
        <v/>
      </c>
      <c r="AF318" s="16">
        <f>AC318+AD318+AE318</f>
        <v/>
      </c>
      <c r="AG318" s="16" t="n"/>
      <c r="AH318" s="17" t="n"/>
      <c r="AI318" s="17">
        <f>AH318*4</f>
        <v/>
      </c>
      <c r="AJ318" s="15">
        <f>AF318-AG318-AH318-AI318</f>
        <v/>
      </c>
      <c r="AK318" s="18" t="n">
        <v>311</v>
      </c>
      <c r="AL318" s="40" t="n"/>
    </row>
    <row r="319" ht="23.5" customHeight="1">
      <c r="A319" s="6" t="inlineStr">
        <is>
          <t>312</t>
        </is>
      </c>
      <c r="B319" s="24" t="n"/>
      <c r="C319" s="55" t="n"/>
      <c r="D319" s="19" t="n"/>
      <c r="E319" s="24" t="n"/>
      <c r="F319" s="25" t="n"/>
      <c r="G319" s="10" t="n"/>
      <c r="H319" s="8" t="n"/>
      <c r="I319" s="11" t="n"/>
      <c r="J319" s="57" t="n"/>
      <c r="K319" s="12" t="n"/>
      <c r="L319" s="13" t="n"/>
      <c r="M319" s="13" t="n"/>
      <c r="N319" s="14">
        <f>ROUND(I319*(SUM(J319:M319))*68%,0)</f>
        <v/>
      </c>
      <c r="O319" s="61" t="n"/>
      <c r="P319" s="59" t="n"/>
      <c r="Q319" s="59" t="n"/>
      <c r="R319" s="58" t="n"/>
      <c r="S319" s="15">
        <f>I319*J319</f>
        <v/>
      </c>
      <c r="T319" s="15">
        <f>SUM(S319:S319)*68%</f>
        <v/>
      </c>
      <c r="U319" s="15">
        <f>I319*K319*40%*O319</f>
        <v/>
      </c>
      <c r="V319" s="15">
        <f>IF(P319&gt;=6750,(I319*K319*40%),0)</f>
        <v/>
      </c>
      <c r="W319" s="15">
        <f>IF(P319&lt;6750,0,IF(Q319="",0,IF(OR(Q319="KURANG",Q319="SANGAT KURANG"),I319*K319*10%,I319*K319*20%)))</f>
        <v/>
      </c>
      <c r="X319" s="15">
        <f>SUM(U319:W319)*68%</f>
        <v/>
      </c>
      <c r="Y319" s="15">
        <f>I319*L319</f>
        <v/>
      </c>
      <c r="Z319" s="15">
        <f>Y319 * 68%</f>
        <v/>
      </c>
      <c r="AA319" s="15">
        <f>I319*M319</f>
        <v/>
      </c>
      <c r="AB319" s="15">
        <f>AA319*68%</f>
        <v/>
      </c>
      <c r="AC319" s="16">
        <f>ROUND((T319+X319+Z319+AB319),0)</f>
        <v/>
      </c>
      <c r="AD319" s="16">
        <f>AG319</f>
        <v/>
      </c>
      <c r="AE319" s="16">
        <f>AI319</f>
        <v/>
      </c>
      <c r="AF319" s="16">
        <f>AC319+AD319+AE319</f>
        <v/>
      </c>
      <c r="AG319" s="16" t="n"/>
      <c r="AH319" s="17" t="n"/>
      <c r="AI319" s="17">
        <f>AH319*4</f>
        <v/>
      </c>
      <c r="AJ319" s="15">
        <f>AF319-AG319-AH319-AI319</f>
        <v/>
      </c>
      <c r="AK319" s="18" t="n">
        <v>312</v>
      </c>
      <c r="AL319" s="23" t="n"/>
    </row>
    <row r="320" ht="23.5" customHeight="1">
      <c r="A320" s="6" t="inlineStr">
        <is>
          <t>313</t>
        </is>
      </c>
      <c r="B320" s="24" t="n"/>
      <c r="C320" s="55" t="n"/>
      <c r="D320" s="19" t="n"/>
      <c r="E320" s="24" t="n"/>
      <c r="F320" s="25" t="n"/>
      <c r="G320" s="10" t="n"/>
      <c r="H320" s="8" t="n"/>
      <c r="I320" s="11" t="n"/>
      <c r="J320" s="57" t="n"/>
      <c r="K320" s="12" t="n"/>
      <c r="L320" s="13" t="n"/>
      <c r="M320" s="13" t="n"/>
      <c r="N320" s="14">
        <f>ROUND(I320*(SUM(J320:M320))*68%,0)</f>
        <v/>
      </c>
      <c r="O320" s="61" t="n"/>
      <c r="P320" s="59" t="n"/>
      <c r="Q320" s="59" t="n"/>
      <c r="R320" s="58" t="n"/>
      <c r="S320" s="15">
        <f>I320*J320</f>
        <v/>
      </c>
      <c r="T320" s="15">
        <f>SUM(S320:S320)*68%</f>
        <v/>
      </c>
      <c r="U320" s="15">
        <f>I320*K320*40%*O320</f>
        <v/>
      </c>
      <c r="V320" s="15">
        <f>IF(P320&gt;=6750,(I320*K320*40%),0)</f>
        <v/>
      </c>
      <c r="W320" s="15">
        <f>IF(P320&lt;6750,0,IF(Q320="",0,IF(OR(Q320="KURANG",Q320="SANGAT KURANG"),I320*K320*10%,I320*K320*20%)))</f>
        <v/>
      </c>
      <c r="X320" s="15">
        <f>SUM(U320:W320)*68%</f>
        <v/>
      </c>
      <c r="Y320" s="15">
        <f>I320*L320</f>
        <v/>
      </c>
      <c r="Z320" s="15">
        <f>Y320 * 68%</f>
        <v/>
      </c>
      <c r="AA320" s="15">
        <f>I320*M320</f>
        <v/>
      </c>
      <c r="AB320" s="15">
        <f>AA320*68%</f>
        <v/>
      </c>
      <c r="AC320" s="16">
        <f>ROUND((T320+X320+Z320+AB320),0)</f>
        <v/>
      </c>
      <c r="AD320" s="16">
        <f>AG320</f>
        <v/>
      </c>
      <c r="AE320" s="16">
        <f>AI320</f>
        <v/>
      </c>
      <c r="AF320" s="16">
        <f>AC320+AD320+AE320</f>
        <v/>
      </c>
      <c r="AG320" s="16" t="n"/>
      <c r="AH320" s="17" t="n"/>
      <c r="AI320" s="17">
        <f>AH320*4</f>
        <v/>
      </c>
      <c r="AJ320" s="15">
        <f>AF320-AG320-AH320-AI320</f>
        <v/>
      </c>
      <c r="AK320" s="18" t="n">
        <v>313</v>
      </c>
      <c r="AL320" s="23" t="n"/>
    </row>
    <row r="321" ht="23.5" customHeight="1">
      <c r="A321" s="6" t="inlineStr">
        <is>
          <t>314</t>
        </is>
      </c>
      <c r="B321" s="24" t="n"/>
      <c r="C321" s="55" t="n"/>
      <c r="D321" s="19" t="n"/>
      <c r="E321" s="24" t="n"/>
      <c r="F321" s="25" t="n"/>
      <c r="G321" s="10" t="n"/>
      <c r="H321" s="8" t="n"/>
      <c r="I321" s="11" t="n"/>
      <c r="J321" s="57" t="n"/>
      <c r="K321" s="12" t="n"/>
      <c r="L321" s="13" t="n"/>
      <c r="M321" s="13" t="n"/>
      <c r="N321" s="14">
        <f>ROUND(I321*(SUM(J321:M321))*68%,0)</f>
        <v/>
      </c>
      <c r="O321" s="61" t="n"/>
      <c r="P321" s="59" t="n"/>
      <c r="Q321" s="59" t="n"/>
      <c r="R321" s="58" t="n"/>
      <c r="S321" s="15">
        <f>I321*J321</f>
        <v/>
      </c>
      <c r="T321" s="15">
        <f>SUM(S321:S321)*68%</f>
        <v/>
      </c>
      <c r="U321" s="15">
        <f>I321*K321*40%*O321</f>
        <v/>
      </c>
      <c r="V321" s="15">
        <f>IF(P321&gt;=6750,(I321*K321*40%),0)</f>
        <v/>
      </c>
      <c r="W321" s="15">
        <f>IF(P321&lt;6750,0,IF(Q321="",0,IF(OR(Q321="KURANG",Q321="SANGAT KURANG"),I321*K321*10%,I321*K321*20%)))</f>
        <v/>
      </c>
      <c r="X321" s="15">
        <f>SUM(U321:W321)*68%</f>
        <v/>
      </c>
      <c r="Y321" s="15">
        <f>I321*L321</f>
        <v/>
      </c>
      <c r="Z321" s="15">
        <f>Y321 * 68%</f>
        <v/>
      </c>
      <c r="AA321" s="15">
        <f>I321*M321</f>
        <v/>
      </c>
      <c r="AB321" s="15">
        <f>AA321*68%</f>
        <v/>
      </c>
      <c r="AC321" s="16">
        <f>ROUND((T321+X321+Z321+AB321),0)</f>
        <v/>
      </c>
      <c r="AD321" s="16">
        <f>AG321</f>
        <v/>
      </c>
      <c r="AE321" s="16">
        <f>AI321</f>
        <v/>
      </c>
      <c r="AF321" s="16">
        <f>AC321+AD321+AE321</f>
        <v/>
      </c>
      <c r="AG321" s="16" t="n"/>
      <c r="AH321" s="17" t="n"/>
      <c r="AI321" s="17">
        <f>AH321*4</f>
        <v/>
      </c>
      <c r="AJ321" s="15">
        <f>AF321-AG321-AH321-AI321</f>
        <v/>
      </c>
      <c r="AK321" s="18" t="n">
        <v>314</v>
      </c>
      <c r="AL321" s="40" t="n"/>
    </row>
    <row r="322" ht="23.5" customHeight="1">
      <c r="A322" s="6" t="inlineStr">
        <is>
          <t>315</t>
        </is>
      </c>
      <c r="B322" s="28" t="n"/>
      <c r="C322" s="55" t="n"/>
      <c r="D322" s="19" t="n"/>
      <c r="E322" s="24" t="n"/>
      <c r="F322" s="25" t="n"/>
      <c r="G322" s="10" t="n"/>
      <c r="H322" s="8" t="n"/>
      <c r="I322" s="11" t="n"/>
      <c r="J322" s="57" t="n"/>
      <c r="K322" s="12" t="n"/>
      <c r="L322" s="13" t="n"/>
      <c r="M322" s="13" t="n"/>
      <c r="N322" s="14">
        <f>ROUND(I322*(SUM(J322:M322))*68%,0)</f>
        <v/>
      </c>
      <c r="O322" s="61" t="n"/>
      <c r="P322" s="59" t="n"/>
      <c r="Q322" s="59" t="n"/>
      <c r="R322" s="58" t="n"/>
      <c r="S322" s="15">
        <f>I322*J322</f>
        <v/>
      </c>
      <c r="T322" s="15">
        <f>SUM(S322:S322)*68%</f>
        <v/>
      </c>
      <c r="U322" s="15">
        <f>I322*K322*40%*O322</f>
        <v/>
      </c>
      <c r="V322" s="15">
        <f>IF(P322&gt;=6750,(I322*K322*40%),0)</f>
        <v/>
      </c>
      <c r="W322" s="15">
        <f>IF(P322&lt;6750,0,IF(Q322="",0,IF(OR(Q322="KURANG",Q322="SANGAT KURANG"),I322*K322*10%,I322*K322*20%)))</f>
        <v/>
      </c>
      <c r="X322" s="15">
        <f>SUM(U322:W322)*68%</f>
        <v/>
      </c>
      <c r="Y322" s="15">
        <f>I322*L322</f>
        <v/>
      </c>
      <c r="Z322" s="15">
        <f>Y322 * 68%</f>
        <v/>
      </c>
      <c r="AA322" s="15">
        <f>I322*M322</f>
        <v/>
      </c>
      <c r="AB322" s="15">
        <f>AA322*68%</f>
        <v/>
      </c>
      <c r="AC322" s="16">
        <f>ROUND((T322+X322+Z322+AB322),0)</f>
        <v/>
      </c>
      <c r="AD322" s="16">
        <f>AG322</f>
        <v/>
      </c>
      <c r="AE322" s="16">
        <f>AI322</f>
        <v/>
      </c>
      <c r="AF322" s="16">
        <f>AC322+AD322+AE322</f>
        <v/>
      </c>
      <c r="AG322" s="16" t="n"/>
      <c r="AH322" s="17" t="n"/>
      <c r="AI322" s="17">
        <f>AH322*4</f>
        <v/>
      </c>
      <c r="AJ322" s="15">
        <f>AF322-AG322-AH322-AI322</f>
        <v/>
      </c>
      <c r="AK322" s="18" t="n">
        <v>315</v>
      </c>
      <c r="AL322" s="23" t="n"/>
    </row>
    <row r="323" ht="23.5" customHeight="1">
      <c r="A323" s="6" t="inlineStr">
        <is>
          <t>316</t>
        </is>
      </c>
      <c r="B323" s="24" t="n"/>
      <c r="C323" s="55" t="n"/>
      <c r="D323" s="19" t="n"/>
      <c r="E323" s="24" t="n"/>
      <c r="F323" s="25" t="n"/>
      <c r="G323" s="10" t="n"/>
      <c r="H323" s="8" t="n"/>
      <c r="I323" s="11" t="n"/>
      <c r="J323" s="57" t="n"/>
      <c r="K323" s="12" t="n"/>
      <c r="L323" s="22" t="n"/>
      <c r="M323" s="13" t="n"/>
      <c r="N323" s="14">
        <f>ROUND(I323*(SUM(J323:M323))*68%,0)</f>
        <v/>
      </c>
      <c r="O323" s="61" t="n"/>
      <c r="P323" s="59" t="n"/>
      <c r="Q323" s="59" t="n"/>
      <c r="R323" s="58" t="n"/>
      <c r="S323" s="15">
        <f>I323*J323</f>
        <v/>
      </c>
      <c r="T323" s="15">
        <f>SUM(S323:S323)*68%</f>
        <v/>
      </c>
      <c r="U323" s="15">
        <f>I323*K323*40%*O323</f>
        <v/>
      </c>
      <c r="V323" s="15">
        <f>IF(P323&gt;=6750,(I323*K323*40%),0)</f>
        <v/>
      </c>
      <c r="W323" s="15">
        <f>IF(P323&lt;6750,0,IF(Q323="",0,IF(OR(Q323="KURANG",Q323="SANGAT KURANG"),I323*K323*10%,I323*K323*20%)))</f>
        <v/>
      </c>
      <c r="X323" s="15">
        <f>SUM(U323:W323)*68%</f>
        <v/>
      </c>
      <c r="Y323" s="15">
        <f>I323*L323</f>
        <v/>
      </c>
      <c r="Z323" s="15">
        <f>Y323 * 68%</f>
        <v/>
      </c>
      <c r="AA323" s="15">
        <f>I323*M323</f>
        <v/>
      </c>
      <c r="AB323" s="15">
        <f>AA323*68%</f>
        <v/>
      </c>
      <c r="AC323" s="16">
        <f>ROUND((T323+X323+Z323+AB323),0)</f>
        <v/>
      </c>
      <c r="AD323" s="16">
        <f>AG323</f>
        <v/>
      </c>
      <c r="AE323" s="16">
        <f>AI323</f>
        <v/>
      </c>
      <c r="AF323" s="16">
        <f>AC323+AD323+AE323</f>
        <v/>
      </c>
      <c r="AG323" s="16" t="n"/>
      <c r="AH323" s="17" t="n"/>
      <c r="AI323" s="17">
        <f>AH323*4</f>
        <v/>
      </c>
      <c r="AJ323" s="15">
        <f>AF323-AG323-AH323-AI323</f>
        <v/>
      </c>
      <c r="AK323" s="18" t="n">
        <v>316</v>
      </c>
      <c r="AL323" s="23" t="n"/>
    </row>
    <row r="324" ht="23.5" customHeight="1">
      <c r="A324" s="6" t="inlineStr">
        <is>
          <t>317</t>
        </is>
      </c>
      <c r="B324" s="28" t="n"/>
      <c r="C324" s="55" t="n"/>
      <c r="D324" s="19" t="n"/>
      <c r="E324" s="24" t="n"/>
      <c r="F324" s="25" t="n"/>
      <c r="G324" s="10" t="n"/>
      <c r="H324" s="8" t="n"/>
      <c r="I324" s="11" t="n"/>
      <c r="J324" s="57" t="n"/>
      <c r="K324" s="12" t="n"/>
      <c r="L324" s="22" t="n"/>
      <c r="M324" s="13" t="n"/>
      <c r="N324" s="14">
        <f>ROUND(I324*(SUM(J324:M324))*68%,0)</f>
        <v/>
      </c>
      <c r="O324" s="61" t="n"/>
      <c r="P324" s="59" t="n"/>
      <c r="Q324" s="59" t="n"/>
      <c r="R324" s="58" t="n"/>
      <c r="S324" s="15">
        <f>I324*J324</f>
        <v/>
      </c>
      <c r="T324" s="15">
        <f>SUM(S324:S324)*68%</f>
        <v/>
      </c>
      <c r="U324" s="15">
        <f>I324*K324*40%*O324</f>
        <v/>
      </c>
      <c r="V324" s="15">
        <f>IF(P324&gt;=6750,(I324*K324*40%),0)</f>
        <v/>
      </c>
      <c r="W324" s="15">
        <f>IF(P324&lt;6750,0,IF(Q324="",0,IF(OR(Q324="KURANG",Q324="SANGAT KURANG"),I324*K324*10%,I324*K324*20%)))</f>
        <v/>
      </c>
      <c r="X324" s="15">
        <f>SUM(U324:W324)*68%</f>
        <v/>
      </c>
      <c r="Y324" s="15">
        <f>I324*L324</f>
        <v/>
      </c>
      <c r="Z324" s="15">
        <f>Y324 * 68%</f>
        <v/>
      </c>
      <c r="AA324" s="15">
        <f>I324*M324</f>
        <v/>
      </c>
      <c r="AB324" s="15">
        <f>AA324*68%</f>
        <v/>
      </c>
      <c r="AC324" s="16">
        <f>ROUND((T324+X324+Z324+AB324),0)</f>
        <v/>
      </c>
      <c r="AD324" s="16">
        <f>AG324</f>
        <v/>
      </c>
      <c r="AE324" s="16">
        <f>AI324</f>
        <v/>
      </c>
      <c r="AF324" s="16">
        <f>AC324+AD324+AE324</f>
        <v/>
      </c>
      <c r="AG324" s="16" t="n"/>
      <c r="AH324" s="17" t="n"/>
      <c r="AI324" s="17">
        <f>AH324*4</f>
        <v/>
      </c>
      <c r="AJ324" s="15">
        <f>AF324-AG324-AH324-AI324</f>
        <v/>
      </c>
      <c r="AK324" s="18" t="n">
        <v>317</v>
      </c>
      <c r="AL324" s="40" t="n"/>
    </row>
    <row r="325" ht="23.5" customHeight="1">
      <c r="A325" s="6" t="inlineStr">
        <is>
          <t>318</t>
        </is>
      </c>
      <c r="B325" s="24" t="n"/>
      <c r="C325" s="55" t="n"/>
      <c r="D325" s="19" t="n"/>
      <c r="E325" s="24" t="n"/>
      <c r="F325" s="25" t="n"/>
      <c r="G325" s="10" t="n"/>
      <c r="H325" s="8" t="n"/>
      <c r="I325" s="11" t="n"/>
      <c r="J325" s="57" t="n"/>
      <c r="K325" s="12" t="n"/>
      <c r="L325" s="22" t="n"/>
      <c r="M325" s="13" t="n"/>
      <c r="N325" s="14">
        <f>ROUND(I325*(SUM(J325:M325))*68%,0)</f>
        <v/>
      </c>
      <c r="O325" s="61" t="n"/>
      <c r="P325" s="59" t="n"/>
      <c r="Q325" s="59" t="n"/>
      <c r="R325" s="58" t="n"/>
      <c r="S325" s="15">
        <f>I325*J325</f>
        <v/>
      </c>
      <c r="T325" s="15">
        <f>SUM(S325:S325)*68%</f>
        <v/>
      </c>
      <c r="U325" s="15">
        <f>I325*K325*40%*O325</f>
        <v/>
      </c>
      <c r="V325" s="15">
        <f>IF(P325&gt;=6750,(I325*K325*40%),0)</f>
        <v/>
      </c>
      <c r="W325" s="15">
        <f>IF(P325&lt;6750,0,IF(Q325="",0,IF(OR(Q325="KURANG",Q325="SANGAT KURANG"),I325*K325*10%,I325*K325*20%)))</f>
        <v/>
      </c>
      <c r="X325" s="15">
        <f>SUM(U325:W325)*68%</f>
        <v/>
      </c>
      <c r="Y325" s="15">
        <f>I325*L325</f>
        <v/>
      </c>
      <c r="Z325" s="15">
        <f>Y325 * 68%</f>
        <v/>
      </c>
      <c r="AA325" s="15">
        <f>I325*M325</f>
        <v/>
      </c>
      <c r="AB325" s="15">
        <f>AA325*68%</f>
        <v/>
      </c>
      <c r="AC325" s="16">
        <f>ROUND((T325+X325+Z325+AB325),0)</f>
        <v/>
      </c>
      <c r="AD325" s="16">
        <f>AG325</f>
        <v/>
      </c>
      <c r="AE325" s="16">
        <f>AI325</f>
        <v/>
      </c>
      <c r="AF325" s="16">
        <f>AC325+AD325+AE325</f>
        <v/>
      </c>
      <c r="AG325" s="16" t="n"/>
      <c r="AH325" s="17" t="n"/>
      <c r="AI325" s="17">
        <f>AH325*4</f>
        <v/>
      </c>
      <c r="AJ325" s="15">
        <f>AF325-AG325-AH325-AI325</f>
        <v/>
      </c>
      <c r="AK325" s="18" t="n">
        <v>318</v>
      </c>
      <c r="AL325" s="23" t="n"/>
    </row>
    <row r="326" ht="23.5" customHeight="1">
      <c r="A326" s="6" t="inlineStr">
        <is>
          <t>319</t>
        </is>
      </c>
      <c r="B326" s="24" t="n"/>
      <c r="C326" s="55" t="n"/>
      <c r="D326" s="19" t="n"/>
      <c r="E326" s="24" t="n"/>
      <c r="F326" s="25" t="n"/>
      <c r="G326" s="10" t="n"/>
      <c r="H326" s="8" t="n"/>
      <c r="I326" s="11" t="n"/>
      <c r="J326" s="57" t="n"/>
      <c r="K326" s="12" t="n"/>
      <c r="L326" s="22" t="n"/>
      <c r="M326" s="13" t="n"/>
      <c r="N326" s="14">
        <f>ROUND(I326*(SUM(J326:M326))*68%,0)</f>
        <v/>
      </c>
      <c r="O326" s="61" t="n"/>
      <c r="P326" s="59" t="n"/>
      <c r="Q326" s="59" t="n"/>
      <c r="R326" s="58" t="n"/>
      <c r="S326" s="15">
        <f>I326*J326</f>
        <v/>
      </c>
      <c r="T326" s="15">
        <f>SUM(S326:S326)*68%</f>
        <v/>
      </c>
      <c r="U326" s="15">
        <f>I326*K326*40%*O326</f>
        <v/>
      </c>
      <c r="V326" s="15">
        <f>IF(P326&gt;=6750,(I326*K326*40%),0)</f>
        <v/>
      </c>
      <c r="W326" s="15">
        <f>IF(P326&lt;6750,0,IF(Q326="",0,IF(OR(Q326="KURANG",Q326="SANGAT KURANG"),I326*K326*10%,I326*K326*20%)))</f>
        <v/>
      </c>
      <c r="X326" s="15">
        <f>SUM(U326:W326)*68%</f>
        <v/>
      </c>
      <c r="Y326" s="15">
        <f>I326*L326</f>
        <v/>
      </c>
      <c r="Z326" s="15">
        <f>Y326 * 68%</f>
        <v/>
      </c>
      <c r="AA326" s="15">
        <f>I326*M326</f>
        <v/>
      </c>
      <c r="AB326" s="15">
        <f>AA326*68%</f>
        <v/>
      </c>
      <c r="AC326" s="16">
        <f>ROUND((T326+X326+Z326+AB326),0)</f>
        <v/>
      </c>
      <c r="AD326" s="16">
        <f>AG326</f>
        <v/>
      </c>
      <c r="AE326" s="16">
        <f>AI326</f>
        <v/>
      </c>
      <c r="AF326" s="16">
        <f>AC326+AD326+AE326</f>
        <v/>
      </c>
      <c r="AG326" s="16" t="n"/>
      <c r="AH326" s="17" t="n"/>
      <c r="AI326" s="17">
        <f>AH326*4</f>
        <v/>
      </c>
      <c r="AJ326" s="15">
        <f>AF326-AG326-AH326-AI326</f>
        <v/>
      </c>
      <c r="AK326" s="18" t="n">
        <v>319</v>
      </c>
      <c r="AL326" s="23" t="n"/>
    </row>
    <row r="327" ht="23.5" customHeight="1">
      <c r="A327" s="6" t="inlineStr">
        <is>
          <t>320</t>
        </is>
      </c>
      <c r="B327" s="24" t="n"/>
      <c r="C327" s="55" t="n"/>
      <c r="D327" s="19" t="n"/>
      <c r="E327" s="24" t="n"/>
      <c r="F327" s="25" t="n"/>
      <c r="G327" s="10" t="n"/>
      <c r="H327" s="8" t="n"/>
      <c r="I327" s="11" t="n"/>
      <c r="J327" s="57" t="n"/>
      <c r="K327" s="12" t="n"/>
      <c r="L327" s="22" t="n"/>
      <c r="M327" s="13" t="n"/>
      <c r="N327" s="14">
        <f>ROUND(I327*(SUM(J327:M327))*68%,0)</f>
        <v/>
      </c>
      <c r="O327" s="61" t="n"/>
      <c r="P327" s="59" t="n"/>
      <c r="Q327" s="59" t="n"/>
      <c r="R327" s="58" t="n"/>
      <c r="S327" s="15">
        <f>I327*J327</f>
        <v/>
      </c>
      <c r="T327" s="15">
        <f>SUM(S327:S327)*68%</f>
        <v/>
      </c>
      <c r="U327" s="15">
        <f>I327*K327*40%*O327</f>
        <v/>
      </c>
      <c r="V327" s="15">
        <f>IF(P327&gt;=6750,(I327*K327*40%),0)</f>
        <v/>
      </c>
      <c r="W327" s="15">
        <f>IF(P327&lt;6750,0,IF(Q327="",0,IF(OR(Q327="KURANG",Q327="SANGAT KURANG"),I327*K327*10%,I327*K327*20%)))</f>
        <v/>
      </c>
      <c r="X327" s="15">
        <f>SUM(U327:W327)*68%</f>
        <v/>
      </c>
      <c r="Y327" s="15">
        <f>I327*L327</f>
        <v/>
      </c>
      <c r="Z327" s="15">
        <f>Y327 * 68%</f>
        <v/>
      </c>
      <c r="AA327" s="15">
        <f>I327*M327</f>
        <v/>
      </c>
      <c r="AB327" s="15">
        <f>AA327*68%</f>
        <v/>
      </c>
      <c r="AC327" s="16">
        <f>ROUND((T327+X327+Z327+AB327),0)</f>
        <v/>
      </c>
      <c r="AD327" s="16">
        <f>AG327</f>
        <v/>
      </c>
      <c r="AE327" s="16">
        <f>AI327</f>
        <v/>
      </c>
      <c r="AF327" s="16">
        <f>AC327+AD327+AE327</f>
        <v/>
      </c>
      <c r="AG327" s="16" t="n"/>
      <c r="AH327" s="17" t="n"/>
      <c r="AI327" s="17">
        <f>AH327*4</f>
        <v/>
      </c>
      <c r="AJ327" s="15">
        <f>AF327-AG327-AH327-AI327</f>
        <v/>
      </c>
      <c r="AK327" s="18" t="n">
        <v>320</v>
      </c>
      <c r="AL327" s="40" t="n"/>
    </row>
    <row r="328" ht="23.5" customHeight="1">
      <c r="A328" s="6" t="inlineStr">
        <is>
          <t>321</t>
        </is>
      </c>
      <c r="B328" s="24" t="n"/>
      <c r="C328" s="55" t="n"/>
      <c r="D328" s="19" t="n"/>
      <c r="E328" s="24" t="n"/>
      <c r="F328" s="25" t="n"/>
      <c r="G328" s="10" t="n"/>
      <c r="H328" s="8" t="n"/>
      <c r="I328" s="11" t="n"/>
      <c r="J328" s="57" t="n"/>
      <c r="K328" s="12" t="n"/>
      <c r="L328" s="22" t="n"/>
      <c r="M328" s="13" t="n"/>
      <c r="N328" s="14">
        <f>ROUND(I328*(SUM(J328:M328))*68%,0)</f>
        <v/>
      </c>
      <c r="O328" s="61" t="n"/>
      <c r="P328" s="59" t="n"/>
      <c r="Q328" s="59" t="n"/>
      <c r="R328" s="58" t="n"/>
      <c r="S328" s="15">
        <f>I328*J328</f>
        <v/>
      </c>
      <c r="T328" s="15">
        <f>SUM(S328:S328)*68%</f>
        <v/>
      </c>
      <c r="U328" s="15">
        <f>I328*K328*40%*O328</f>
        <v/>
      </c>
      <c r="V328" s="15">
        <f>IF(P328&gt;=6750,(I328*K328*40%),0)</f>
        <v/>
      </c>
      <c r="W328" s="15">
        <f>IF(P328&lt;6750,0,IF(Q328="",0,IF(OR(Q328="KURANG",Q328="SANGAT KURANG"),I328*K328*10%,I328*K328*20%)))</f>
        <v/>
      </c>
      <c r="X328" s="15">
        <f>SUM(U328:W328)*68%</f>
        <v/>
      </c>
      <c r="Y328" s="15">
        <f>I328*L328</f>
        <v/>
      </c>
      <c r="Z328" s="15">
        <f>Y328 * 68%</f>
        <v/>
      </c>
      <c r="AA328" s="15">
        <f>I328*M328</f>
        <v/>
      </c>
      <c r="AB328" s="15">
        <f>AA328*68%</f>
        <v/>
      </c>
      <c r="AC328" s="16">
        <f>ROUND((T328+X328+Z328+AB328),0)</f>
        <v/>
      </c>
      <c r="AD328" s="16">
        <f>AG328</f>
        <v/>
      </c>
      <c r="AE328" s="16">
        <f>AI328</f>
        <v/>
      </c>
      <c r="AF328" s="16">
        <f>AC328+AD328+AE328</f>
        <v/>
      </c>
      <c r="AG328" s="16" t="n"/>
      <c r="AH328" s="17" t="n"/>
      <c r="AI328" s="17">
        <f>AH328*4</f>
        <v/>
      </c>
      <c r="AJ328" s="15">
        <f>AF328-AG328-AH328-AI328</f>
        <v/>
      </c>
      <c r="AK328" s="18" t="n">
        <v>321</v>
      </c>
      <c r="AL328" s="23" t="n"/>
    </row>
    <row r="329" ht="23.5" customHeight="1">
      <c r="A329" s="6" t="inlineStr">
        <is>
          <t>322</t>
        </is>
      </c>
      <c r="B329" s="24" t="n"/>
      <c r="C329" s="55" t="n"/>
      <c r="D329" s="19" t="n"/>
      <c r="E329" s="24" t="n"/>
      <c r="F329" s="25" t="n"/>
      <c r="G329" s="10" t="n"/>
      <c r="H329" s="8" t="n"/>
      <c r="I329" s="11" t="n"/>
      <c r="J329" s="57" t="n"/>
      <c r="K329" s="12" t="n"/>
      <c r="L329" s="22" t="n"/>
      <c r="M329" s="13" t="n"/>
      <c r="N329" s="14">
        <f>ROUND(I329*(SUM(J329:M329))*68%,0)</f>
        <v/>
      </c>
      <c r="O329" s="61" t="n"/>
      <c r="P329" s="59" t="n"/>
      <c r="Q329" s="59" t="n"/>
      <c r="R329" s="58" t="n"/>
      <c r="S329" s="15">
        <f>I329*J329</f>
        <v/>
      </c>
      <c r="T329" s="15">
        <f>SUM(S329:S329)*68%</f>
        <v/>
      </c>
      <c r="U329" s="15">
        <f>I329*K329*40%*O329</f>
        <v/>
      </c>
      <c r="V329" s="15">
        <f>IF(P329&gt;=6750,(I329*K329*40%),0)</f>
        <v/>
      </c>
      <c r="W329" s="15">
        <f>IF(P329&lt;6750,0,IF(Q329="",0,IF(OR(Q329="KURANG",Q329="SANGAT KURANG"),I329*K329*10%,I329*K329*20%)))</f>
        <v/>
      </c>
      <c r="X329" s="15">
        <f>SUM(U329:W329)*68%</f>
        <v/>
      </c>
      <c r="Y329" s="15">
        <f>I329*L329</f>
        <v/>
      </c>
      <c r="Z329" s="15">
        <f>Y329 * 68%</f>
        <v/>
      </c>
      <c r="AA329" s="15">
        <f>I329*M329</f>
        <v/>
      </c>
      <c r="AB329" s="15">
        <f>AA329*68%</f>
        <v/>
      </c>
      <c r="AC329" s="16">
        <f>ROUND((T329+X329+Z329+AB329),0)</f>
        <v/>
      </c>
      <c r="AD329" s="16">
        <f>AG329</f>
        <v/>
      </c>
      <c r="AE329" s="16">
        <f>AI329</f>
        <v/>
      </c>
      <c r="AF329" s="16">
        <f>AC329+AD329+AE329</f>
        <v/>
      </c>
      <c r="AG329" s="16" t="n"/>
      <c r="AH329" s="17" t="n"/>
      <c r="AI329" s="17">
        <f>AH329*4</f>
        <v/>
      </c>
      <c r="AJ329" s="15">
        <f>AF329-AG329-AH329-AI329</f>
        <v/>
      </c>
      <c r="AK329" s="18" t="n">
        <v>322</v>
      </c>
      <c r="AL329" s="23" t="n"/>
    </row>
    <row r="330" ht="23.5" customHeight="1">
      <c r="A330" s="6" t="inlineStr">
        <is>
          <t>323</t>
        </is>
      </c>
      <c r="B330" s="28" t="n"/>
      <c r="C330" s="55" t="n"/>
      <c r="D330" s="19" t="n"/>
      <c r="E330" s="24" t="n"/>
      <c r="F330" s="25" t="n"/>
      <c r="G330" s="10" t="n"/>
      <c r="H330" s="8" t="n"/>
      <c r="I330" s="11" t="n"/>
      <c r="J330" s="57" t="n"/>
      <c r="K330" s="12" t="n"/>
      <c r="L330" s="22" t="n"/>
      <c r="M330" s="13" t="n"/>
      <c r="N330" s="14">
        <f>ROUND(I330*(SUM(J330:M330))*68%,0)</f>
        <v/>
      </c>
      <c r="O330" s="61" t="n"/>
      <c r="P330" s="59" t="n"/>
      <c r="Q330" s="59" t="n"/>
      <c r="R330" s="58" t="n"/>
      <c r="S330" s="15">
        <f>I330*J330</f>
        <v/>
      </c>
      <c r="T330" s="15">
        <f>SUM(S330:S330)*68%</f>
        <v/>
      </c>
      <c r="U330" s="15">
        <f>I330*K330*40%*O330</f>
        <v/>
      </c>
      <c r="V330" s="15">
        <f>IF(P330&gt;=6750,(I330*K330*40%),0)</f>
        <v/>
      </c>
      <c r="W330" s="15">
        <f>IF(P330&lt;6750,0,IF(Q330="",0,IF(OR(Q330="KURANG",Q330="SANGAT KURANG"),I330*K330*10%,I330*K330*20%)))</f>
        <v/>
      </c>
      <c r="X330" s="15">
        <f>SUM(U330:W330)*68%</f>
        <v/>
      </c>
      <c r="Y330" s="15">
        <f>I330*L330</f>
        <v/>
      </c>
      <c r="Z330" s="15">
        <f>Y330 * 68%</f>
        <v/>
      </c>
      <c r="AA330" s="15">
        <f>I330*M330</f>
        <v/>
      </c>
      <c r="AB330" s="15">
        <f>AA330*68%</f>
        <v/>
      </c>
      <c r="AC330" s="16">
        <f>ROUND((T330+X330+Z330+AB330),0)</f>
        <v/>
      </c>
      <c r="AD330" s="16">
        <f>AG330</f>
        <v/>
      </c>
      <c r="AE330" s="16">
        <f>AI330</f>
        <v/>
      </c>
      <c r="AF330" s="16">
        <f>AC330+AD330+AE330</f>
        <v/>
      </c>
      <c r="AG330" s="16" t="n"/>
      <c r="AH330" s="17" t="n"/>
      <c r="AI330" s="17">
        <f>AH330*4</f>
        <v/>
      </c>
      <c r="AJ330" s="15">
        <f>AF330-AG330-AH330-AI330</f>
        <v/>
      </c>
      <c r="AK330" s="18" t="n">
        <v>323</v>
      </c>
      <c r="AL330" s="40" t="n"/>
    </row>
    <row r="331" ht="23.5" customHeight="1">
      <c r="A331" s="6" t="inlineStr">
        <is>
          <t>324</t>
        </is>
      </c>
      <c r="B331" s="30" t="n"/>
      <c r="C331" s="55" t="n"/>
      <c r="D331" s="29" t="n"/>
      <c r="E331" s="30" t="n"/>
      <c r="F331" s="31" t="n"/>
      <c r="G331" s="32" t="n"/>
      <c r="H331" s="33" t="n"/>
      <c r="I331" s="11" t="n"/>
      <c r="J331" s="57" t="n"/>
      <c r="K331" s="12" t="n"/>
      <c r="L331" s="22" t="n"/>
      <c r="M331" s="13" t="n"/>
      <c r="N331" s="14">
        <f>ROUND(I331*(SUM(J331:M331))*68%,0)</f>
        <v/>
      </c>
      <c r="O331" s="61" t="n"/>
      <c r="P331" s="59" t="n"/>
      <c r="Q331" s="59" t="n"/>
      <c r="R331" s="58" t="n"/>
      <c r="S331" s="15">
        <f>I331*J331</f>
        <v/>
      </c>
      <c r="T331" s="15">
        <f>SUM(S331:S331)*68%</f>
        <v/>
      </c>
      <c r="U331" s="15">
        <f>I331*K331*40%*O331</f>
        <v/>
      </c>
      <c r="V331" s="15">
        <f>IF(P331&gt;=6750,(I331*K331*40%),0)</f>
        <v/>
      </c>
      <c r="W331" s="15">
        <f>IF(P331&lt;6750,0,IF(Q331="",0,IF(OR(Q331="KURANG",Q331="SANGAT KURANG"),I331*K331*10%,I331*K331*20%)))</f>
        <v/>
      </c>
      <c r="X331" s="15">
        <f>SUM(U331:W331)*68%</f>
        <v/>
      </c>
      <c r="Y331" s="15">
        <f>I331*L331</f>
        <v/>
      </c>
      <c r="Z331" s="15">
        <f>Y331 * 68%</f>
        <v/>
      </c>
      <c r="AA331" s="15">
        <f>I331*M331</f>
        <v/>
      </c>
      <c r="AB331" s="15">
        <f>AA331*68%</f>
        <v/>
      </c>
      <c r="AC331" s="16">
        <f>ROUND((T331+X331+Z331+AB331),0)</f>
        <v/>
      </c>
      <c r="AD331" s="16">
        <f>AG331</f>
        <v/>
      </c>
      <c r="AE331" s="16">
        <f>AI331</f>
        <v/>
      </c>
      <c r="AF331" s="16">
        <f>AC331+AD331+AE331</f>
        <v/>
      </c>
      <c r="AG331" s="16" t="n"/>
      <c r="AH331" s="17" t="n"/>
      <c r="AI331" s="17">
        <f>AH331*4</f>
        <v/>
      </c>
      <c r="AJ331" s="15">
        <f>AF331-AG331-AH331-AI331</f>
        <v/>
      </c>
      <c r="AK331" s="18" t="n">
        <v>324</v>
      </c>
      <c r="AL331" s="23" t="n"/>
    </row>
    <row r="332" ht="23.5" customHeight="1">
      <c r="A332" s="6" t="inlineStr">
        <is>
          <t>325</t>
        </is>
      </c>
      <c r="B332" s="24" t="n"/>
      <c r="C332" s="55" t="n"/>
      <c r="D332" s="19" t="n"/>
      <c r="E332" s="24" t="n"/>
      <c r="F332" s="25" t="n"/>
      <c r="G332" s="25" t="n"/>
      <c r="H332" s="24" t="n"/>
      <c r="I332" s="11" t="n"/>
      <c r="J332" s="57" t="n"/>
      <c r="K332" s="12" t="n"/>
      <c r="L332" s="22" t="n"/>
      <c r="M332" s="13" t="n"/>
      <c r="N332" s="14">
        <f>ROUND(I332*(SUM(J332:M332))*68%,0)</f>
        <v/>
      </c>
      <c r="O332" s="61" t="n"/>
      <c r="P332" s="59" t="n"/>
      <c r="Q332" s="59" t="n"/>
      <c r="R332" s="58" t="n"/>
      <c r="S332" s="15">
        <f>I332*J332</f>
        <v/>
      </c>
      <c r="T332" s="15">
        <f>SUM(S332:S332)*68%</f>
        <v/>
      </c>
      <c r="U332" s="15">
        <f>I332*K332*40%*O332</f>
        <v/>
      </c>
      <c r="V332" s="15">
        <f>IF(P332&gt;=6750,(I332*K332*40%),0)</f>
        <v/>
      </c>
      <c r="W332" s="15">
        <f>IF(P332&lt;6750,0,IF(Q332="",0,IF(OR(Q332="KURANG",Q332="SANGAT KURANG"),I332*K332*10%,I332*K332*20%)))</f>
        <v/>
      </c>
      <c r="X332" s="15">
        <f>SUM(U332:W332)*68%</f>
        <v/>
      </c>
      <c r="Y332" s="15">
        <f>I332*L332</f>
        <v/>
      </c>
      <c r="Z332" s="15">
        <f>Y332 * 68%</f>
        <v/>
      </c>
      <c r="AA332" s="15">
        <f>I332*M332</f>
        <v/>
      </c>
      <c r="AB332" s="15">
        <f>AA332*68%</f>
        <v/>
      </c>
      <c r="AC332" s="16">
        <f>ROUND((T332+X332+Z332+AB332),0)</f>
        <v/>
      </c>
      <c r="AD332" s="16">
        <f>AG332</f>
        <v/>
      </c>
      <c r="AE332" s="16">
        <f>AI332</f>
        <v/>
      </c>
      <c r="AF332" s="16">
        <f>AC332+AD332+AE332</f>
        <v/>
      </c>
      <c r="AG332" s="16" t="n"/>
      <c r="AH332" s="17" t="n"/>
      <c r="AI332" s="17">
        <f>AH332*4</f>
        <v/>
      </c>
      <c r="AJ332" s="15">
        <f>AF332-AG332-AH332-AI332</f>
        <v/>
      </c>
      <c r="AK332" s="18" t="n">
        <v>325</v>
      </c>
      <c r="AL332" s="23" t="n"/>
    </row>
    <row r="333" ht="23.5" customHeight="1">
      <c r="A333" s="6" t="inlineStr">
        <is>
          <t>326</t>
        </is>
      </c>
      <c r="B333" s="24" t="n"/>
      <c r="C333" s="55" t="n"/>
      <c r="D333" s="19" t="n"/>
      <c r="E333" s="24" t="n"/>
      <c r="F333" s="25" t="n"/>
      <c r="G333" s="25" t="n"/>
      <c r="H333" s="24" t="n"/>
      <c r="I333" s="11" t="n"/>
      <c r="J333" s="57" t="n"/>
      <c r="K333" s="12" t="n"/>
      <c r="L333" s="22" t="n"/>
      <c r="M333" s="13" t="n"/>
      <c r="N333" s="14">
        <f>ROUND(I333*(SUM(J333:M333))*68%,0)</f>
        <v/>
      </c>
      <c r="O333" s="61" t="n"/>
      <c r="P333" s="59" t="n"/>
      <c r="Q333" s="59" t="n"/>
      <c r="R333" s="58" t="n"/>
      <c r="S333" s="15">
        <f>I333*J333</f>
        <v/>
      </c>
      <c r="T333" s="15">
        <f>SUM(S333:S333)*68%</f>
        <v/>
      </c>
      <c r="U333" s="15">
        <f>I333*K333*40%*O333</f>
        <v/>
      </c>
      <c r="V333" s="15">
        <f>IF(P333&gt;=6750,(I333*K333*40%),0)</f>
        <v/>
      </c>
      <c r="W333" s="15">
        <f>IF(P333&lt;6750,0,IF(Q333="",0,IF(OR(Q333="KURANG",Q333="SANGAT KURANG"),I333*K333*10%,I333*K333*20%)))</f>
        <v/>
      </c>
      <c r="X333" s="15">
        <f>SUM(U333:W333)*68%</f>
        <v/>
      </c>
      <c r="Y333" s="15">
        <f>I333*L333</f>
        <v/>
      </c>
      <c r="Z333" s="15">
        <f>Y333 * 68%</f>
        <v/>
      </c>
      <c r="AA333" s="15">
        <f>I333*M333</f>
        <v/>
      </c>
      <c r="AB333" s="15">
        <f>AA333*68%</f>
        <v/>
      </c>
      <c r="AC333" s="16">
        <f>ROUND((T333+X333+Z333+AB333),0)</f>
        <v/>
      </c>
      <c r="AD333" s="16">
        <f>AG333</f>
        <v/>
      </c>
      <c r="AE333" s="16">
        <f>AI333</f>
        <v/>
      </c>
      <c r="AF333" s="16">
        <f>AC333+AD333+AE333</f>
        <v/>
      </c>
      <c r="AG333" s="16" t="n"/>
      <c r="AH333" s="17" t="n"/>
      <c r="AI333" s="17">
        <f>AH333*4</f>
        <v/>
      </c>
      <c r="AJ333" s="15">
        <f>AF333-AG333-AH333-AI333</f>
        <v/>
      </c>
      <c r="AK333" s="18" t="n">
        <v>326</v>
      </c>
      <c r="AL333" s="40" t="n"/>
    </row>
    <row r="334" ht="23.5" customHeight="1">
      <c r="A334" s="6" t="inlineStr">
        <is>
          <t>327</t>
        </is>
      </c>
      <c r="B334" s="24" t="n"/>
      <c r="C334" s="55" t="n"/>
      <c r="D334" s="19" t="n"/>
      <c r="E334" s="24" t="n"/>
      <c r="F334" s="25" t="n"/>
      <c r="G334" s="25" t="n"/>
      <c r="H334" s="24" t="n"/>
      <c r="I334" s="11" t="n"/>
      <c r="J334" s="57" t="n"/>
      <c r="K334" s="12" t="n"/>
      <c r="L334" s="22" t="n"/>
      <c r="M334" s="13" t="n"/>
      <c r="N334" s="14">
        <f>ROUND(I334*(SUM(J334:M334))*68%,0)</f>
        <v/>
      </c>
      <c r="O334" s="61" t="n"/>
      <c r="P334" s="59" t="n"/>
      <c r="Q334" s="59" t="n"/>
      <c r="R334" s="58" t="n"/>
      <c r="S334" s="15">
        <f>I334*J334</f>
        <v/>
      </c>
      <c r="T334" s="15">
        <f>SUM(S334:S334)*68%</f>
        <v/>
      </c>
      <c r="U334" s="15">
        <f>I334*K334*40%*O334</f>
        <v/>
      </c>
      <c r="V334" s="15">
        <f>IF(P334&gt;=6750,(I334*K334*40%),0)</f>
        <v/>
      </c>
      <c r="W334" s="15">
        <f>IF(P334&lt;6750,0,IF(Q334="",0,IF(OR(Q334="KURANG",Q334="SANGAT KURANG"),I334*K334*10%,I334*K334*20%)))</f>
        <v/>
      </c>
      <c r="X334" s="15">
        <f>SUM(U334:W334)*68%</f>
        <v/>
      </c>
      <c r="Y334" s="15">
        <f>I334*L334</f>
        <v/>
      </c>
      <c r="Z334" s="15">
        <f>Y334 * 68%</f>
        <v/>
      </c>
      <c r="AA334" s="15">
        <f>I334*M334</f>
        <v/>
      </c>
      <c r="AB334" s="15">
        <f>AA334*68%</f>
        <v/>
      </c>
      <c r="AC334" s="16">
        <f>ROUND((T334+X334+Z334+AB334),0)</f>
        <v/>
      </c>
      <c r="AD334" s="16">
        <f>AG334</f>
        <v/>
      </c>
      <c r="AE334" s="16">
        <f>AI334</f>
        <v/>
      </c>
      <c r="AF334" s="16">
        <f>AC334+AD334+AE334</f>
        <v/>
      </c>
      <c r="AG334" s="16" t="n"/>
      <c r="AH334" s="17" t="n"/>
      <c r="AI334" s="17">
        <f>AH334*4</f>
        <v/>
      </c>
      <c r="AJ334" s="15">
        <f>AF334-AG334-AH334-AI334</f>
        <v/>
      </c>
      <c r="AK334" s="18" t="n">
        <v>327</v>
      </c>
      <c r="AL334" s="23" t="n"/>
    </row>
    <row r="335" ht="23.5" customHeight="1">
      <c r="A335" s="6" t="inlineStr">
        <is>
          <t>328</t>
        </is>
      </c>
      <c r="B335" s="28" t="n"/>
      <c r="C335" s="55" t="n"/>
      <c r="D335" s="19" t="n"/>
      <c r="E335" s="24" t="n"/>
      <c r="F335" s="25" t="n"/>
      <c r="G335" s="25" t="n"/>
      <c r="H335" s="25" t="n"/>
      <c r="I335" s="11" t="n"/>
      <c r="J335" s="57" t="n"/>
      <c r="K335" s="12" t="n"/>
      <c r="L335" s="22" t="n"/>
      <c r="M335" s="13" t="n"/>
      <c r="N335" s="14">
        <f>ROUND(I335*(SUM(J335:M335))*68%,0)</f>
        <v/>
      </c>
      <c r="O335" s="61" t="n"/>
      <c r="P335" s="59" t="n"/>
      <c r="Q335" s="59" t="n"/>
      <c r="R335" s="58" t="n"/>
      <c r="S335" s="15">
        <f>I335*J335</f>
        <v/>
      </c>
      <c r="T335" s="15">
        <f>SUM(S335:S335)*68%</f>
        <v/>
      </c>
      <c r="U335" s="15">
        <f>I335*K335*40%*O335</f>
        <v/>
      </c>
      <c r="V335" s="15">
        <f>IF(P335&gt;=6750,(I335*K335*40%),0)</f>
        <v/>
      </c>
      <c r="W335" s="15">
        <f>IF(P335&lt;6750,0,IF(Q335="",0,IF(OR(Q335="KURANG",Q335="SANGAT KURANG"),I335*K335*10%,I335*K335*20%)))</f>
        <v/>
      </c>
      <c r="X335" s="15">
        <f>SUM(U335:W335)*68%</f>
        <v/>
      </c>
      <c r="Y335" s="15">
        <f>I335*L335</f>
        <v/>
      </c>
      <c r="Z335" s="15">
        <f>Y335 * 68%</f>
        <v/>
      </c>
      <c r="AA335" s="15">
        <f>I335*M335</f>
        <v/>
      </c>
      <c r="AB335" s="15">
        <f>AA335*68%</f>
        <v/>
      </c>
      <c r="AC335" s="16">
        <f>ROUND((T335+X335+Z335+AB335),0)</f>
        <v/>
      </c>
      <c r="AD335" s="16">
        <f>AG335</f>
        <v/>
      </c>
      <c r="AE335" s="16">
        <f>AI335</f>
        <v/>
      </c>
      <c r="AF335" s="16">
        <f>AC335+AD335+AE335</f>
        <v/>
      </c>
      <c r="AG335" s="16" t="n"/>
      <c r="AH335" s="17" t="n"/>
      <c r="AI335" s="17">
        <f>AH335*4</f>
        <v/>
      </c>
      <c r="AJ335" s="15">
        <f>AF335-AG335-AH335-AI335</f>
        <v/>
      </c>
      <c r="AK335" s="18" t="n">
        <v>328</v>
      </c>
      <c r="AL335" s="23" t="n"/>
    </row>
    <row r="336" ht="23.5" customHeight="1">
      <c r="A336" s="6" t="inlineStr">
        <is>
          <t>329</t>
        </is>
      </c>
      <c r="B336" s="28" t="n"/>
      <c r="C336" s="55" t="n"/>
      <c r="D336" s="19" t="n"/>
      <c r="E336" s="24" t="n"/>
      <c r="F336" s="25" t="n"/>
      <c r="G336" s="25" t="n"/>
      <c r="H336" s="25" t="n"/>
      <c r="I336" s="11" t="n"/>
      <c r="J336" s="57" t="n"/>
      <c r="K336" s="12" t="n"/>
      <c r="L336" s="22" t="n"/>
      <c r="M336" s="13" t="n"/>
      <c r="N336" s="14">
        <f>ROUND(I336*(SUM(J336:M336))*68%,0)</f>
        <v/>
      </c>
      <c r="O336" s="61" t="n"/>
      <c r="P336" s="59" t="n"/>
      <c r="Q336" s="59" t="n"/>
      <c r="R336" s="58" t="n"/>
      <c r="S336" s="15">
        <f>I336*J336</f>
        <v/>
      </c>
      <c r="T336" s="15">
        <f>SUM(S336:S336)*68%</f>
        <v/>
      </c>
      <c r="U336" s="15">
        <f>I336*K336*40%*O336</f>
        <v/>
      </c>
      <c r="V336" s="15">
        <f>IF(P336&gt;=6750,(I336*K336*40%),0)</f>
        <v/>
      </c>
      <c r="W336" s="15">
        <f>IF(P336&lt;6750,0,IF(Q336="",0,IF(OR(Q336="KURANG",Q336="SANGAT KURANG"),I336*K336*10%,I336*K336*20%)))</f>
        <v/>
      </c>
      <c r="X336" s="15">
        <f>SUM(U336:W336)*68%</f>
        <v/>
      </c>
      <c r="Y336" s="15">
        <f>I336*L336</f>
        <v/>
      </c>
      <c r="Z336" s="15">
        <f>Y336 * 68%</f>
        <v/>
      </c>
      <c r="AA336" s="15">
        <f>I336*M336</f>
        <v/>
      </c>
      <c r="AB336" s="15">
        <f>AA336*68%</f>
        <v/>
      </c>
      <c r="AC336" s="16">
        <f>ROUND((T336+X336+Z336+AB336),0)</f>
        <v/>
      </c>
      <c r="AD336" s="16">
        <f>AG336</f>
        <v/>
      </c>
      <c r="AE336" s="16">
        <f>AI336</f>
        <v/>
      </c>
      <c r="AF336" s="16">
        <f>AC336+AD336+AE336</f>
        <v/>
      </c>
      <c r="AG336" s="16" t="n"/>
      <c r="AH336" s="17" t="n"/>
      <c r="AI336" s="17">
        <f>AH336*4</f>
        <v/>
      </c>
      <c r="AJ336" s="15">
        <f>AF336-AG336-AH336-AI336</f>
        <v/>
      </c>
      <c r="AK336" s="18" t="n">
        <v>329</v>
      </c>
      <c r="AL336" s="40" t="n"/>
    </row>
    <row r="337" ht="23.5" customHeight="1">
      <c r="A337" s="6" t="inlineStr">
        <is>
          <t>330</t>
        </is>
      </c>
      <c r="B337" s="28" t="n"/>
      <c r="C337" s="55" t="n"/>
      <c r="D337" s="19" t="n"/>
      <c r="E337" s="24" t="n"/>
      <c r="F337" s="25" t="n"/>
      <c r="G337" s="25" t="n"/>
      <c r="H337" s="25" t="n"/>
      <c r="I337" s="11" t="n"/>
      <c r="J337" s="57" t="n"/>
      <c r="K337" s="12" t="n"/>
      <c r="L337" s="22" t="n"/>
      <c r="M337" s="13" t="n"/>
      <c r="N337" s="14">
        <f>ROUND(I337*(SUM(J337:M337))*68%,0)</f>
        <v/>
      </c>
      <c r="O337" s="61" t="n"/>
      <c r="P337" s="59" t="n"/>
      <c r="Q337" s="59" t="n"/>
      <c r="R337" s="58" t="n"/>
      <c r="S337" s="15">
        <f>I337*J337</f>
        <v/>
      </c>
      <c r="T337" s="15">
        <f>SUM(S337:S337)*68%</f>
        <v/>
      </c>
      <c r="U337" s="15">
        <f>I337*K337*40%*O337</f>
        <v/>
      </c>
      <c r="V337" s="15">
        <f>IF(P337&gt;=6750,(I337*K337*40%),0)</f>
        <v/>
      </c>
      <c r="W337" s="15">
        <f>IF(P337&lt;6750,0,IF(Q337="",0,IF(OR(Q337="KURANG",Q337="SANGAT KURANG"),I337*K337*10%,I337*K337*20%)))</f>
        <v/>
      </c>
      <c r="X337" s="15">
        <f>SUM(U337:W337)*68%</f>
        <v/>
      </c>
      <c r="Y337" s="15">
        <f>I337*L337</f>
        <v/>
      </c>
      <c r="Z337" s="15">
        <f>Y337 * 68%</f>
        <v/>
      </c>
      <c r="AA337" s="15">
        <f>I337*M337</f>
        <v/>
      </c>
      <c r="AB337" s="15">
        <f>AA337*68%</f>
        <v/>
      </c>
      <c r="AC337" s="16">
        <f>ROUND((T337+X337+Z337+AB337),0)</f>
        <v/>
      </c>
      <c r="AD337" s="16">
        <f>AG337</f>
        <v/>
      </c>
      <c r="AE337" s="16">
        <f>AI337</f>
        <v/>
      </c>
      <c r="AF337" s="16">
        <f>AC337+AD337+AE337</f>
        <v/>
      </c>
      <c r="AG337" s="16" t="n"/>
      <c r="AH337" s="17" t="n"/>
      <c r="AI337" s="17">
        <f>AH337*4</f>
        <v/>
      </c>
      <c r="AJ337" s="15">
        <f>AF337-AG337-AH337-AI337</f>
        <v/>
      </c>
      <c r="AK337" s="18" t="n">
        <v>330</v>
      </c>
      <c r="AL337" s="23" t="n"/>
    </row>
    <row r="338" ht="23.5" customHeight="1">
      <c r="A338" s="6" t="inlineStr">
        <is>
          <t>331</t>
        </is>
      </c>
      <c r="B338" s="24" t="n"/>
      <c r="C338" s="55" t="n"/>
      <c r="D338" s="19" t="n"/>
      <c r="E338" s="24" t="n"/>
      <c r="F338" s="25" t="n"/>
      <c r="G338" s="25" t="n"/>
      <c r="H338" s="25" t="n"/>
      <c r="I338" s="11" t="n"/>
      <c r="J338" s="57" t="n"/>
      <c r="K338" s="12" t="n"/>
      <c r="L338" s="22" t="n"/>
      <c r="M338" s="13" t="n"/>
      <c r="N338" s="14">
        <f>ROUND(I338*(SUM(J338:M338))*68%,0)</f>
        <v/>
      </c>
      <c r="O338" s="61" t="n"/>
      <c r="P338" s="59" t="n"/>
      <c r="Q338" s="59" t="n"/>
      <c r="R338" s="58" t="n"/>
      <c r="S338" s="15">
        <f>I338*J338</f>
        <v/>
      </c>
      <c r="T338" s="15">
        <f>SUM(S338:S338)*68%</f>
        <v/>
      </c>
      <c r="U338" s="15">
        <f>I338*K338*40%*O338</f>
        <v/>
      </c>
      <c r="V338" s="15">
        <f>IF(P338&gt;=6750,(I338*K338*40%),0)</f>
        <v/>
      </c>
      <c r="W338" s="15">
        <f>IF(P338&lt;6750,0,IF(Q338="",0,IF(OR(Q338="KURANG",Q338="SANGAT KURANG"),I338*K338*10%,I338*K338*20%)))</f>
        <v/>
      </c>
      <c r="X338" s="15">
        <f>SUM(U338:W338)*68%</f>
        <v/>
      </c>
      <c r="Y338" s="15">
        <f>I338*L338</f>
        <v/>
      </c>
      <c r="Z338" s="15">
        <f>Y338 * 68%</f>
        <v/>
      </c>
      <c r="AA338" s="15">
        <f>I338*M338</f>
        <v/>
      </c>
      <c r="AB338" s="15">
        <f>AA338*68%</f>
        <v/>
      </c>
      <c r="AC338" s="16">
        <f>ROUND((T338+X338+Z338+AB338),0)</f>
        <v/>
      </c>
      <c r="AD338" s="16">
        <f>AG338</f>
        <v/>
      </c>
      <c r="AE338" s="16">
        <f>AI338</f>
        <v/>
      </c>
      <c r="AF338" s="16">
        <f>AC338+AD338+AE338</f>
        <v/>
      </c>
      <c r="AG338" s="16" t="n"/>
      <c r="AH338" s="17" t="n"/>
      <c r="AI338" s="17">
        <f>AH338*4</f>
        <v/>
      </c>
      <c r="AJ338" s="15">
        <f>AF338-AG338-AH338-AI338</f>
        <v/>
      </c>
      <c r="AK338" s="18" t="n">
        <v>331</v>
      </c>
      <c r="AL338" s="23" t="n"/>
    </row>
    <row r="339" ht="23.5" customHeight="1">
      <c r="A339" s="6" t="inlineStr">
        <is>
          <t>332</t>
        </is>
      </c>
      <c r="B339" s="24" t="n"/>
      <c r="C339" s="55" t="n"/>
      <c r="D339" s="19" t="n"/>
      <c r="E339" s="24" t="n"/>
      <c r="F339" s="25" t="n"/>
      <c r="G339" s="25" t="n"/>
      <c r="H339" s="25" t="n"/>
      <c r="I339" s="11" t="n"/>
      <c r="J339" s="57" t="n"/>
      <c r="K339" s="12" t="n"/>
      <c r="L339" s="22" t="n"/>
      <c r="M339" s="13" t="n"/>
      <c r="N339" s="14">
        <f>ROUND(I339*(SUM(J339:M339))*68%,0)</f>
        <v/>
      </c>
      <c r="O339" s="61" t="n"/>
      <c r="P339" s="59" t="n"/>
      <c r="Q339" s="59" t="n"/>
      <c r="R339" s="58" t="n"/>
      <c r="S339" s="15">
        <f>I339*J339</f>
        <v/>
      </c>
      <c r="T339" s="15">
        <f>SUM(S339:S339)*68%</f>
        <v/>
      </c>
      <c r="U339" s="15">
        <f>I339*K339*40%*O339</f>
        <v/>
      </c>
      <c r="V339" s="15">
        <f>IF(P339&gt;=6750,(I339*K339*40%),0)</f>
        <v/>
      </c>
      <c r="W339" s="15">
        <f>IF(P339&lt;6750,0,IF(Q339="",0,IF(OR(Q339="KURANG",Q339="SANGAT KURANG"),I339*K339*10%,I339*K339*20%)))</f>
        <v/>
      </c>
      <c r="X339" s="15">
        <f>SUM(U339:W339)*68%</f>
        <v/>
      </c>
      <c r="Y339" s="15">
        <f>I339*L339</f>
        <v/>
      </c>
      <c r="Z339" s="15">
        <f>Y339 * 68%</f>
        <v/>
      </c>
      <c r="AA339" s="15">
        <f>I339*M339</f>
        <v/>
      </c>
      <c r="AB339" s="15">
        <f>AA339*68%</f>
        <v/>
      </c>
      <c r="AC339" s="16">
        <f>ROUND((T339+X339+Z339+AB339),0)</f>
        <v/>
      </c>
      <c r="AD339" s="16">
        <f>AG339</f>
        <v/>
      </c>
      <c r="AE339" s="16">
        <f>AI339</f>
        <v/>
      </c>
      <c r="AF339" s="16">
        <f>AC339+AD339+AE339</f>
        <v/>
      </c>
      <c r="AG339" s="16" t="n"/>
      <c r="AH339" s="17" t="n"/>
      <c r="AI339" s="17">
        <f>AH339*4</f>
        <v/>
      </c>
      <c r="AJ339" s="15">
        <f>AF339-AG339-AH339-AI339</f>
        <v/>
      </c>
      <c r="AK339" s="18" t="n">
        <v>332</v>
      </c>
      <c r="AL339" s="40" t="n"/>
    </row>
    <row r="340" ht="23.5" customHeight="1">
      <c r="A340" s="6" t="inlineStr">
        <is>
          <t>333</t>
        </is>
      </c>
      <c r="B340" s="28" t="n"/>
      <c r="C340" s="55" t="n"/>
      <c r="D340" s="19" t="n"/>
      <c r="E340" s="24" t="n"/>
      <c r="F340" s="25" t="n"/>
      <c r="G340" s="25" t="n"/>
      <c r="H340" s="25" t="n"/>
      <c r="I340" s="11" t="n"/>
      <c r="J340" s="57" t="n"/>
      <c r="K340" s="12" t="n"/>
      <c r="L340" s="22" t="n"/>
      <c r="M340" s="13" t="n"/>
      <c r="N340" s="14">
        <f>ROUND(I340*(SUM(J340:M340))*68%,0)</f>
        <v/>
      </c>
      <c r="O340" s="61" t="n"/>
      <c r="P340" s="59" t="n"/>
      <c r="Q340" s="59" t="n"/>
      <c r="R340" s="58" t="n"/>
      <c r="S340" s="15">
        <f>I340*J340</f>
        <v/>
      </c>
      <c r="T340" s="15">
        <f>SUM(S340:S340)*68%</f>
        <v/>
      </c>
      <c r="U340" s="15">
        <f>I340*K340*40%*O340</f>
        <v/>
      </c>
      <c r="V340" s="15">
        <f>IF(P340&gt;=6750,(I340*K340*40%),0)</f>
        <v/>
      </c>
      <c r="W340" s="15">
        <f>IF(P340&lt;6750,0,IF(Q340="",0,IF(OR(Q340="KURANG",Q340="SANGAT KURANG"),I340*K340*10%,I340*K340*20%)))</f>
        <v/>
      </c>
      <c r="X340" s="15">
        <f>SUM(U340:W340)*68%</f>
        <v/>
      </c>
      <c r="Y340" s="15">
        <f>I340*L340</f>
        <v/>
      </c>
      <c r="Z340" s="15">
        <f>Y340 * 68%</f>
        <v/>
      </c>
      <c r="AA340" s="15">
        <f>I340*M340</f>
        <v/>
      </c>
      <c r="AB340" s="15">
        <f>AA340*68%</f>
        <v/>
      </c>
      <c r="AC340" s="16">
        <f>ROUND((T340+X340+Z340+AB340),0)</f>
        <v/>
      </c>
      <c r="AD340" s="16">
        <f>AG340</f>
        <v/>
      </c>
      <c r="AE340" s="16">
        <f>AI340</f>
        <v/>
      </c>
      <c r="AF340" s="16">
        <f>AC340+AD340+AE340</f>
        <v/>
      </c>
      <c r="AG340" s="16" t="n"/>
      <c r="AH340" s="17" t="n"/>
      <c r="AI340" s="17">
        <f>AH340*4</f>
        <v/>
      </c>
      <c r="AJ340" s="15">
        <f>AF340-AG340-AH340-AI340</f>
        <v/>
      </c>
      <c r="AK340" s="18" t="n">
        <v>333</v>
      </c>
      <c r="AL340" s="23" t="n"/>
    </row>
    <row r="341" ht="23.5" customHeight="1">
      <c r="A341" s="6" t="inlineStr">
        <is>
          <t>334</t>
        </is>
      </c>
      <c r="B341" s="28" t="n"/>
      <c r="C341" s="55" t="n"/>
      <c r="D341" s="19" t="n"/>
      <c r="E341" s="24" t="n"/>
      <c r="F341" s="25" t="n"/>
      <c r="G341" s="25" t="n"/>
      <c r="H341" s="25" t="n"/>
      <c r="I341" s="11" t="n"/>
      <c r="J341" s="57" t="n"/>
      <c r="K341" s="12" t="n"/>
      <c r="L341" s="22" t="n"/>
      <c r="M341" s="13" t="n"/>
      <c r="N341" s="14">
        <f>ROUND(I341*(SUM(J341:M341))*68%,0)</f>
        <v/>
      </c>
      <c r="O341" s="61" t="n"/>
      <c r="P341" s="59" t="n"/>
      <c r="Q341" s="59" t="n"/>
      <c r="R341" s="58" t="n"/>
      <c r="S341" s="15">
        <f>I341*J341</f>
        <v/>
      </c>
      <c r="T341" s="15">
        <f>SUM(S341:S341)*68%</f>
        <v/>
      </c>
      <c r="U341" s="15">
        <f>I341*K341*40%*O341</f>
        <v/>
      </c>
      <c r="V341" s="15">
        <f>IF(P341&gt;=6750,(I341*K341*40%),0)</f>
        <v/>
      </c>
      <c r="W341" s="15">
        <f>IF(P341&lt;6750,0,IF(Q341="",0,IF(OR(Q341="KURANG",Q341="SANGAT KURANG"),I341*K341*10%,I341*K341*20%)))</f>
        <v/>
      </c>
      <c r="X341" s="15">
        <f>SUM(U341:W341)*68%</f>
        <v/>
      </c>
      <c r="Y341" s="15">
        <f>I341*L341</f>
        <v/>
      </c>
      <c r="Z341" s="15">
        <f>Y341 * 68%</f>
        <v/>
      </c>
      <c r="AA341" s="15">
        <f>I341*M341</f>
        <v/>
      </c>
      <c r="AB341" s="15">
        <f>AA341*68%</f>
        <v/>
      </c>
      <c r="AC341" s="16">
        <f>ROUND((T341+X341+Z341+AB341),0)</f>
        <v/>
      </c>
      <c r="AD341" s="16">
        <f>AG341</f>
        <v/>
      </c>
      <c r="AE341" s="16">
        <f>AI341</f>
        <v/>
      </c>
      <c r="AF341" s="16">
        <f>AC341+AD341+AE341</f>
        <v/>
      </c>
      <c r="AG341" s="16" t="n"/>
      <c r="AH341" s="17" t="n"/>
      <c r="AI341" s="17">
        <f>AH341*4</f>
        <v/>
      </c>
      <c r="AJ341" s="15">
        <f>AF341-AG341-AH341-AI341</f>
        <v/>
      </c>
      <c r="AK341" s="18" t="n">
        <v>334</v>
      </c>
      <c r="AL341" s="23" t="n"/>
    </row>
    <row r="342" ht="23.5" customHeight="1">
      <c r="A342" s="6" t="inlineStr">
        <is>
          <t>335</t>
        </is>
      </c>
      <c r="B342" s="24" t="n"/>
      <c r="C342" s="55" t="n"/>
      <c r="D342" s="19" t="n"/>
      <c r="E342" s="24" t="n"/>
      <c r="F342" s="25" t="n"/>
      <c r="G342" s="25" t="n"/>
      <c r="H342" s="25" t="n"/>
      <c r="I342" s="11" t="n"/>
      <c r="J342" s="57" t="n"/>
      <c r="K342" s="12" t="n"/>
      <c r="L342" s="22" t="n"/>
      <c r="M342" s="13" t="n"/>
      <c r="N342" s="14">
        <f>ROUND(I342*(SUM(J342:M342))*68%,0)</f>
        <v/>
      </c>
      <c r="O342" s="61" t="n"/>
      <c r="P342" s="59" t="n"/>
      <c r="Q342" s="59" t="n"/>
      <c r="R342" s="58" t="n"/>
      <c r="S342" s="15">
        <f>I342*J342</f>
        <v/>
      </c>
      <c r="T342" s="15">
        <f>SUM(S342:S342)*68%</f>
        <v/>
      </c>
      <c r="U342" s="15">
        <f>I342*K342*40%*O342</f>
        <v/>
      </c>
      <c r="V342" s="15">
        <f>IF(P342&gt;=6750,(I342*K342*40%),0)</f>
        <v/>
      </c>
      <c r="W342" s="15">
        <f>IF(P342&lt;6750,0,IF(Q342="",0,IF(OR(Q342="KURANG",Q342="SANGAT KURANG"),I342*K342*10%,I342*K342*20%)))</f>
        <v/>
      </c>
      <c r="X342" s="15">
        <f>SUM(U342:W342)*68%</f>
        <v/>
      </c>
      <c r="Y342" s="15">
        <f>I342*L342</f>
        <v/>
      </c>
      <c r="Z342" s="15">
        <f>Y342 * 68%</f>
        <v/>
      </c>
      <c r="AA342" s="15">
        <f>I342*M342</f>
        <v/>
      </c>
      <c r="AB342" s="15">
        <f>AA342*68%</f>
        <v/>
      </c>
      <c r="AC342" s="16">
        <f>ROUND((T342+X342+Z342+AB342),0)</f>
        <v/>
      </c>
      <c r="AD342" s="16">
        <f>AG342</f>
        <v/>
      </c>
      <c r="AE342" s="16">
        <f>AI342</f>
        <v/>
      </c>
      <c r="AF342" s="16">
        <f>AC342+AD342+AE342</f>
        <v/>
      </c>
      <c r="AG342" s="16" t="n"/>
      <c r="AH342" s="17" t="n"/>
      <c r="AI342" s="17">
        <f>AH342*4</f>
        <v/>
      </c>
      <c r="AJ342" s="15">
        <f>AF342-AG342-AH342-AI342</f>
        <v/>
      </c>
      <c r="AK342" s="18" t="n">
        <v>335</v>
      </c>
      <c r="AL342" s="40" t="n"/>
    </row>
    <row r="343" ht="23.5" customHeight="1">
      <c r="A343" s="6" t="inlineStr">
        <is>
          <t>336</t>
        </is>
      </c>
      <c r="B343" s="24" t="n"/>
      <c r="C343" s="55" t="n"/>
      <c r="D343" s="19" t="n"/>
      <c r="E343" s="24" t="n"/>
      <c r="F343" s="25" t="n"/>
      <c r="G343" s="25" t="n"/>
      <c r="H343" s="25" t="n"/>
      <c r="I343" s="11" t="n"/>
      <c r="J343" s="57" t="n"/>
      <c r="K343" s="12" t="n"/>
      <c r="L343" s="22" t="n"/>
      <c r="M343" s="13" t="n"/>
      <c r="N343" s="14">
        <f>ROUND(I343*(SUM(J343:M343))*68%,0)</f>
        <v/>
      </c>
      <c r="O343" s="61" t="n"/>
      <c r="P343" s="59" t="n"/>
      <c r="Q343" s="59" t="n"/>
      <c r="R343" s="58" t="n"/>
      <c r="S343" s="15">
        <f>I343*J343</f>
        <v/>
      </c>
      <c r="T343" s="15">
        <f>SUM(S343:S343)*68%</f>
        <v/>
      </c>
      <c r="U343" s="15">
        <f>I343*K343*40%*O343</f>
        <v/>
      </c>
      <c r="V343" s="15">
        <f>IF(P343&gt;=6750,(I343*K343*40%),0)</f>
        <v/>
      </c>
      <c r="W343" s="15">
        <f>IF(P343&lt;6750,0,IF(Q343="",0,IF(OR(Q343="KURANG",Q343="SANGAT KURANG"),I343*K343*10%,I343*K343*20%)))</f>
        <v/>
      </c>
      <c r="X343" s="15">
        <f>SUM(U343:W343)*68%</f>
        <v/>
      </c>
      <c r="Y343" s="15">
        <f>I343*L343</f>
        <v/>
      </c>
      <c r="Z343" s="15">
        <f>Y343 * 68%</f>
        <v/>
      </c>
      <c r="AA343" s="15">
        <f>I343*M343</f>
        <v/>
      </c>
      <c r="AB343" s="15">
        <f>AA343*68%</f>
        <v/>
      </c>
      <c r="AC343" s="16">
        <f>ROUND((T343+X343+Z343+AB343),0)</f>
        <v/>
      </c>
      <c r="AD343" s="16">
        <f>AG343</f>
        <v/>
      </c>
      <c r="AE343" s="16">
        <f>AI343</f>
        <v/>
      </c>
      <c r="AF343" s="16">
        <f>AC343+AD343+AE343</f>
        <v/>
      </c>
      <c r="AG343" s="16" t="n"/>
      <c r="AH343" s="17" t="n"/>
      <c r="AI343" s="17">
        <f>AH343*4</f>
        <v/>
      </c>
      <c r="AJ343" s="15">
        <f>AF343-AG343-AH343-AI343</f>
        <v/>
      </c>
      <c r="AK343" s="18" t="n">
        <v>336</v>
      </c>
      <c r="AL343" s="23" t="n"/>
    </row>
    <row r="344" ht="23.5" customHeight="1">
      <c r="A344" s="6" t="inlineStr">
        <is>
          <t>337</t>
        </is>
      </c>
      <c r="B344" s="24" t="n"/>
      <c r="C344" s="55" t="n"/>
      <c r="D344" s="19" t="n"/>
      <c r="E344" s="24" t="n"/>
      <c r="F344" s="25" t="n"/>
      <c r="G344" s="25" t="n"/>
      <c r="H344" s="25" t="n"/>
      <c r="I344" s="11" t="n"/>
      <c r="J344" s="57" t="n"/>
      <c r="K344" s="12" t="n"/>
      <c r="L344" s="22" t="n"/>
      <c r="M344" s="13" t="n"/>
      <c r="N344" s="14">
        <f>ROUND(I344*(SUM(J344:M344))*68%,0)</f>
        <v/>
      </c>
      <c r="O344" s="61" t="n"/>
      <c r="P344" s="59" t="n"/>
      <c r="Q344" s="59" t="n"/>
      <c r="R344" s="58" t="n"/>
      <c r="S344" s="15">
        <f>I344*J344</f>
        <v/>
      </c>
      <c r="T344" s="15">
        <f>SUM(S344:S344)*68%</f>
        <v/>
      </c>
      <c r="U344" s="15">
        <f>I344*K344*40%*O344</f>
        <v/>
      </c>
      <c r="V344" s="15">
        <f>IF(P344&gt;=6750,(I344*K344*40%),0)</f>
        <v/>
      </c>
      <c r="W344" s="15">
        <f>IF(P344&lt;6750,0,IF(Q344="",0,IF(OR(Q344="KURANG",Q344="SANGAT KURANG"),I344*K344*10%,I344*K344*20%)))</f>
        <v/>
      </c>
      <c r="X344" s="15">
        <f>SUM(U344:W344)*68%</f>
        <v/>
      </c>
      <c r="Y344" s="15">
        <f>I344*L344</f>
        <v/>
      </c>
      <c r="Z344" s="15">
        <f>Y344 * 68%</f>
        <v/>
      </c>
      <c r="AA344" s="15">
        <f>I344*M344</f>
        <v/>
      </c>
      <c r="AB344" s="15">
        <f>AA344*68%</f>
        <v/>
      </c>
      <c r="AC344" s="16">
        <f>ROUND((T344+X344+Z344+AB344),0)</f>
        <v/>
      </c>
      <c r="AD344" s="16">
        <f>AG344</f>
        <v/>
      </c>
      <c r="AE344" s="16">
        <f>AI344</f>
        <v/>
      </c>
      <c r="AF344" s="16">
        <f>AC344+AD344+AE344</f>
        <v/>
      </c>
      <c r="AG344" s="16" t="n"/>
      <c r="AH344" s="17" t="n"/>
      <c r="AI344" s="17">
        <f>AH344*4</f>
        <v/>
      </c>
      <c r="AJ344" s="15">
        <f>AF344-AG344-AH344-AI344</f>
        <v/>
      </c>
      <c r="AK344" s="18" t="n">
        <v>337</v>
      </c>
      <c r="AL344" s="23" t="n"/>
    </row>
    <row r="345" ht="23.5" customHeight="1">
      <c r="A345" s="6" t="inlineStr">
        <is>
          <t>338</t>
        </is>
      </c>
      <c r="B345" s="24" t="n"/>
      <c r="C345" s="55" t="n"/>
      <c r="D345" s="19" t="n"/>
      <c r="E345" s="24" t="n"/>
      <c r="F345" s="25" t="n"/>
      <c r="G345" s="25" t="n"/>
      <c r="H345" s="25" t="n"/>
      <c r="I345" s="11" t="n"/>
      <c r="J345" s="57" t="n"/>
      <c r="K345" s="12" t="n"/>
      <c r="L345" s="22" t="n"/>
      <c r="M345" s="13" t="n"/>
      <c r="N345" s="14">
        <f>ROUND(I345*(SUM(J345:M345))*68%,0)</f>
        <v/>
      </c>
      <c r="O345" s="61" t="n"/>
      <c r="P345" s="59" t="n"/>
      <c r="Q345" s="59" t="n"/>
      <c r="R345" s="58" t="n"/>
      <c r="S345" s="15">
        <f>I345*J345</f>
        <v/>
      </c>
      <c r="T345" s="15">
        <f>SUM(S345:S345)*68%</f>
        <v/>
      </c>
      <c r="U345" s="15">
        <f>I345*K345*40%*O345</f>
        <v/>
      </c>
      <c r="V345" s="15">
        <f>IF(P345&gt;=6750,(I345*K345*40%),0)</f>
        <v/>
      </c>
      <c r="W345" s="15">
        <f>IF(P345&lt;6750,0,IF(Q345="",0,IF(OR(Q345="KURANG",Q345="SANGAT KURANG"),I345*K345*10%,I345*K345*20%)))</f>
        <v/>
      </c>
      <c r="X345" s="15">
        <f>SUM(U345:W345)*68%</f>
        <v/>
      </c>
      <c r="Y345" s="15">
        <f>I345*L345</f>
        <v/>
      </c>
      <c r="Z345" s="15">
        <f>Y345 * 68%</f>
        <v/>
      </c>
      <c r="AA345" s="15">
        <f>I345*M345</f>
        <v/>
      </c>
      <c r="AB345" s="15">
        <f>AA345*68%</f>
        <v/>
      </c>
      <c r="AC345" s="16">
        <f>ROUND((T345+X345+Z345+AB345),0)</f>
        <v/>
      </c>
      <c r="AD345" s="16">
        <f>AG345</f>
        <v/>
      </c>
      <c r="AE345" s="16">
        <f>AI345</f>
        <v/>
      </c>
      <c r="AF345" s="16">
        <f>AC345+AD345+AE345</f>
        <v/>
      </c>
      <c r="AG345" s="16" t="n"/>
      <c r="AH345" s="17" t="n"/>
      <c r="AI345" s="17">
        <f>AH345*4</f>
        <v/>
      </c>
      <c r="AJ345" s="15">
        <f>AF345-AG345-AH345-AI345</f>
        <v/>
      </c>
      <c r="AK345" s="18" t="n">
        <v>338</v>
      </c>
      <c r="AL345" s="40" t="n"/>
    </row>
    <row r="346" ht="23.5" customHeight="1">
      <c r="A346" s="6" t="inlineStr">
        <is>
          <t>339</t>
        </is>
      </c>
      <c r="B346" s="24" t="n"/>
      <c r="C346" s="55" t="n"/>
      <c r="D346" s="19" t="n"/>
      <c r="E346" s="24" t="n"/>
      <c r="F346" s="25" t="n"/>
      <c r="G346" s="25" t="n"/>
      <c r="H346" s="25" t="n"/>
      <c r="I346" s="11" t="n"/>
      <c r="J346" s="57" t="n"/>
      <c r="K346" s="12" t="n"/>
      <c r="L346" s="22" t="n"/>
      <c r="M346" s="13" t="n"/>
      <c r="N346" s="14">
        <f>ROUND(I346*(SUM(J346:M346))*68%,0)</f>
        <v/>
      </c>
      <c r="O346" s="61" t="n"/>
      <c r="P346" s="59" t="n"/>
      <c r="Q346" s="59" t="n"/>
      <c r="R346" s="58" t="n"/>
      <c r="S346" s="15">
        <f>I346*J346</f>
        <v/>
      </c>
      <c r="T346" s="15">
        <f>SUM(S346:S346)*68%</f>
        <v/>
      </c>
      <c r="U346" s="15">
        <f>I346*K346*40%*O346</f>
        <v/>
      </c>
      <c r="V346" s="15">
        <f>IF(P346&gt;=6750,(I346*K346*40%),0)</f>
        <v/>
      </c>
      <c r="W346" s="15">
        <f>IF(P346&lt;6750,0,IF(Q346="",0,IF(OR(Q346="KURANG",Q346="SANGAT KURANG"),I346*K346*10%,I346*K346*20%)))</f>
        <v/>
      </c>
      <c r="X346" s="15">
        <f>SUM(U346:W346)*68%</f>
        <v/>
      </c>
      <c r="Y346" s="15">
        <f>I346*L346</f>
        <v/>
      </c>
      <c r="Z346" s="15">
        <f>Y346 * 68%</f>
        <v/>
      </c>
      <c r="AA346" s="15">
        <f>I346*M346</f>
        <v/>
      </c>
      <c r="AB346" s="15">
        <f>AA346*68%</f>
        <v/>
      </c>
      <c r="AC346" s="16">
        <f>ROUND((T346+X346+Z346+AB346),0)</f>
        <v/>
      </c>
      <c r="AD346" s="16">
        <f>AG346</f>
        <v/>
      </c>
      <c r="AE346" s="16">
        <f>AI346</f>
        <v/>
      </c>
      <c r="AF346" s="16">
        <f>AC346+AD346+AE346</f>
        <v/>
      </c>
      <c r="AG346" s="16" t="n"/>
      <c r="AH346" s="17" t="n"/>
      <c r="AI346" s="17">
        <f>AH346*4</f>
        <v/>
      </c>
      <c r="AJ346" s="15">
        <f>AF346-AG346-AH346-AI346</f>
        <v/>
      </c>
      <c r="AK346" s="18" t="n">
        <v>339</v>
      </c>
      <c r="AL346" s="23" t="n"/>
    </row>
    <row r="347" ht="23.5" customHeight="1">
      <c r="A347" s="6" t="inlineStr">
        <is>
          <t>340</t>
        </is>
      </c>
      <c r="B347" s="24" t="n"/>
      <c r="C347" s="55" t="n"/>
      <c r="D347" s="19" t="n"/>
      <c r="E347" s="24" t="n"/>
      <c r="F347" s="25" t="n"/>
      <c r="G347" s="25" t="n"/>
      <c r="H347" s="25" t="n"/>
      <c r="I347" s="11" t="n"/>
      <c r="J347" s="57" t="n"/>
      <c r="K347" s="12" t="n"/>
      <c r="L347" s="22" t="n"/>
      <c r="M347" s="13" t="n"/>
      <c r="N347" s="14">
        <f>ROUND(I347*(SUM(J347:M347))*68%,0)</f>
        <v/>
      </c>
      <c r="O347" s="61" t="n"/>
      <c r="P347" s="59" t="n"/>
      <c r="Q347" s="59" t="n"/>
      <c r="R347" s="58" t="n"/>
      <c r="S347" s="15">
        <f>I347*J347</f>
        <v/>
      </c>
      <c r="T347" s="15">
        <f>SUM(S347:S347)*68%</f>
        <v/>
      </c>
      <c r="U347" s="15">
        <f>I347*K347*40%*O347</f>
        <v/>
      </c>
      <c r="V347" s="15">
        <f>IF(P347&gt;=6750,(I347*K347*40%),0)</f>
        <v/>
      </c>
      <c r="W347" s="15">
        <f>IF(P347&lt;6750,0,IF(Q347="",0,IF(OR(Q347="KURANG",Q347="SANGAT KURANG"),I347*K347*10%,I347*K347*20%)))</f>
        <v/>
      </c>
      <c r="X347" s="15">
        <f>SUM(U347:W347)*68%</f>
        <v/>
      </c>
      <c r="Y347" s="15">
        <f>I347*L347</f>
        <v/>
      </c>
      <c r="Z347" s="15">
        <f>Y347 * 68%</f>
        <v/>
      </c>
      <c r="AA347" s="15">
        <f>I347*M347</f>
        <v/>
      </c>
      <c r="AB347" s="15">
        <f>AA347*68%</f>
        <v/>
      </c>
      <c r="AC347" s="16">
        <f>ROUND((T347+X347+Z347+AB347),0)</f>
        <v/>
      </c>
      <c r="AD347" s="16">
        <f>AG347</f>
        <v/>
      </c>
      <c r="AE347" s="16">
        <f>AI347</f>
        <v/>
      </c>
      <c r="AF347" s="16">
        <f>AC347+AD347+AE347</f>
        <v/>
      </c>
      <c r="AG347" s="16" t="n"/>
      <c r="AH347" s="17" t="n"/>
      <c r="AI347" s="17">
        <f>AH347*4</f>
        <v/>
      </c>
      <c r="AJ347" s="15">
        <f>AF347-AG347-AH347-AI347</f>
        <v/>
      </c>
      <c r="AK347" s="18" t="n">
        <v>340</v>
      </c>
      <c r="AL347" s="23" t="n"/>
    </row>
    <row r="348" ht="23.5" customHeight="1">
      <c r="A348" s="6" t="inlineStr">
        <is>
          <t>341</t>
        </is>
      </c>
      <c r="B348" s="28" t="n"/>
      <c r="C348" s="55" t="n"/>
      <c r="D348" s="19" t="n"/>
      <c r="E348" s="24" t="n"/>
      <c r="F348" s="25" t="n"/>
      <c r="G348" s="25" t="n"/>
      <c r="H348" s="25" t="n"/>
      <c r="I348" s="11" t="n"/>
      <c r="J348" s="57" t="n"/>
      <c r="K348" s="12" t="n"/>
      <c r="L348" s="22" t="n"/>
      <c r="M348" s="13" t="n"/>
      <c r="N348" s="14">
        <f>ROUND(I348*(SUM(J348:M348))*68%,0)</f>
        <v/>
      </c>
      <c r="O348" s="61" t="n"/>
      <c r="P348" s="59" t="n"/>
      <c r="Q348" s="59" t="n"/>
      <c r="R348" s="58" t="n"/>
      <c r="S348" s="15">
        <f>I348*J348</f>
        <v/>
      </c>
      <c r="T348" s="15">
        <f>SUM(S348:S348)*68%</f>
        <v/>
      </c>
      <c r="U348" s="15">
        <f>I348*K348*40%*O348</f>
        <v/>
      </c>
      <c r="V348" s="15">
        <f>IF(P348&gt;=6750,(I348*K348*40%),0)</f>
        <v/>
      </c>
      <c r="W348" s="15">
        <f>IF(P348&lt;6750,0,IF(Q348="",0,IF(OR(Q348="KURANG",Q348="SANGAT KURANG"),I348*K348*10%,I348*K348*20%)))</f>
        <v/>
      </c>
      <c r="X348" s="15">
        <f>SUM(U348:W348)*68%</f>
        <v/>
      </c>
      <c r="Y348" s="15">
        <f>I348*L348</f>
        <v/>
      </c>
      <c r="Z348" s="15">
        <f>Y348 * 68%</f>
        <v/>
      </c>
      <c r="AA348" s="15">
        <f>I348*M348</f>
        <v/>
      </c>
      <c r="AB348" s="15">
        <f>AA348*68%</f>
        <v/>
      </c>
      <c r="AC348" s="16">
        <f>ROUND((T348+X348+Z348+AB348),0)</f>
        <v/>
      </c>
      <c r="AD348" s="16">
        <f>AG348</f>
        <v/>
      </c>
      <c r="AE348" s="16">
        <f>AI348</f>
        <v/>
      </c>
      <c r="AF348" s="16">
        <f>AC348+AD348+AE348</f>
        <v/>
      </c>
      <c r="AG348" s="16" t="n"/>
      <c r="AH348" s="17" t="n"/>
      <c r="AI348" s="17">
        <f>AH348*4</f>
        <v/>
      </c>
      <c r="AJ348" s="15">
        <f>AF348-AG348-AH348-AI348</f>
        <v/>
      </c>
      <c r="AK348" s="18" t="n">
        <v>341</v>
      </c>
      <c r="AL348" s="40" t="n"/>
    </row>
    <row r="349" ht="23.5" customHeight="1">
      <c r="A349" s="6" t="inlineStr">
        <is>
          <t>342</t>
        </is>
      </c>
      <c r="B349" s="28" t="n"/>
      <c r="C349" s="55" t="n"/>
      <c r="D349" s="19" t="n"/>
      <c r="E349" s="24" t="n"/>
      <c r="F349" s="25" t="n"/>
      <c r="G349" s="25" t="n"/>
      <c r="H349" s="25" t="n"/>
      <c r="I349" s="11" t="n"/>
      <c r="J349" s="57" t="n"/>
      <c r="K349" s="12" t="n"/>
      <c r="L349" s="22" t="n"/>
      <c r="M349" s="13" t="n"/>
      <c r="N349" s="14">
        <f>ROUND(I349*(SUM(J349:M349))*68%,0)</f>
        <v/>
      </c>
      <c r="O349" s="61" t="n"/>
      <c r="P349" s="59" t="n"/>
      <c r="Q349" s="59" t="n"/>
      <c r="R349" s="58" t="n"/>
      <c r="S349" s="15">
        <f>I349*J349</f>
        <v/>
      </c>
      <c r="T349" s="15">
        <f>SUM(S349:S349)*68%</f>
        <v/>
      </c>
      <c r="U349" s="15">
        <f>I349*K349*40%*O349</f>
        <v/>
      </c>
      <c r="V349" s="15">
        <f>IF(P349&gt;=6750,(I349*K349*40%),0)</f>
        <v/>
      </c>
      <c r="W349" s="15">
        <f>IF(P349&lt;6750,0,IF(Q349="",0,IF(OR(Q349="KURANG",Q349="SANGAT KURANG"),I349*K349*10%,I349*K349*20%)))</f>
        <v/>
      </c>
      <c r="X349" s="15">
        <f>SUM(U349:W349)*68%</f>
        <v/>
      </c>
      <c r="Y349" s="15">
        <f>I349*L349</f>
        <v/>
      </c>
      <c r="Z349" s="15">
        <f>Y349 * 68%</f>
        <v/>
      </c>
      <c r="AA349" s="15">
        <f>I349*M349</f>
        <v/>
      </c>
      <c r="AB349" s="15">
        <f>AA349*68%</f>
        <v/>
      </c>
      <c r="AC349" s="16">
        <f>ROUND((T349+X349+Z349+AB349),0)</f>
        <v/>
      </c>
      <c r="AD349" s="16">
        <f>AG349</f>
        <v/>
      </c>
      <c r="AE349" s="16">
        <f>AI349</f>
        <v/>
      </c>
      <c r="AF349" s="16">
        <f>AC349+AD349+AE349</f>
        <v/>
      </c>
      <c r="AG349" s="16" t="n"/>
      <c r="AH349" s="17" t="n"/>
      <c r="AI349" s="17">
        <f>AH349*4</f>
        <v/>
      </c>
      <c r="AJ349" s="15">
        <f>AF349-AG349-AH349-AI349</f>
        <v/>
      </c>
      <c r="AK349" s="18" t="n">
        <v>342</v>
      </c>
      <c r="AL349" s="23" t="n"/>
    </row>
    <row r="350" ht="23.5" customHeight="1">
      <c r="A350" s="6" t="inlineStr">
        <is>
          <t>343</t>
        </is>
      </c>
      <c r="B350" s="24" t="n"/>
      <c r="C350" s="55" t="n"/>
      <c r="D350" s="19" t="n"/>
      <c r="E350" s="24" t="n"/>
      <c r="F350" s="25" t="n"/>
      <c r="G350" s="25" t="n"/>
      <c r="H350" s="25" t="n"/>
      <c r="I350" s="11" t="n"/>
      <c r="J350" s="57" t="n"/>
      <c r="K350" s="12" t="n"/>
      <c r="L350" s="22" t="n"/>
      <c r="M350" s="13" t="n"/>
      <c r="N350" s="14">
        <f>ROUND(I350*(SUM(J350:M350))*68%,0)</f>
        <v/>
      </c>
      <c r="O350" s="61" t="n"/>
      <c r="P350" s="59" t="n"/>
      <c r="Q350" s="59" t="n"/>
      <c r="R350" s="58" t="n"/>
      <c r="S350" s="15">
        <f>I350*J350</f>
        <v/>
      </c>
      <c r="T350" s="15">
        <f>SUM(S350:S350)*68%</f>
        <v/>
      </c>
      <c r="U350" s="15">
        <f>I350*K350*40%*O350</f>
        <v/>
      </c>
      <c r="V350" s="15">
        <f>IF(P350&gt;=6750,(I350*K350*40%),0)</f>
        <v/>
      </c>
      <c r="W350" s="15">
        <f>IF(P350&lt;6750,0,IF(Q350="",0,IF(OR(Q350="KURANG",Q350="SANGAT KURANG"),I350*K350*10%,I350*K350*20%)))</f>
        <v/>
      </c>
      <c r="X350" s="15">
        <f>SUM(U350:W350)*68%</f>
        <v/>
      </c>
      <c r="Y350" s="15">
        <f>I350*L350</f>
        <v/>
      </c>
      <c r="Z350" s="15">
        <f>Y350 * 68%</f>
        <v/>
      </c>
      <c r="AA350" s="15">
        <f>I350*M350</f>
        <v/>
      </c>
      <c r="AB350" s="15">
        <f>AA350*68%</f>
        <v/>
      </c>
      <c r="AC350" s="16">
        <f>ROUND((T350+X350+Z350+AB350),0)</f>
        <v/>
      </c>
      <c r="AD350" s="16">
        <f>AG350</f>
        <v/>
      </c>
      <c r="AE350" s="16">
        <f>AI350</f>
        <v/>
      </c>
      <c r="AF350" s="16">
        <f>AC350+AD350+AE350</f>
        <v/>
      </c>
      <c r="AG350" s="16" t="n"/>
      <c r="AH350" s="17" t="n"/>
      <c r="AI350" s="17">
        <f>AH350*4</f>
        <v/>
      </c>
      <c r="AJ350" s="15">
        <f>AF350-AG350-AH350-AI350</f>
        <v/>
      </c>
      <c r="AK350" s="18" t="n">
        <v>343</v>
      </c>
      <c r="AL350" s="23" t="n"/>
    </row>
    <row r="351" ht="23.5" customHeight="1">
      <c r="A351" s="6" t="inlineStr">
        <is>
          <t>344</t>
        </is>
      </c>
      <c r="B351" s="24" t="n"/>
      <c r="C351" s="55" t="n"/>
      <c r="D351" s="19" t="n"/>
      <c r="E351" s="24" t="n"/>
      <c r="F351" s="25" t="n"/>
      <c r="G351" s="25" t="n"/>
      <c r="H351" s="25" t="n"/>
      <c r="I351" s="11" t="n"/>
      <c r="J351" s="57" t="n"/>
      <c r="K351" s="12" t="n"/>
      <c r="L351" s="22" t="n"/>
      <c r="M351" s="13" t="n"/>
      <c r="N351" s="14">
        <f>ROUND(I351*(SUM(J351:M351))*68%,0)</f>
        <v/>
      </c>
      <c r="O351" s="61" t="n"/>
      <c r="P351" s="59" t="n"/>
      <c r="Q351" s="59" t="n"/>
      <c r="R351" s="58" t="n"/>
      <c r="S351" s="15">
        <f>I351*J351</f>
        <v/>
      </c>
      <c r="T351" s="15">
        <f>SUM(S351:S351)*68%</f>
        <v/>
      </c>
      <c r="U351" s="15">
        <f>I351*K351*40%*O351</f>
        <v/>
      </c>
      <c r="V351" s="15">
        <f>IF(P351&gt;=6750,(I351*K351*40%),0)</f>
        <v/>
      </c>
      <c r="W351" s="15">
        <f>IF(P351&lt;6750,0,IF(Q351="",0,IF(OR(Q351="KURANG",Q351="SANGAT KURANG"),I351*K351*10%,I351*K351*20%)))</f>
        <v/>
      </c>
      <c r="X351" s="15">
        <f>SUM(U351:W351)*68%</f>
        <v/>
      </c>
      <c r="Y351" s="15">
        <f>I351*L351</f>
        <v/>
      </c>
      <c r="Z351" s="15">
        <f>Y351 * 68%</f>
        <v/>
      </c>
      <c r="AA351" s="15">
        <f>I351*M351</f>
        <v/>
      </c>
      <c r="AB351" s="15">
        <f>AA351*68%</f>
        <v/>
      </c>
      <c r="AC351" s="16">
        <f>ROUND((T351+X351+Z351+AB351),0)</f>
        <v/>
      </c>
      <c r="AD351" s="16">
        <f>AG351</f>
        <v/>
      </c>
      <c r="AE351" s="16">
        <f>AI351</f>
        <v/>
      </c>
      <c r="AF351" s="16">
        <f>AC351+AD351+AE351</f>
        <v/>
      </c>
      <c r="AG351" s="16" t="n"/>
      <c r="AH351" s="17" t="n"/>
      <c r="AI351" s="17">
        <f>AH351*4</f>
        <v/>
      </c>
      <c r="AJ351" s="15">
        <f>AF351-AG351-AH351-AI351</f>
        <v/>
      </c>
      <c r="AK351" s="18" t="n">
        <v>344</v>
      </c>
      <c r="AL351" s="40" t="n"/>
    </row>
    <row r="352" ht="23.5" customHeight="1">
      <c r="A352" s="6" t="inlineStr">
        <is>
          <t>345</t>
        </is>
      </c>
      <c r="B352" s="24" t="n"/>
      <c r="C352" s="55" t="n"/>
      <c r="D352" s="19" t="n"/>
      <c r="E352" s="24" t="n"/>
      <c r="F352" s="25" t="n"/>
      <c r="G352" s="25" t="n"/>
      <c r="H352" s="25" t="n"/>
      <c r="I352" s="11" t="n"/>
      <c r="J352" s="57" t="n"/>
      <c r="K352" s="12" t="n"/>
      <c r="L352" s="22" t="n"/>
      <c r="M352" s="13" t="n"/>
      <c r="N352" s="14">
        <f>ROUND(I352*(SUM(J352:M352))*68%,0)</f>
        <v/>
      </c>
      <c r="O352" s="61" t="n"/>
      <c r="P352" s="59" t="n"/>
      <c r="Q352" s="59" t="n"/>
      <c r="R352" s="58" t="n"/>
      <c r="S352" s="15">
        <f>I352*J352</f>
        <v/>
      </c>
      <c r="T352" s="15">
        <f>SUM(S352:S352)*68%</f>
        <v/>
      </c>
      <c r="U352" s="15">
        <f>I352*K352*40%*O352</f>
        <v/>
      </c>
      <c r="V352" s="15">
        <f>IF(P352&gt;=6750,(I352*K352*40%),0)</f>
        <v/>
      </c>
      <c r="W352" s="15">
        <f>IF(P352&lt;6750,0,IF(Q352="",0,IF(OR(Q352="KURANG",Q352="SANGAT KURANG"),I352*K352*10%,I352*K352*20%)))</f>
        <v/>
      </c>
      <c r="X352" s="15">
        <f>SUM(U352:W352)*68%</f>
        <v/>
      </c>
      <c r="Y352" s="15">
        <f>I352*L352</f>
        <v/>
      </c>
      <c r="Z352" s="15">
        <f>Y352 * 68%</f>
        <v/>
      </c>
      <c r="AA352" s="15">
        <f>I352*M352</f>
        <v/>
      </c>
      <c r="AB352" s="15">
        <f>AA352*68%</f>
        <v/>
      </c>
      <c r="AC352" s="16">
        <f>ROUND((T352+X352+Z352+AB352),0)</f>
        <v/>
      </c>
      <c r="AD352" s="16">
        <f>AG352</f>
        <v/>
      </c>
      <c r="AE352" s="16">
        <f>AI352</f>
        <v/>
      </c>
      <c r="AF352" s="16">
        <f>AC352+AD352+AE352</f>
        <v/>
      </c>
      <c r="AG352" s="16" t="n"/>
      <c r="AH352" s="17" t="n"/>
      <c r="AI352" s="17">
        <f>AH352*4</f>
        <v/>
      </c>
      <c r="AJ352" s="15">
        <f>AF352-AG352-AH352-AI352</f>
        <v/>
      </c>
      <c r="AK352" s="18" t="n">
        <v>345</v>
      </c>
      <c r="AL352" s="23" t="n"/>
    </row>
    <row r="353" ht="23.5" customHeight="1">
      <c r="A353" s="6" t="inlineStr">
        <is>
          <t>346</t>
        </is>
      </c>
      <c r="B353" s="24" t="n"/>
      <c r="C353" s="55" t="n"/>
      <c r="D353" s="19" t="n"/>
      <c r="E353" s="24" t="n"/>
      <c r="F353" s="25" t="n"/>
      <c r="G353" s="25" t="n"/>
      <c r="H353" s="25" t="n"/>
      <c r="I353" s="11" t="n"/>
      <c r="J353" s="57" t="n"/>
      <c r="K353" s="12" t="n"/>
      <c r="L353" s="22" t="n"/>
      <c r="M353" s="13" t="n"/>
      <c r="N353" s="14">
        <f>ROUND(I353*(SUM(J353:M353))*68%,0)</f>
        <v/>
      </c>
      <c r="O353" s="61" t="n"/>
      <c r="P353" s="59" t="n"/>
      <c r="Q353" s="59" t="n"/>
      <c r="R353" s="58" t="n"/>
      <c r="S353" s="15">
        <f>I353*J353</f>
        <v/>
      </c>
      <c r="T353" s="15">
        <f>SUM(S353:S353)*68%</f>
        <v/>
      </c>
      <c r="U353" s="15">
        <f>I353*K353*40%*O353</f>
        <v/>
      </c>
      <c r="V353" s="15">
        <f>IF(P353&gt;=6750,(I353*K353*40%),0)</f>
        <v/>
      </c>
      <c r="W353" s="15">
        <f>IF(P353&lt;6750,0,IF(Q353="",0,IF(OR(Q353="KURANG",Q353="SANGAT KURANG"),I353*K353*10%,I353*K353*20%)))</f>
        <v/>
      </c>
      <c r="X353" s="15">
        <f>SUM(U353:W353)*68%</f>
        <v/>
      </c>
      <c r="Y353" s="15">
        <f>I353*L353</f>
        <v/>
      </c>
      <c r="Z353" s="15">
        <f>Y353 * 68%</f>
        <v/>
      </c>
      <c r="AA353" s="15">
        <f>I353*M353</f>
        <v/>
      </c>
      <c r="AB353" s="15">
        <f>AA353*68%</f>
        <v/>
      </c>
      <c r="AC353" s="16">
        <f>ROUND((T353+X353+Z353+AB353),0)</f>
        <v/>
      </c>
      <c r="AD353" s="16">
        <f>AG353</f>
        <v/>
      </c>
      <c r="AE353" s="16">
        <f>AI353</f>
        <v/>
      </c>
      <c r="AF353" s="16">
        <f>AC353+AD353+AE353</f>
        <v/>
      </c>
      <c r="AG353" s="16" t="n"/>
      <c r="AH353" s="17" t="n"/>
      <c r="AI353" s="17">
        <f>AH353*4</f>
        <v/>
      </c>
      <c r="AJ353" s="15">
        <f>AF353-AG353-AH353-AI353</f>
        <v/>
      </c>
      <c r="AK353" s="18" t="n">
        <v>346</v>
      </c>
      <c r="AL353" s="23" t="n"/>
    </row>
    <row r="354" ht="23.5" customHeight="1">
      <c r="A354" s="6" t="inlineStr">
        <is>
          <t>347</t>
        </is>
      </c>
      <c r="B354" s="24" t="n"/>
      <c r="C354" s="55" t="n"/>
      <c r="D354" s="19" t="n"/>
      <c r="E354" s="24" t="n"/>
      <c r="F354" s="25" t="n"/>
      <c r="G354" s="25" t="n"/>
      <c r="H354" s="25" t="n"/>
      <c r="I354" s="11" t="n"/>
      <c r="J354" s="57" t="n"/>
      <c r="K354" s="12" t="n"/>
      <c r="L354" s="22" t="n"/>
      <c r="M354" s="13" t="n"/>
      <c r="N354" s="14">
        <f>ROUND(I354*(SUM(J354:M354))*68%,0)</f>
        <v/>
      </c>
      <c r="O354" s="61" t="n"/>
      <c r="P354" s="59" t="n"/>
      <c r="Q354" s="59" t="n"/>
      <c r="R354" s="58" t="n"/>
      <c r="S354" s="15">
        <f>I354*J354</f>
        <v/>
      </c>
      <c r="T354" s="15">
        <f>SUM(S354:S354)*68%</f>
        <v/>
      </c>
      <c r="U354" s="15">
        <f>I354*K354*40%*O354</f>
        <v/>
      </c>
      <c r="V354" s="15">
        <f>IF(P354&gt;=6750,(I354*K354*40%),0)</f>
        <v/>
      </c>
      <c r="W354" s="15">
        <f>IF(P354&lt;6750,0,IF(Q354="",0,IF(OR(Q354="KURANG",Q354="SANGAT KURANG"),I354*K354*10%,I354*K354*20%)))</f>
        <v/>
      </c>
      <c r="X354" s="15">
        <f>SUM(U354:W354)*68%</f>
        <v/>
      </c>
      <c r="Y354" s="15">
        <f>I354*L354</f>
        <v/>
      </c>
      <c r="Z354" s="15">
        <f>Y354 * 68%</f>
        <v/>
      </c>
      <c r="AA354" s="15">
        <f>I354*M354</f>
        <v/>
      </c>
      <c r="AB354" s="15">
        <f>AA354*68%</f>
        <v/>
      </c>
      <c r="AC354" s="16">
        <f>ROUND((T354+X354+Z354+AB354),0)</f>
        <v/>
      </c>
      <c r="AD354" s="16">
        <f>AG354</f>
        <v/>
      </c>
      <c r="AE354" s="16">
        <f>AI354</f>
        <v/>
      </c>
      <c r="AF354" s="16">
        <f>AC354+AD354+AE354</f>
        <v/>
      </c>
      <c r="AG354" s="16" t="n"/>
      <c r="AH354" s="17" t="n"/>
      <c r="AI354" s="17">
        <f>AH354*4</f>
        <v/>
      </c>
      <c r="AJ354" s="15">
        <f>AF354-AG354-AH354-AI354</f>
        <v/>
      </c>
      <c r="AK354" s="18" t="n">
        <v>347</v>
      </c>
      <c r="AL354" s="40" t="n"/>
    </row>
    <row r="355" ht="23.5" customHeight="1">
      <c r="A355" s="6" t="inlineStr">
        <is>
          <t>348</t>
        </is>
      </c>
      <c r="B355" s="24" t="n"/>
      <c r="C355" s="55" t="n"/>
      <c r="D355" s="19" t="n"/>
      <c r="E355" s="24" t="n"/>
      <c r="F355" s="25" t="n"/>
      <c r="G355" s="25" t="n"/>
      <c r="H355" s="25" t="n"/>
      <c r="I355" s="11" t="n"/>
      <c r="J355" s="57" t="n"/>
      <c r="K355" s="12" t="n"/>
      <c r="L355" s="22" t="n"/>
      <c r="M355" s="13" t="n"/>
      <c r="N355" s="14">
        <f>ROUND(I355*(SUM(J355:M355))*68%,0)</f>
        <v/>
      </c>
      <c r="O355" s="61" t="n"/>
      <c r="P355" s="59" t="n"/>
      <c r="Q355" s="59" t="n"/>
      <c r="R355" s="58" t="n"/>
      <c r="S355" s="15">
        <f>I355*J355</f>
        <v/>
      </c>
      <c r="T355" s="15">
        <f>SUM(S355:S355)*68%</f>
        <v/>
      </c>
      <c r="U355" s="15">
        <f>I355*K355*40%*O355</f>
        <v/>
      </c>
      <c r="V355" s="15">
        <f>IF(P355&gt;=6750,(I355*K355*40%),0)</f>
        <v/>
      </c>
      <c r="W355" s="15">
        <f>IF(P355&lt;6750,0,IF(Q355="",0,IF(OR(Q355="KURANG",Q355="SANGAT KURANG"),I355*K355*10%,I355*K355*20%)))</f>
        <v/>
      </c>
      <c r="X355" s="15">
        <f>SUM(U355:W355)*68%</f>
        <v/>
      </c>
      <c r="Y355" s="15">
        <f>I355*L355</f>
        <v/>
      </c>
      <c r="Z355" s="15">
        <f>Y355 * 68%</f>
        <v/>
      </c>
      <c r="AA355" s="15">
        <f>I355*M355</f>
        <v/>
      </c>
      <c r="AB355" s="15">
        <f>AA355*68%</f>
        <v/>
      </c>
      <c r="AC355" s="16">
        <f>ROUND((T355+X355+Z355+AB355),0)</f>
        <v/>
      </c>
      <c r="AD355" s="16">
        <f>AG355</f>
        <v/>
      </c>
      <c r="AE355" s="16">
        <f>AI355</f>
        <v/>
      </c>
      <c r="AF355" s="16">
        <f>AC355+AD355+AE355</f>
        <v/>
      </c>
      <c r="AG355" s="16" t="n"/>
      <c r="AH355" s="17" t="n"/>
      <c r="AI355" s="17">
        <f>AH355*4</f>
        <v/>
      </c>
      <c r="AJ355" s="15">
        <f>AF355-AG355-AH355-AI355</f>
        <v/>
      </c>
      <c r="AK355" s="18" t="n">
        <v>348</v>
      </c>
      <c r="AL355" s="23" t="n"/>
    </row>
    <row r="356" ht="23.5" customHeight="1">
      <c r="A356" s="6" t="inlineStr">
        <is>
          <t>349</t>
        </is>
      </c>
      <c r="B356" s="28" t="n"/>
      <c r="C356" s="55" t="n"/>
      <c r="D356" s="19" t="n"/>
      <c r="E356" s="24" t="n"/>
      <c r="F356" s="25" t="n"/>
      <c r="G356" s="25" t="n"/>
      <c r="H356" s="25" t="n"/>
      <c r="I356" s="11" t="n"/>
      <c r="J356" s="57" t="n"/>
      <c r="K356" s="12" t="n"/>
      <c r="L356" s="22" t="n"/>
      <c r="M356" s="13" t="n"/>
      <c r="N356" s="14">
        <f>ROUND(I356*(SUM(J356:M356))*68%,0)</f>
        <v/>
      </c>
      <c r="O356" s="61" t="n"/>
      <c r="P356" s="59" t="n"/>
      <c r="Q356" s="59" t="n"/>
      <c r="R356" s="58" t="n"/>
      <c r="S356" s="15">
        <f>I356*J356</f>
        <v/>
      </c>
      <c r="T356" s="15">
        <f>SUM(S356:S356)*68%</f>
        <v/>
      </c>
      <c r="U356" s="15">
        <f>I356*K356*40%*O356</f>
        <v/>
      </c>
      <c r="V356" s="15">
        <f>IF(P356&gt;=6750,(I356*K356*40%),0)</f>
        <v/>
      </c>
      <c r="W356" s="15">
        <f>IF(P356&lt;6750,0,IF(Q356="",0,IF(OR(Q356="KURANG",Q356="SANGAT KURANG"),I356*K356*10%,I356*K356*20%)))</f>
        <v/>
      </c>
      <c r="X356" s="15">
        <f>SUM(U356:W356)*68%</f>
        <v/>
      </c>
      <c r="Y356" s="15">
        <f>I356*L356</f>
        <v/>
      </c>
      <c r="Z356" s="15">
        <f>Y356 * 68%</f>
        <v/>
      </c>
      <c r="AA356" s="15">
        <f>I356*M356</f>
        <v/>
      </c>
      <c r="AB356" s="15">
        <f>AA356*68%</f>
        <v/>
      </c>
      <c r="AC356" s="16">
        <f>ROUND((T356+X356+Z356+AB356),0)</f>
        <v/>
      </c>
      <c r="AD356" s="16">
        <f>AG356</f>
        <v/>
      </c>
      <c r="AE356" s="16">
        <f>AI356</f>
        <v/>
      </c>
      <c r="AF356" s="16">
        <f>AC356+AD356+AE356</f>
        <v/>
      </c>
      <c r="AG356" s="16" t="n"/>
      <c r="AH356" s="17" t="n"/>
      <c r="AI356" s="17">
        <f>AH356*4</f>
        <v/>
      </c>
      <c r="AJ356" s="15">
        <f>AF356-AG356-AH356-AI356</f>
        <v/>
      </c>
      <c r="AK356" s="18" t="n">
        <v>349</v>
      </c>
      <c r="AL356" s="23" t="n"/>
    </row>
    <row r="357" ht="23.5" customHeight="1">
      <c r="A357" s="6" t="inlineStr">
        <is>
          <t>350</t>
        </is>
      </c>
      <c r="B357" s="28" t="n"/>
      <c r="C357" s="55" t="n"/>
      <c r="D357" s="19" t="n"/>
      <c r="E357" s="24" t="n"/>
      <c r="F357" s="25" t="n"/>
      <c r="G357" s="25" t="n"/>
      <c r="H357" s="25" t="n"/>
      <c r="I357" s="11" t="n"/>
      <c r="J357" s="57" t="n"/>
      <c r="K357" s="12" t="n"/>
      <c r="L357" s="22" t="n"/>
      <c r="M357" s="13" t="n"/>
      <c r="N357" s="14">
        <f>ROUND(I357*(SUM(J357:M357))*68%,0)</f>
        <v/>
      </c>
      <c r="O357" s="61" t="n"/>
      <c r="P357" s="59" t="n"/>
      <c r="Q357" s="59" t="n"/>
      <c r="R357" s="58" t="n"/>
      <c r="S357" s="15">
        <f>I357*J357</f>
        <v/>
      </c>
      <c r="T357" s="15">
        <f>SUM(S357:S357)*68%</f>
        <v/>
      </c>
      <c r="U357" s="15">
        <f>I357*K357*40%*O357</f>
        <v/>
      </c>
      <c r="V357" s="15">
        <f>IF(P357&gt;=6750,(I357*K357*40%),0)</f>
        <v/>
      </c>
      <c r="W357" s="15">
        <f>IF(P357&lt;6750,0,IF(Q357="",0,IF(OR(Q357="KURANG",Q357="SANGAT KURANG"),I357*K357*10%,I357*K357*20%)))</f>
        <v/>
      </c>
      <c r="X357" s="15">
        <f>SUM(U357:W357)*68%</f>
        <v/>
      </c>
      <c r="Y357" s="15">
        <f>I357*L357</f>
        <v/>
      </c>
      <c r="Z357" s="15">
        <f>Y357 * 68%</f>
        <v/>
      </c>
      <c r="AA357" s="15">
        <f>I357*M357</f>
        <v/>
      </c>
      <c r="AB357" s="15">
        <f>AA357*68%</f>
        <v/>
      </c>
      <c r="AC357" s="16">
        <f>ROUND((T357+X357+Z357+AB357),0)</f>
        <v/>
      </c>
      <c r="AD357" s="16">
        <f>AG357</f>
        <v/>
      </c>
      <c r="AE357" s="16">
        <f>AI357</f>
        <v/>
      </c>
      <c r="AF357" s="16">
        <f>AC357+AD357+AE357</f>
        <v/>
      </c>
      <c r="AG357" s="16" t="n"/>
      <c r="AH357" s="17" t="n"/>
      <c r="AI357" s="17">
        <f>AH357*4</f>
        <v/>
      </c>
      <c r="AJ357" s="15">
        <f>AF357-AG357-AH357-AI357</f>
        <v/>
      </c>
      <c r="AK357" s="18" t="n">
        <v>350</v>
      </c>
      <c r="AL357" s="40" t="n"/>
    </row>
    <row r="358" ht="23.5" customHeight="1">
      <c r="A358" s="6" t="inlineStr">
        <is>
          <t>351</t>
        </is>
      </c>
      <c r="B358" s="24" t="n"/>
      <c r="C358" s="55" t="n"/>
      <c r="D358" s="19" t="n"/>
      <c r="E358" s="24" t="n"/>
      <c r="F358" s="25" t="n"/>
      <c r="G358" s="25" t="n"/>
      <c r="H358" s="25" t="n"/>
      <c r="I358" s="11" t="n"/>
      <c r="J358" s="57" t="n"/>
      <c r="K358" s="12" t="n"/>
      <c r="L358" s="22" t="n"/>
      <c r="M358" s="13" t="n"/>
      <c r="N358" s="14">
        <f>ROUND(I358*(SUM(J358:M358))*68%,0)</f>
        <v/>
      </c>
      <c r="O358" s="61" t="n"/>
      <c r="P358" s="59" t="n"/>
      <c r="Q358" s="59" t="n"/>
      <c r="R358" s="58" t="n"/>
      <c r="S358" s="15">
        <f>I358*J358</f>
        <v/>
      </c>
      <c r="T358" s="15">
        <f>SUM(S358:S358)*68%</f>
        <v/>
      </c>
      <c r="U358" s="15">
        <f>I358*K358*40%*O358</f>
        <v/>
      </c>
      <c r="V358" s="15">
        <f>IF(P358&gt;=6750,(I358*K358*40%),0)</f>
        <v/>
      </c>
      <c r="W358" s="15">
        <f>IF(P358&lt;6750,0,IF(Q358="",0,IF(OR(Q358="KURANG",Q358="SANGAT KURANG"),I358*K358*10%,I358*K358*20%)))</f>
        <v/>
      </c>
      <c r="X358" s="15">
        <f>SUM(U358:W358)*68%</f>
        <v/>
      </c>
      <c r="Y358" s="15">
        <f>I358*L358</f>
        <v/>
      </c>
      <c r="Z358" s="15">
        <f>Y358 * 68%</f>
        <v/>
      </c>
      <c r="AA358" s="15">
        <f>I358*M358</f>
        <v/>
      </c>
      <c r="AB358" s="15">
        <f>AA358*68%</f>
        <v/>
      </c>
      <c r="AC358" s="16">
        <f>ROUND((T358+X358+Z358+AB358),0)</f>
        <v/>
      </c>
      <c r="AD358" s="16">
        <f>AG358</f>
        <v/>
      </c>
      <c r="AE358" s="16">
        <f>AI358</f>
        <v/>
      </c>
      <c r="AF358" s="16">
        <f>AC358+AD358+AE358</f>
        <v/>
      </c>
      <c r="AG358" s="16" t="n"/>
      <c r="AH358" s="17" t="n"/>
      <c r="AI358" s="17">
        <f>AH358*4</f>
        <v/>
      </c>
      <c r="AJ358" s="15">
        <f>AF358-AG358-AH358-AI358</f>
        <v/>
      </c>
      <c r="AK358" s="18" t="n">
        <v>351</v>
      </c>
      <c r="AL358" s="23" t="n"/>
    </row>
    <row r="359" ht="23.5" customHeight="1">
      <c r="A359" s="6" t="inlineStr">
        <is>
          <t>352</t>
        </is>
      </c>
      <c r="B359" s="24" t="n"/>
      <c r="C359" s="55" t="n"/>
      <c r="D359" s="19" t="n"/>
      <c r="E359" s="24" t="n"/>
      <c r="F359" s="25" t="n"/>
      <c r="G359" s="25" t="n"/>
      <c r="H359" s="25" t="n"/>
      <c r="I359" s="11" t="n"/>
      <c r="J359" s="57" t="n"/>
      <c r="K359" s="12" t="n"/>
      <c r="L359" s="22" t="n"/>
      <c r="M359" s="13" t="n"/>
      <c r="N359" s="14">
        <f>ROUND(I359*(SUM(J359:M359))*68%,0)</f>
        <v/>
      </c>
      <c r="O359" s="61" t="n"/>
      <c r="P359" s="59" t="n"/>
      <c r="Q359" s="59" t="n"/>
      <c r="R359" s="58" t="n"/>
      <c r="S359" s="15">
        <f>I359*J359</f>
        <v/>
      </c>
      <c r="T359" s="15">
        <f>SUM(S359:S359)*68%</f>
        <v/>
      </c>
      <c r="U359" s="15">
        <f>I359*K359*40%*O359</f>
        <v/>
      </c>
      <c r="V359" s="15">
        <f>IF(P359&gt;=6750,(I359*K359*40%),0)</f>
        <v/>
      </c>
      <c r="W359" s="15">
        <f>IF(P359&lt;6750,0,IF(Q359="",0,IF(OR(Q359="KURANG",Q359="SANGAT KURANG"),I359*K359*10%,I359*K359*20%)))</f>
        <v/>
      </c>
      <c r="X359" s="15">
        <f>SUM(U359:W359)*68%</f>
        <v/>
      </c>
      <c r="Y359" s="15">
        <f>I359*L359</f>
        <v/>
      </c>
      <c r="Z359" s="15">
        <f>Y359 * 68%</f>
        <v/>
      </c>
      <c r="AA359" s="15">
        <f>I359*M359</f>
        <v/>
      </c>
      <c r="AB359" s="15">
        <f>AA359*68%</f>
        <v/>
      </c>
      <c r="AC359" s="16">
        <f>ROUND((T359+X359+Z359+AB359),0)</f>
        <v/>
      </c>
      <c r="AD359" s="16">
        <f>AG359</f>
        <v/>
      </c>
      <c r="AE359" s="16">
        <f>AI359</f>
        <v/>
      </c>
      <c r="AF359" s="16">
        <f>AC359+AD359+AE359</f>
        <v/>
      </c>
      <c r="AG359" s="16" t="n"/>
      <c r="AH359" s="17" t="n"/>
      <c r="AI359" s="17">
        <f>AH359*4</f>
        <v/>
      </c>
      <c r="AJ359" s="15">
        <f>AF359-AG359-AH359-AI359</f>
        <v/>
      </c>
      <c r="AK359" s="18" t="n">
        <v>352</v>
      </c>
      <c r="AL359" s="23" t="n"/>
    </row>
    <row r="360" ht="23.5" customHeight="1">
      <c r="A360" s="6" t="inlineStr">
        <is>
          <t>353</t>
        </is>
      </c>
      <c r="B360" s="24" t="n"/>
      <c r="C360" s="55" t="n"/>
      <c r="D360" s="19" t="n"/>
      <c r="E360" s="24" t="n"/>
      <c r="F360" s="25" t="n"/>
      <c r="G360" s="25" t="n"/>
      <c r="H360" s="25" t="n"/>
      <c r="I360" s="11" t="n"/>
      <c r="J360" s="57" t="n"/>
      <c r="K360" s="12" t="n"/>
      <c r="L360" s="22" t="n"/>
      <c r="M360" s="13" t="n"/>
      <c r="N360" s="14">
        <f>ROUND(I360*(SUM(J360:M360))*68%,0)</f>
        <v/>
      </c>
      <c r="O360" s="61" t="n"/>
      <c r="P360" s="59" t="n"/>
      <c r="Q360" s="59" t="n"/>
      <c r="R360" s="58" t="n"/>
      <c r="S360" s="15">
        <f>I360*J360</f>
        <v/>
      </c>
      <c r="T360" s="15">
        <f>SUM(S360:S360)*68%</f>
        <v/>
      </c>
      <c r="U360" s="15">
        <f>I360*K360*40%*O360</f>
        <v/>
      </c>
      <c r="V360" s="15">
        <f>IF(P360&gt;=6750,(I360*K360*40%),0)</f>
        <v/>
      </c>
      <c r="W360" s="15">
        <f>IF(P360&lt;6750,0,IF(Q360="",0,IF(OR(Q360="KURANG",Q360="SANGAT KURANG"),I360*K360*10%,I360*K360*20%)))</f>
        <v/>
      </c>
      <c r="X360" s="15">
        <f>SUM(U360:W360)*68%</f>
        <v/>
      </c>
      <c r="Y360" s="15">
        <f>I360*L360</f>
        <v/>
      </c>
      <c r="Z360" s="15">
        <f>Y360 * 68%</f>
        <v/>
      </c>
      <c r="AA360" s="15">
        <f>I360*M360</f>
        <v/>
      </c>
      <c r="AB360" s="15">
        <f>AA360*68%</f>
        <v/>
      </c>
      <c r="AC360" s="16">
        <f>ROUND((T360+X360+Z360+AB360),0)</f>
        <v/>
      </c>
      <c r="AD360" s="16">
        <f>AG360</f>
        <v/>
      </c>
      <c r="AE360" s="16">
        <f>AI360</f>
        <v/>
      </c>
      <c r="AF360" s="16">
        <f>AC360+AD360+AE360</f>
        <v/>
      </c>
      <c r="AG360" s="16" t="n"/>
      <c r="AH360" s="17" t="n"/>
      <c r="AI360" s="17">
        <f>AH360*4</f>
        <v/>
      </c>
      <c r="AJ360" s="15">
        <f>AF360-AG360-AH360-AI360</f>
        <v/>
      </c>
      <c r="AK360" s="18" t="n">
        <v>353</v>
      </c>
      <c r="AL360" s="40" t="n"/>
    </row>
    <row r="361" ht="23.5" customHeight="1">
      <c r="A361" s="6" t="inlineStr">
        <is>
          <t>354</t>
        </is>
      </c>
      <c r="B361" s="24" t="n"/>
      <c r="C361" s="55" t="n"/>
      <c r="D361" s="19" t="n"/>
      <c r="E361" s="24" t="n"/>
      <c r="F361" s="25" t="n"/>
      <c r="G361" s="25" t="n"/>
      <c r="H361" s="25" t="n"/>
      <c r="I361" s="11" t="n"/>
      <c r="J361" s="57" t="n"/>
      <c r="K361" s="12" t="n"/>
      <c r="L361" s="22" t="n"/>
      <c r="M361" s="13" t="n"/>
      <c r="N361" s="14">
        <f>ROUND(I361*(SUM(J361:M361))*68%,0)</f>
        <v/>
      </c>
      <c r="O361" s="61" t="n"/>
      <c r="P361" s="59" t="n"/>
      <c r="Q361" s="59" t="n"/>
      <c r="R361" s="58" t="n"/>
      <c r="S361" s="15">
        <f>I361*J361</f>
        <v/>
      </c>
      <c r="T361" s="15">
        <f>SUM(S361:S361)*68%</f>
        <v/>
      </c>
      <c r="U361" s="15">
        <f>I361*K361*40%*O361</f>
        <v/>
      </c>
      <c r="V361" s="15">
        <f>IF(P361&gt;=6750,(I361*K361*40%),0)</f>
        <v/>
      </c>
      <c r="W361" s="15">
        <f>IF(P361&lt;6750,0,IF(Q361="",0,IF(OR(Q361="KURANG",Q361="SANGAT KURANG"),I361*K361*10%,I361*K361*20%)))</f>
        <v/>
      </c>
      <c r="X361" s="15">
        <f>SUM(U361:W361)*68%</f>
        <v/>
      </c>
      <c r="Y361" s="15">
        <f>I361*L361</f>
        <v/>
      </c>
      <c r="Z361" s="15">
        <f>Y361 * 68%</f>
        <v/>
      </c>
      <c r="AA361" s="15">
        <f>I361*M361</f>
        <v/>
      </c>
      <c r="AB361" s="15">
        <f>AA361*68%</f>
        <v/>
      </c>
      <c r="AC361" s="16">
        <f>ROUND((T361+X361+Z361+AB361),0)</f>
        <v/>
      </c>
      <c r="AD361" s="16">
        <f>AG361</f>
        <v/>
      </c>
      <c r="AE361" s="16">
        <f>AI361</f>
        <v/>
      </c>
      <c r="AF361" s="16">
        <f>AC361+AD361+AE361</f>
        <v/>
      </c>
      <c r="AG361" s="16" t="n"/>
      <c r="AH361" s="17" t="n"/>
      <c r="AI361" s="17">
        <f>AH361*4</f>
        <v/>
      </c>
      <c r="AJ361" s="15">
        <f>AF361-AG361-AH361-AI361</f>
        <v/>
      </c>
      <c r="AK361" s="18" t="n">
        <v>354</v>
      </c>
      <c r="AL361" s="23" t="n"/>
    </row>
    <row r="362" ht="23.5" customHeight="1">
      <c r="A362" s="6" t="inlineStr">
        <is>
          <t>355</t>
        </is>
      </c>
      <c r="B362" s="24" t="n"/>
      <c r="C362" s="55" t="n"/>
      <c r="D362" s="19" t="n"/>
      <c r="E362" s="24" t="n"/>
      <c r="F362" s="25" t="n"/>
      <c r="G362" s="25" t="n"/>
      <c r="H362" s="25" t="n"/>
      <c r="I362" s="11" t="n"/>
      <c r="J362" s="57" t="n"/>
      <c r="K362" s="12" t="n"/>
      <c r="L362" s="22" t="n"/>
      <c r="M362" s="13" t="n"/>
      <c r="N362" s="14">
        <f>ROUND(I362*(SUM(J362:M362))*68%,0)</f>
        <v/>
      </c>
      <c r="O362" s="61" t="n"/>
      <c r="P362" s="59" t="n"/>
      <c r="Q362" s="59" t="n"/>
      <c r="R362" s="58" t="n"/>
      <c r="S362" s="15">
        <f>I362*J362</f>
        <v/>
      </c>
      <c r="T362" s="15">
        <f>SUM(S362:S362)*68%</f>
        <v/>
      </c>
      <c r="U362" s="15">
        <f>I362*K362*40%*O362</f>
        <v/>
      </c>
      <c r="V362" s="15">
        <f>IF(P362&gt;=6750,(I362*K362*40%),0)</f>
        <v/>
      </c>
      <c r="W362" s="15">
        <f>IF(P362&lt;6750,0,IF(Q362="",0,IF(OR(Q362="KURANG",Q362="SANGAT KURANG"),I362*K362*10%,I362*K362*20%)))</f>
        <v/>
      </c>
      <c r="X362" s="15">
        <f>SUM(U362:W362)*68%</f>
        <v/>
      </c>
      <c r="Y362" s="15">
        <f>I362*L362</f>
        <v/>
      </c>
      <c r="Z362" s="15">
        <f>Y362 * 68%</f>
        <v/>
      </c>
      <c r="AA362" s="15">
        <f>I362*M362</f>
        <v/>
      </c>
      <c r="AB362" s="15">
        <f>AA362*68%</f>
        <v/>
      </c>
      <c r="AC362" s="16">
        <f>ROUND((T362+X362+Z362+AB362),0)</f>
        <v/>
      </c>
      <c r="AD362" s="16">
        <f>AG362</f>
        <v/>
      </c>
      <c r="AE362" s="16">
        <f>AI362</f>
        <v/>
      </c>
      <c r="AF362" s="16">
        <f>AC362+AD362+AE362</f>
        <v/>
      </c>
      <c r="AG362" s="16" t="n"/>
      <c r="AH362" s="17" t="n"/>
      <c r="AI362" s="17">
        <f>AH362*4</f>
        <v/>
      </c>
      <c r="AJ362" s="15">
        <f>AF362-AG362-AH362-AI362</f>
        <v/>
      </c>
      <c r="AK362" s="18" t="n">
        <v>355</v>
      </c>
      <c r="AL362" s="23" t="n"/>
    </row>
    <row r="363" ht="23.5" customHeight="1">
      <c r="A363" s="6" t="inlineStr">
        <is>
          <t>356</t>
        </is>
      </c>
      <c r="B363" s="24" t="n"/>
      <c r="C363" s="55" t="n"/>
      <c r="D363" s="19" t="n"/>
      <c r="E363" s="24" t="n"/>
      <c r="F363" s="25" t="n"/>
      <c r="G363" s="25" t="n"/>
      <c r="H363" s="25" t="n"/>
      <c r="I363" s="11" t="n"/>
      <c r="J363" s="57" t="n"/>
      <c r="K363" s="12" t="n"/>
      <c r="L363" s="22" t="n"/>
      <c r="M363" s="13" t="n"/>
      <c r="N363" s="14">
        <f>ROUND(I363*(SUM(J363:M363))*68%,0)</f>
        <v/>
      </c>
      <c r="O363" s="61" t="n"/>
      <c r="P363" s="59" t="n"/>
      <c r="Q363" s="59" t="n"/>
      <c r="R363" s="58" t="n"/>
      <c r="S363" s="15">
        <f>I363*J363</f>
        <v/>
      </c>
      <c r="T363" s="15">
        <f>SUM(S363:S363)*68%</f>
        <v/>
      </c>
      <c r="U363" s="15">
        <f>I363*K363*40%*O363</f>
        <v/>
      </c>
      <c r="V363" s="15">
        <f>IF(P363&gt;=6750,(I363*K363*40%),0)</f>
        <v/>
      </c>
      <c r="W363" s="15">
        <f>IF(P363&lt;6750,0,IF(Q363="",0,IF(OR(Q363="KURANG",Q363="SANGAT KURANG"),I363*K363*10%,I363*K363*20%)))</f>
        <v/>
      </c>
      <c r="X363" s="15">
        <f>SUM(U363:W363)*68%</f>
        <v/>
      </c>
      <c r="Y363" s="15">
        <f>I363*L363</f>
        <v/>
      </c>
      <c r="Z363" s="15">
        <f>Y363 * 68%</f>
        <v/>
      </c>
      <c r="AA363" s="15">
        <f>I363*M363</f>
        <v/>
      </c>
      <c r="AB363" s="15">
        <f>AA363*68%</f>
        <v/>
      </c>
      <c r="AC363" s="16">
        <f>ROUND((T363+X363+Z363+AB363),0)</f>
        <v/>
      </c>
      <c r="AD363" s="16">
        <f>AG363</f>
        <v/>
      </c>
      <c r="AE363" s="16">
        <f>AI363</f>
        <v/>
      </c>
      <c r="AF363" s="16">
        <f>AC363+AD363+AE363</f>
        <v/>
      </c>
      <c r="AG363" s="16" t="n"/>
      <c r="AH363" s="17" t="n"/>
      <c r="AI363" s="17">
        <f>AH363*4</f>
        <v/>
      </c>
      <c r="AJ363" s="15">
        <f>AF363-AG363-AH363-AI363</f>
        <v/>
      </c>
      <c r="AK363" s="18" t="n">
        <v>356</v>
      </c>
      <c r="AL363" s="40" t="n"/>
    </row>
    <row r="364" ht="23.5" customHeight="1">
      <c r="A364" s="6" t="inlineStr">
        <is>
          <t>357</t>
        </is>
      </c>
      <c r="B364" s="24" t="n"/>
      <c r="C364" s="55" t="n"/>
      <c r="D364" s="19" t="n"/>
      <c r="E364" s="24" t="n"/>
      <c r="F364" s="25" t="n"/>
      <c r="G364" s="25" t="n"/>
      <c r="H364" s="25" t="n"/>
      <c r="I364" s="11" t="n"/>
      <c r="J364" s="57" t="n"/>
      <c r="K364" s="12" t="n"/>
      <c r="L364" s="22" t="n"/>
      <c r="M364" s="13" t="n"/>
      <c r="N364" s="14">
        <f>ROUND(I364*(SUM(J364:M364))*68%,0)</f>
        <v/>
      </c>
      <c r="O364" s="61" t="n"/>
      <c r="P364" s="59" t="n"/>
      <c r="Q364" s="59" t="n"/>
      <c r="R364" s="58" t="n"/>
      <c r="S364" s="15">
        <f>I364*J364</f>
        <v/>
      </c>
      <c r="T364" s="15">
        <f>SUM(S364:S364)*68%</f>
        <v/>
      </c>
      <c r="U364" s="15">
        <f>I364*K364*40%*O364</f>
        <v/>
      </c>
      <c r="V364" s="15">
        <f>IF(P364&gt;=6750,(I364*K364*40%),0)</f>
        <v/>
      </c>
      <c r="W364" s="15">
        <f>IF(P364&lt;6750,0,IF(Q364="",0,IF(OR(Q364="KURANG",Q364="SANGAT KURANG"),I364*K364*10%,I364*K364*20%)))</f>
        <v/>
      </c>
      <c r="X364" s="15">
        <f>SUM(U364:W364)*68%</f>
        <v/>
      </c>
      <c r="Y364" s="15">
        <f>I364*L364</f>
        <v/>
      </c>
      <c r="Z364" s="15">
        <f>Y364 * 68%</f>
        <v/>
      </c>
      <c r="AA364" s="15">
        <f>I364*M364</f>
        <v/>
      </c>
      <c r="AB364" s="15">
        <f>AA364*68%</f>
        <v/>
      </c>
      <c r="AC364" s="16">
        <f>ROUND((T364+X364+Z364+AB364),0)</f>
        <v/>
      </c>
      <c r="AD364" s="16">
        <f>AG364</f>
        <v/>
      </c>
      <c r="AE364" s="16">
        <f>AI364</f>
        <v/>
      </c>
      <c r="AF364" s="16">
        <f>AC364+AD364+AE364</f>
        <v/>
      </c>
      <c r="AG364" s="16" t="n"/>
      <c r="AH364" s="17" t="n"/>
      <c r="AI364" s="17">
        <f>AH364*4</f>
        <v/>
      </c>
      <c r="AJ364" s="15">
        <f>AF364-AG364-AH364-AI364</f>
        <v/>
      </c>
      <c r="AK364" s="18" t="n">
        <v>357</v>
      </c>
      <c r="AL364" s="23" t="n"/>
    </row>
    <row r="365" ht="23.5" customHeight="1">
      <c r="A365" s="6" t="inlineStr">
        <is>
          <t>358</t>
        </is>
      </c>
      <c r="B365" s="24" t="n"/>
      <c r="C365" s="55" t="n"/>
      <c r="D365" s="19" t="n"/>
      <c r="E365" s="24" t="n"/>
      <c r="F365" s="25" t="n"/>
      <c r="G365" s="25" t="n"/>
      <c r="H365" s="25" t="n"/>
      <c r="I365" s="11" t="n"/>
      <c r="J365" s="57" t="n"/>
      <c r="K365" s="12" t="n"/>
      <c r="L365" s="22" t="n"/>
      <c r="M365" s="13" t="n"/>
      <c r="N365" s="14">
        <f>ROUND(I365*(SUM(J365:M365))*68%,0)</f>
        <v/>
      </c>
      <c r="O365" s="61" t="n"/>
      <c r="P365" s="59" t="n"/>
      <c r="Q365" s="59" t="n"/>
      <c r="R365" s="58" t="n"/>
      <c r="S365" s="15">
        <f>I365*J365</f>
        <v/>
      </c>
      <c r="T365" s="15">
        <f>SUM(S365:S365)*68%</f>
        <v/>
      </c>
      <c r="U365" s="15">
        <f>I365*K365*40%*O365</f>
        <v/>
      </c>
      <c r="V365" s="15">
        <f>IF(P365&gt;=6750,(I365*K365*40%),0)</f>
        <v/>
      </c>
      <c r="W365" s="15">
        <f>IF(P365&lt;6750,0,IF(Q365="",0,IF(OR(Q365="KURANG",Q365="SANGAT KURANG"),I365*K365*10%,I365*K365*20%)))</f>
        <v/>
      </c>
      <c r="X365" s="15">
        <f>SUM(U365:W365)*68%</f>
        <v/>
      </c>
      <c r="Y365" s="15">
        <f>I365*L365</f>
        <v/>
      </c>
      <c r="Z365" s="15">
        <f>Y365 * 68%</f>
        <v/>
      </c>
      <c r="AA365" s="15">
        <f>I365*M365</f>
        <v/>
      </c>
      <c r="AB365" s="15">
        <f>AA365*68%</f>
        <v/>
      </c>
      <c r="AC365" s="16">
        <f>ROUND((T365+X365+Z365+AB365),0)</f>
        <v/>
      </c>
      <c r="AD365" s="16">
        <f>AG365</f>
        <v/>
      </c>
      <c r="AE365" s="16">
        <f>AI365</f>
        <v/>
      </c>
      <c r="AF365" s="16">
        <f>AC365+AD365+AE365</f>
        <v/>
      </c>
      <c r="AG365" s="16" t="n"/>
      <c r="AH365" s="17" t="n"/>
      <c r="AI365" s="17">
        <f>AH365*4</f>
        <v/>
      </c>
      <c r="AJ365" s="15">
        <f>AF365-AG365-AH365-AI365</f>
        <v/>
      </c>
      <c r="AK365" s="18" t="n">
        <v>358</v>
      </c>
      <c r="AL365" s="23" t="n"/>
    </row>
    <row r="366" ht="23.5" customHeight="1">
      <c r="A366" s="6" t="inlineStr">
        <is>
          <t>359</t>
        </is>
      </c>
      <c r="B366" s="24" t="n"/>
      <c r="C366" s="55" t="n"/>
      <c r="D366" s="19" t="n"/>
      <c r="E366" s="24" t="n"/>
      <c r="F366" s="25" t="n"/>
      <c r="G366" s="25" t="n"/>
      <c r="H366" s="25" t="n"/>
      <c r="I366" s="11" t="n"/>
      <c r="J366" s="57" t="n"/>
      <c r="K366" s="12" t="n"/>
      <c r="L366" s="22" t="n"/>
      <c r="M366" s="13" t="n"/>
      <c r="N366" s="14">
        <f>ROUND(I366*(SUM(J366:M366))*68%,0)</f>
        <v/>
      </c>
      <c r="O366" s="61" t="n"/>
      <c r="P366" s="59" t="n"/>
      <c r="Q366" s="59" t="n"/>
      <c r="R366" s="58" t="n"/>
      <c r="S366" s="15">
        <f>I366*J366</f>
        <v/>
      </c>
      <c r="T366" s="15">
        <f>SUM(S366:S366)*68%</f>
        <v/>
      </c>
      <c r="U366" s="15">
        <f>I366*K366*40%*O366</f>
        <v/>
      </c>
      <c r="V366" s="15">
        <f>IF(P366&gt;=6750,(I366*K366*40%),0)</f>
        <v/>
      </c>
      <c r="W366" s="15">
        <f>IF(P366&lt;6750,0,IF(Q366="",0,IF(OR(Q366="KURANG",Q366="SANGAT KURANG"),I366*K366*10%,I366*K366*20%)))</f>
        <v/>
      </c>
      <c r="X366" s="15">
        <f>SUM(U366:W366)*68%</f>
        <v/>
      </c>
      <c r="Y366" s="15">
        <f>I366*L366</f>
        <v/>
      </c>
      <c r="Z366" s="15">
        <f>Y366 * 68%</f>
        <v/>
      </c>
      <c r="AA366" s="15">
        <f>I366*M366</f>
        <v/>
      </c>
      <c r="AB366" s="15">
        <f>AA366*68%</f>
        <v/>
      </c>
      <c r="AC366" s="16">
        <f>ROUND((T366+X366+Z366+AB366),0)</f>
        <v/>
      </c>
      <c r="AD366" s="16">
        <f>AG366</f>
        <v/>
      </c>
      <c r="AE366" s="16">
        <f>AI366</f>
        <v/>
      </c>
      <c r="AF366" s="16">
        <f>AC366+AD366+AE366</f>
        <v/>
      </c>
      <c r="AG366" s="16" t="n"/>
      <c r="AH366" s="17" t="n"/>
      <c r="AI366" s="17">
        <f>AH366*4</f>
        <v/>
      </c>
      <c r="AJ366" s="15">
        <f>AF366-AG366-AH366-AI366</f>
        <v/>
      </c>
      <c r="AK366" s="18" t="n">
        <v>359</v>
      </c>
      <c r="AL366" s="40" t="n"/>
    </row>
    <row r="367" ht="23.5" customHeight="1">
      <c r="A367" s="6" t="inlineStr">
        <is>
          <t>360</t>
        </is>
      </c>
      <c r="B367" s="24" t="n"/>
      <c r="C367" s="55" t="n"/>
      <c r="D367" s="19" t="n"/>
      <c r="E367" s="24" t="n"/>
      <c r="F367" s="25" t="n"/>
      <c r="G367" s="25" t="n"/>
      <c r="H367" s="25" t="n"/>
      <c r="I367" s="11" t="n"/>
      <c r="J367" s="57" t="n"/>
      <c r="K367" s="12" t="n"/>
      <c r="L367" s="22" t="n"/>
      <c r="M367" s="13" t="n"/>
      <c r="N367" s="14">
        <f>ROUND(I367*(SUM(J367:M367))*68%,0)</f>
        <v/>
      </c>
      <c r="O367" s="61" t="n"/>
      <c r="P367" s="59" t="n"/>
      <c r="Q367" s="59" t="n"/>
      <c r="R367" s="58" t="n"/>
      <c r="S367" s="15">
        <f>I367*J367</f>
        <v/>
      </c>
      <c r="T367" s="15">
        <f>SUM(S367:S367)*68%</f>
        <v/>
      </c>
      <c r="U367" s="15">
        <f>I367*K367*40%*O367</f>
        <v/>
      </c>
      <c r="V367" s="15">
        <f>IF(P367&gt;=6750,(I367*K367*40%),0)</f>
        <v/>
      </c>
      <c r="W367" s="15">
        <f>IF(P367&lt;6750,0,IF(Q367="",0,IF(OR(Q367="KURANG",Q367="SANGAT KURANG"),I367*K367*10%,I367*K367*20%)))</f>
        <v/>
      </c>
      <c r="X367" s="15">
        <f>SUM(U367:W367)*68%</f>
        <v/>
      </c>
      <c r="Y367" s="15">
        <f>I367*L367</f>
        <v/>
      </c>
      <c r="Z367" s="15">
        <f>Y367 * 68%</f>
        <v/>
      </c>
      <c r="AA367" s="15">
        <f>I367*M367</f>
        <v/>
      </c>
      <c r="AB367" s="15">
        <f>AA367*68%</f>
        <v/>
      </c>
      <c r="AC367" s="16">
        <f>ROUND((T367+X367+Z367+AB367),0)</f>
        <v/>
      </c>
      <c r="AD367" s="16">
        <f>AG367</f>
        <v/>
      </c>
      <c r="AE367" s="16">
        <f>AI367</f>
        <v/>
      </c>
      <c r="AF367" s="16">
        <f>AC367+AD367+AE367</f>
        <v/>
      </c>
      <c r="AG367" s="16" t="n"/>
      <c r="AH367" s="17" t="n"/>
      <c r="AI367" s="17">
        <f>AH367*4</f>
        <v/>
      </c>
      <c r="AJ367" s="15">
        <f>AF367-AG367-AH367-AI367</f>
        <v/>
      </c>
      <c r="AK367" s="18" t="n">
        <v>360</v>
      </c>
      <c r="AL367" s="23" t="n"/>
    </row>
    <row r="368" ht="23.5" customHeight="1">
      <c r="A368" s="6" t="inlineStr">
        <is>
          <t>361</t>
        </is>
      </c>
      <c r="B368" s="24" t="n"/>
      <c r="C368" s="55" t="n"/>
      <c r="D368" s="19" t="n"/>
      <c r="E368" s="24" t="n"/>
      <c r="F368" s="25" t="n"/>
      <c r="G368" s="10" t="n"/>
      <c r="H368" s="8" t="n"/>
      <c r="I368" s="11" t="n"/>
      <c r="J368" s="57" t="n"/>
      <c r="K368" s="12" t="n"/>
      <c r="L368" s="13" t="n"/>
      <c r="M368" s="13" t="n"/>
      <c r="N368" s="14">
        <f>ROUND(I368*(SUM(J368:M368))*68%,0)</f>
        <v/>
      </c>
      <c r="O368" s="61" t="n"/>
      <c r="P368" s="59" t="n"/>
      <c r="Q368" s="59" t="n"/>
      <c r="R368" s="58" t="n"/>
      <c r="S368" s="15">
        <f>I368*J368</f>
        <v/>
      </c>
      <c r="T368" s="15">
        <f>SUM(S368:S368)*68%</f>
        <v/>
      </c>
      <c r="U368" s="15">
        <f>I368*K368*40%*O368</f>
        <v/>
      </c>
      <c r="V368" s="15">
        <f>IF(P368&gt;=6750,(I368*K368*40%),0)</f>
        <v/>
      </c>
      <c r="W368" s="15">
        <f>IF(P368&lt;6750,0,IF(Q368="",0,IF(OR(Q368="KURANG",Q368="SANGAT KURANG"),I368*K368*10%,I368*K368*20%)))</f>
        <v/>
      </c>
      <c r="X368" s="15">
        <f>SUM(U368:W368)*68%</f>
        <v/>
      </c>
      <c r="Y368" s="15">
        <f>I368*L368</f>
        <v/>
      </c>
      <c r="Z368" s="15">
        <f>Y368 * 68%</f>
        <v/>
      </c>
      <c r="AA368" s="15">
        <f>I368*M368</f>
        <v/>
      </c>
      <c r="AB368" s="15">
        <f>AA368*68%</f>
        <v/>
      </c>
      <c r="AC368" s="16">
        <f>ROUND((T368+X368+Z368+AB368),0)</f>
        <v/>
      </c>
      <c r="AD368" s="16">
        <f>AG368</f>
        <v/>
      </c>
      <c r="AE368" s="16">
        <f>AI368</f>
        <v/>
      </c>
      <c r="AF368" s="16">
        <f>AC368+AD368+AE368</f>
        <v/>
      </c>
      <c r="AG368" s="16" t="n"/>
      <c r="AH368" s="17" t="n"/>
      <c r="AI368" s="17">
        <f>AH368*4</f>
        <v/>
      </c>
      <c r="AJ368" s="15">
        <f>AF368-AG368-AH368-AI368</f>
        <v/>
      </c>
      <c r="AK368" s="18" t="n">
        <v>361</v>
      </c>
      <c r="AL368" s="23" t="n"/>
    </row>
    <row r="369" ht="23.5" customHeight="1">
      <c r="A369" s="6" t="inlineStr">
        <is>
          <t>362</t>
        </is>
      </c>
      <c r="B369" s="24" t="n"/>
      <c r="C369" s="55" t="n"/>
      <c r="D369" s="19" t="n"/>
      <c r="E369" s="24" t="n"/>
      <c r="F369" s="25" t="n"/>
      <c r="G369" s="10" t="n"/>
      <c r="H369" s="8" t="n"/>
      <c r="I369" s="11" t="n"/>
      <c r="J369" s="57" t="n"/>
      <c r="K369" s="12" t="n"/>
      <c r="L369" s="22" t="n"/>
      <c r="M369" s="13" t="n"/>
      <c r="N369" s="14">
        <f>ROUND(I369*(SUM(J369:M369))*68%,0)</f>
        <v/>
      </c>
      <c r="O369" s="61" t="n"/>
      <c r="P369" s="59" t="n"/>
      <c r="Q369" s="59" t="n"/>
      <c r="R369" s="58" t="n"/>
      <c r="S369" s="15">
        <f>I369*J369</f>
        <v/>
      </c>
      <c r="T369" s="15">
        <f>SUM(S369:S369)*68%</f>
        <v/>
      </c>
      <c r="U369" s="15">
        <f>I369*K369*40%*O369</f>
        <v/>
      </c>
      <c r="V369" s="15">
        <f>IF(P369&gt;=6750,(I369*K369*40%),0)</f>
        <v/>
      </c>
      <c r="W369" s="15">
        <f>IF(P369&lt;6750,0,IF(Q369="",0,IF(OR(Q369="KURANG",Q369="SANGAT KURANG"),I369*K369*10%,I369*K369*20%)))</f>
        <v/>
      </c>
      <c r="X369" s="15">
        <f>SUM(U369:W369)*68%</f>
        <v/>
      </c>
      <c r="Y369" s="15">
        <f>I369*L369</f>
        <v/>
      </c>
      <c r="Z369" s="15">
        <f>Y369 * 68%</f>
        <v/>
      </c>
      <c r="AA369" s="15">
        <f>I369*M369</f>
        <v/>
      </c>
      <c r="AB369" s="15">
        <f>AA369*68%</f>
        <v/>
      </c>
      <c r="AC369" s="16">
        <f>ROUND((T369+X369+Z369+AB369),0)</f>
        <v/>
      </c>
      <c r="AD369" s="16">
        <f>AG369</f>
        <v/>
      </c>
      <c r="AE369" s="16">
        <f>AI369</f>
        <v/>
      </c>
      <c r="AF369" s="16">
        <f>AC369+AD369+AE369</f>
        <v/>
      </c>
      <c r="AG369" s="16" t="n"/>
      <c r="AH369" s="17" t="n"/>
      <c r="AI369" s="17">
        <f>AH369*4</f>
        <v/>
      </c>
      <c r="AJ369" s="15">
        <f>AF369-AG369-AH369-AI369</f>
        <v/>
      </c>
      <c r="AK369" s="18" t="n">
        <v>362</v>
      </c>
      <c r="AL369" s="40" t="n"/>
    </row>
    <row r="370" ht="23.5" customHeight="1">
      <c r="A370" s="6" t="inlineStr">
        <is>
          <t>363</t>
        </is>
      </c>
      <c r="B370" s="28" t="n"/>
      <c r="C370" s="55" t="n"/>
      <c r="D370" s="19" t="n"/>
      <c r="E370" s="24" t="n"/>
      <c r="F370" s="25" t="n"/>
      <c r="G370" s="10" t="n"/>
      <c r="H370" s="8" t="n"/>
      <c r="I370" s="11" t="n"/>
      <c r="J370" s="57" t="n"/>
      <c r="K370" s="12" t="n"/>
      <c r="L370" s="22" t="n"/>
      <c r="M370" s="13" t="n"/>
      <c r="N370" s="14">
        <f>ROUND(I370*(SUM(J370:M370))*68%,0)</f>
        <v/>
      </c>
      <c r="O370" s="61" t="n"/>
      <c r="P370" s="59" t="n"/>
      <c r="Q370" s="59" t="n"/>
      <c r="R370" s="58" t="n"/>
      <c r="S370" s="15">
        <f>I370*J370</f>
        <v/>
      </c>
      <c r="T370" s="15">
        <f>SUM(S370:S370)*68%</f>
        <v/>
      </c>
      <c r="U370" s="15">
        <f>I370*K370*40%*O370</f>
        <v/>
      </c>
      <c r="V370" s="15">
        <f>IF(P370&gt;=6750,(I370*K370*40%),0)</f>
        <v/>
      </c>
      <c r="W370" s="15">
        <f>IF(P370&lt;6750,0,IF(Q370="",0,IF(OR(Q370="KURANG",Q370="SANGAT KURANG"),I370*K370*10%,I370*K370*20%)))</f>
        <v/>
      </c>
      <c r="X370" s="15">
        <f>SUM(U370:W370)*68%</f>
        <v/>
      </c>
      <c r="Y370" s="15">
        <f>I370*L370</f>
        <v/>
      </c>
      <c r="Z370" s="15">
        <f>Y370 * 68%</f>
        <v/>
      </c>
      <c r="AA370" s="15">
        <f>I370*M370</f>
        <v/>
      </c>
      <c r="AB370" s="15">
        <f>AA370*68%</f>
        <v/>
      </c>
      <c r="AC370" s="16">
        <f>ROUND((T370+X370+Z370+AB370),0)</f>
        <v/>
      </c>
      <c r="AD370" s="16">
        <f>AG370</f>
        <v/>
      </c>
      <c r="AE370" s="16">
        <f>AI370</f>
        <v/>
      </c>
      <c r="AF370" s="16">
        <f>AC370+AD370+AE370</f>
        <v/>
      </c>
      <c r="AG370" s="16" t="n"/>
      <c r="AH370" s="17" t="n"/>
      <c r="AI370" s="17">
        <f>AH370*4</f>
        <v/>
      </c>
      <c r="AJ370" s="15">
        <f>AF370-AG370-AH370-AI370</f>
        <v/>
      </c>
      <c r="AK370" s="18" t="n">
        <v>363</v>
      </c>
      <c r="AL370" s="23" t="n"/>
    </row>
    <row r="371" ht="23.5" customHeight="1">
      <c r="A371" s="6" t="inlineStr">
        <is>
          <t>364</t>
        </is>
      </c>
      <c r="B371" s="24" t="n"/>
      <c r="C371" s="55" t="n"/>
      <c r="D371" s="19" t="n"/>
      <c r="E371" s="24" t="n"/>
      <c r="F371" s="25" t="n"/>
      <c r="G371" s="10" t="n"/>
      <c r="H371" s="8" t="n"/>
      <c r="I371" s="11" t="n"/>
      <c r="J371" s="57" t="n"/>
      <c r="K371" s="12" t="n"/>
      <c r="L371" s="22" t="n"/>
      <c r="M371" s="13" t="n"/>
      <c r="N371" s="14">
        <f>ROUND(I371*(SUM(J371:M371))*68%,0)</f>
        <v/>
      </c>
      <c r="O371" s="61" t="n"/>
      <c r="P371" s="59" t="n"/>
      <c r="Q371" s="59" t="n"/>
      <c r="R371" s="58" t="n"/>
      <c r="S371" s="15">
        <f>I371*J371</f>
        <v/>
      </c>
      <c r="T371" s="15">
        <f>SUM(S371:S371)*68%</f>
        <v/>
      </c>
      <c r="U371" s="15">
        <f>I371*K371*40%*O371</f>
        <v/>
      </c>
      <c r="V371" s="15">
        <f>IF(P371&gt;=6750,(I371*K371*40%),0)</f>
        <v/>
      </c>
      <c r="W371" s="15">
        <f>IF(P371&lt;6750,0,IF(Q371="",0,IF(OR(Q371="KURANG",Q371="SANGAT KURANG"),I371*K371*10%,I371*K371*20%)))</f>
        <v/>
      </c>
      <c r="X371" s="15">
        <f>SUM(U371:W371)*68%</f>
        <v/>
      </c>
      <c r="Y371" s="15">
        <f>I371*L371</f>
        <v/>
      </c>
      <c r="Z371" s="15">
        <f>Y371 * 68%</f>
        <v/>
      </c>
      <c r="AA371" s="15">
        <f>I371*M371</f>
        <v/>
      </c>
      <c r="AB371" s="15">
        <f>AA371*68%</f>
        <v/>
      </c>
      <c r="AC371" s="16">
        <f>ROUND((T371+X371+Z371+AB371),0)</f>
        <v/>
      </c>
      <c r="AD371" s="16">
        <f>AG371</f>
        <v/>
      </c>
      <c r="AE371" s="16">
        <f>AI371</f>
        <v/>
      </c>
      <c r="AF371" s="16">
        <f>AC371+AD371+AE371</f>
        <v/>
      </c>
      <c r="AG371" s="16" t="n"/>
      <c r="AH371" s="17" t="n"/>
      <c r="AI371" s="17">
        <f>AH371*4</f>
        <v/>
      </c>
      <c r="AJ371" s="15">
        <f>AF371-AG371-AH371-AI371</f>
        <v/>
      </c>
      <c r="AK371" s="18" t="n">
        <v>364</v>
      </c>
      <c r="AL371" s="23" t="n"/>
    </row>
    <row r="372" ht="23.5" customHeight="1">
      <c r="A372" s="6" t="inlineStr">
        <is>
          <t>365</t>
        </is>
      </c>
      <c r="B372" s="24" t="n"/>
      <c r="C372" s="55" t="n"/>
      <c r="D372" s="19" t="n"/>
      <c r="E372" s="24" t="n"/>
      <c r="F372" s="25" t="n"/>
      <c r="G372" s="10" t="n"/>
      <c r="H372" s="8" t="n"/>
      <c r="I372" s="11" t="n"/>
      <c r="J372" s="57" t="n"/>
      <c r="K372" s="12" t="n"/>
      <c r="L372" s="22" t="n"/>
      <c r="M372" s="13" t="n"/>
      <c r="N372" s="14">
        <f>ROUND(I372*(SUM(J372:M372))*68%,0)</f>
        <v/>
      </c>
      <c r="O372" s="61" t="n"/>
      <c r="P372" s="59" t="n"/>
      <c r="Q372" s="59" t="n"/>
      <c r="R372" s="58" t="n"/>
      <c r="S372" s="15">
        <f>I372*J372</f>
        <v/>
      </c>
      <c r="T372" s="15">
        <f>SUM(S372:S372)*68%</f>
        <v/>
      </c>
      <c r="U372" s="15">
        <f>I372*K372*40%*O372</f>
        <v/>
      </c>
      <c r="V372" s="15">
        <f>IF(P372&gt;=6750,(I372*K372*40%),0)</f>
        <v/>
      </c>
      <c r="W372" s="15">
        <f>IF(P372&lt;6750,0,IF(Q372="",0,IF(OR(Q372="KURANG",Q372="SANGAT KURANG"),I372*K372*10%,I372*K372*20%)))</f>
        <v/>
      </c>
      <c r="X372" s="15">
        <f>SUM(U372:W372)*68%</f>
        <v/>
      </c>
      <c r="Y372" s="15">
        <f>I372*L372</f>
        <v/>
      </c>
      <c r="Z372" s="15">
        <f>Y372 * 68%</f>
        <v/>
      </c>
      <c r="AA372" s="15">
        <f>I372*M372</f>
        <v/>
      </c>
      <c r="AB372" s="15">
        <f>AA372*68%</f>
        <v/>
      </c>
      <c r="AC372" s="16">
        <f>ROUND((T372+X372+Z372+AB372),0)</f>
        <v/>
      </c>
      <c r="AD372" s="16">
        <f>AG372</f>
        <v/>
      </c>
      <c r="AE372" s="16">
        <f>AI372</f>
        <v/>
      </c>
      <c r="AF372" s="16">
        <f>AC372+AD372+AE372</f>
        <v/>
      </c>
      <c r="AG372" s="16" t="n"/>
      <c r="AH372" s="17" t="n"/>
      <c r="AI372" s="17">
        <f>AH372*4</f>
        <v/>
      </c>
      <c r="AJ372" s="15">
        <f>AF372-AG372-AH372-AI372</f>
        <v/>
      </c>
      <c r="AK372" s="18" t="n">
        <v>365</v>
      </c>
      <c r="AL372" s="40" t="n"/>
    </row>
    <row r="373" ht="23.5" customHeight="1">
      <c r="A373" s="6" t="inlineStr">
        <is>
          <t>366</t>
        </is>
      </c>
      <c r="B373" s="24" t="n"/>
      <c r="C373" s="55" t="n"/>
      <c r="D373" s="19" t="n"/>
      <c r="E373" s="24" t="n"/>
      <c r="F373" s="25" t="n"/>
      <c r="G373" s="10" t="n"/>
      <c r="H373" s="8" t="n"/>
      <c r="I373" s="11" t="n"/>
      <c r="J373" s="57" t="n"/>
      <c r="K373" s="12" t="n"/>
      <c r="L373" s="22" t="n"/>
      <c r="M373" s="13" t="n"/>
      <c r="N373" s="14">
        <f>ROUND(I373*(SUM(J373:M373))*68%,0)</f>
        <v/>
      </c>
      <c r="O373" s="61" t="n"/>
      <c r="P373" s="59" t="n"/>
      <c r="Q373" s="59" t="n"/>
      <c r="R373" s="58" t="n"/>
      <c r="S373" s="15">
        <f>I373*J373</f>
        <v/>
      </c>
      <c r="T373" s="15">
        <f>SUM(S373:S373)*68%</f>
        <v/>
      </c>
      <c r="U373" s="15">
        <f>I373*K373*40%*O373</f>
        <v/>
      </c>
      <c r="V373" s="15">
        <f>IF(P373&gt;=6750,(I373*K373*40%),0)</f>
        <v/>
      </c>
      <c r="W373" s="15">
        <f>IF(P373&lt;6750,0,IF(Q373="",0,IF(OR(Q373="KURANG",Q373="SANGAT KURANG"),I373*K373*10%,I373*K373*20%)))</f>
        <v/>
      </c>
      <c r="X373" s="15">
        <f>SUM(U373:W373)*68%</f>
        <v/>
      </c>
      <c r="Y373" s="15">
        <f>I373*L373</f>
        <v/>
      </c>
      <c r="Z373" s="15">
        <f>Y373 * 68%</f>
        <v/>
      </c>
      <c r="AA373" s="15">
        <f>I373*M373</f>
        <v/>
      </c>
      <c r="AB373" s="15">
        <f>AA373*68%</f>
        <v/>
      </c>
      <c r="AC373" s="16">
        <f>ROUND((T373+X373+Z373+AB373),0)</f>
        <v/>
      </c>
      <c r="AD373" s="16">
        <f>AG373</f>
        <v/>
      </c>
      <c r="AE373" s="16">
        <f>AI373</f>
        <v/>
      </c>
      <c r="AF373" s="16">
        <f>AC373+AD373+AE373</f>
        <v/>
      </c>
      <c r="AG373" s="16" t="n"/>
      <c r="AH373" s="17" t="n"/>
      <c r="AI373" s="17">
        <f>AH373*4</f>
        <v/>
      </c>
      <c r="AJ373" s="15">
        <f>AF373-AG373-AH373-AI373</f>
        <v/>
      </c>
      <c r="AK373" s="18" t="n">
        <v>366</v>
      </c>
      <c r="AL373" s="23" t="n"/>
    </row>
    <row r="374" ht="23.5" customHeight="1">
      <c r="A374" s="6" t="inlineStr">
        <is>
          <t>367</t>
        </is>
      </c>
      <c r="B374" s="24" t="n"/>
      <c r="C374" s="55" t="n"/>
      <c r="D374" s="19" t="n"/>
      <c r="E374" s="24" t="n"/>
      <c r="F374" s="25" t="n"/>
      <c r="G374" s="10" t="n"/>
      <c r="H374" s="8" t="n"/>
      <c r="I374" s="11" t="n"/>
      <c r="J374" s="57" t="n"/>
      <c r="K374" s="12" t="n"/>
      <c r="L374" s="22" t="n"/>
      <c r="M374" s="13" t="n"/>
      <c r="N374" s="14">
        <f>ROUND(I374*(SUM(J374:M374))*68%,0)</f>
        <v/>
      </c>
      <c r="O374" s="61" t="n"/>
      <c r="P374" s="59" t="n"/>
      <c r="Q374" s="59" t="n"/>
      <c r="R374" s="58" t="n"/>
      <c r="S374" s="15">
        <f>I374*J374</f>
        <v/>
      </c>
      <c r="T374" s="15">
        <f>SUM(S374:S374)*68%</f>
        <v/>
      </c>
      <c r="U374" s="15">
        <f>I374*K374*40%*O374</f>
        <v/>
      </c>
      <c r="V374" s="15">
        <f>IF(P374&gt;=6750,(I374*K374*40%),0)</f>
        <v/>
      </c>
      <c r="W374" s="15">
        <f>IF(P374&lt;6750,0,IF(Q374="",0,IF(OR(Q374="KURANG",Q374="SANGAT KURANG"),I374*K374*10%,I374*K374*20%)))</f>
        <v/>
      </c>
      <c r="X374" s="15">
        <f>SUM(U374:W374)*68%</f>
        <v/>
      </c>
      <c r="Y374" s="15">
        <f>I374*L374</f>
        <v/>
      </c>
      <c r="Z374" s="15">
        <f>Y374 * 68%</f>
        <v/>
      </c>
      <c r="AA374" s="15">
        <f>I374*M374</f>
        <v/>
      </c>
      <c r="AB374" s="15">
        <f>AA374*68%</f>
        <v/>
      </c>
      <c r="AC374" s="16">
        <f>ROUND((T374+X374+Z374+AB374),0)</f>
        <v/>
      </c>
      <c r="AD374" s="16">
        <f>AG374</f>
        <v/>
      </c>
      <c r="AE374" s="16">
        <f>AI374</f>
        <v/>
      </c>
      <c r="AF374" s="16">
        <f>AC374+AD374+AE374</f>
        <v/>
      </c>
      <c r="AG374" s="16" t="n"/>
      <c r="AH374" s="17" t="n"/>
      <c r="AI374" s="17">
        <f>AH374*4</f>
        <v/>
      </c>
      <c r="AJ374" s="15">
        <f>AF374-AG374-AH374-AI374</f>
        <v/>
      </c>
      <c r="AK374" s="18" t="n">
        <v>367</v>
      </c>
      <c r="AL374" s="23" t="n"/>
    </row>
    <row r="375" ht="23.5" customHeight="1">
      <c r="A375" s="6" t="inlineStr">
        <is>
          <t>368</t>
        </is>
      </c>
      <c r="B375" s="24" t="n"/>
      <c r="C375" s="55" t="n"/>
      <c r="D375" s="19" t="n"/>
      <c r="E375" s="24" t="n"/>
      <c r="F375" s="25" t="n"/>
      <c r="G375" s="10" t="n"/>
      <c r="H375" s="8" t="n"/>
      <c r="I375" s="11" t="n"/>
      <c r="J375" s="57" t="n"/>
      <c r="K375" s="12" t="n"/>
      <c r="L375" s="22" t="n"/>
      <c r="M375" s="13" t="n"/>
      <c r="N375" s="14">
        <f>ROUND(I375*(SUM(J375:M375))*68%,0)</f>
        <v/>
      </c>
      <c r="O375" s="61" t="n"/>
      <c r="P375" s="59" t="n"/>
      <c r="Q375" s="59" t="n"/>
      <c r="R375" s="58" t="n"/>
      <c r="S375" s="15">
        <f>I375*J375</f>
        <v/>
      </c>
      <c r="T375" s="15">
        <f>SUM(S375:S375)*68%</f>
        <v/>
      </c>
      <c r="U375" s="15">
        <f>I375*K375*40%*O375</f>
        <v/>
      </c>
      <c r="V375" s="15">
        <f>IF(P375&gt;=6750,(I375*K375*40%),0)</f>
        <v/>
      </c>
      <c r="W375" s="15">
        <f>IF(P375&lt;6750,0,IF(Q375="",0,IF(OR(Q375="KURANG",Q375="SANGAT KURANG"),I375*K375*10%,I375*K375*20%)))</f>
        <v/>
      </c>
      <c r="X375" s="15">
        <f>SUM(U375:W375)*68%</f>
        <v/>
      </c>
      <c r="Y375" s="15">
        <f>I375*L375</f>
        <v/>
      </c>
      <c r="Z375" s="15">
        <f>Y375 * 68%</f>
        <v/>
      </c>
      <c r="AA375" s="15">
        <f>I375*M375</f>
        <v/>
      </c>
      <c r="AB375" s="15">
        <f>AA375*68%</f>
        <v/>
      </c>
      <c r="AC375" s="16">
        <f>ROUND((T375+X375+Z375+AB375),0)</f>
        <v/>
      </c>
      <c r="AD375" s="16">
        <f>AG375</f>
        <v/>
      </c>
      <c r="AE375" s="16">
        <f>AI375</f>
        <v/>
      </c>
      <c r="AF375" s="16">
        <f>AC375+AD375+AE375</f>
        <v/>
      </c>
      <c r="AG375" s="16" t="n"/>
      <c r="AH375" s="17" t="n"/>
      <c r="AI375" s="17">
        <f>AH375*4</f>
        <v/>
      </c>
      <c r="AJ375" s="15">
        <f>AF375-AG375-AH375-AI375</f>
        <v/>
      </c>
      <c r="AK375" s="18" t="n">
        <v>368</v>
      </c>
      <c r="AL375" s="40" t="n"/>
    </row>
    <row r="376" ht="23.5" customHeight="1">
      <c r="A376" s="6" t="inlineStr">
        <is>
          <t>369</t>
        </is>
      </c>
      <c r="B376" s="28" t="n"/>
      <c r="C376" s="55" t="n"/>
      <c r="D376" s="19" t="n"/>
      <c r="E376" s="24" t="n"/>
      <c r="F376" s="25" t="n"/>
      <c r="G376" s="10" t="n"/>
      <c r="H376" s="8" t="n"/>
      <c r="I376" s="11" t="n"/>
      <c r="J376" s="57" t="n"/>
      <c r="K376" s="12" t="n"/>
      <c r="L376" s="22" t="n"/>
      <c r="M376" s="13" t="n"/>
      <c r="N376" s="14">
        <f>ROUND(I376*(SUM(J376:M376))*68%,0)</f>
        <v/>
      </c>
      <c r="O376" s="61" t="n"/>
      <c r="P376" s="59" t="n"/>
      <c r="Q376" s="59" t="n"/>
      <c r="R376" s="58" t="n"/>
      <c r="S376" s="15">
        <f>I376*J376</f>
        <v/>
      </c>
      <c r="T376" s="15">
        <f>SUM(S376:S376)*68%</f>
        <v/>
      </c>
      <c r="U376" s="15">
        <f>I376*K376*40%*O376</f>
        <v/>
      </c>
      <c r="V376" s="15">
        <f>IF(P376&gt;=6750,(I376*K376*40%),0)</f>
        <v/>
      </c>
      <c r="W376" s="15">
        <f>IF(P376&lt;6750,0,IF(Q376="",0,IF(OR(Q376="KURANG",Q376="SANGAT KURANG"),I376*K376*10%,I376*K376*20%)))</f>
        <v/>
      </c>
      <c r="X376" s="15">
        <f>SUM(U376:W376)*68%</f>
        <v/>
      </c>
      <c r="Y376" s="15">
        <f>I376*L376</f>
        <v/>
      </c>
      <c r="Z376" s="15">
        <f>Y376 * 68%</f>
        <v/>
      </c>
      <c r="AA376" s="15">
        <f>I376*M376</f>
        <v/>
      </c>
      <c r="AB376" s="15">
        <f>AA376*68%</f>
        <v/>
      </c>
      <c r="AC376" s="16">
        <f>ROUND((T376+X376+Z376+AB376),0)</f>
        <v/>
      </c>
      <c r="AD376" s="16">
        <f>AG376</f>
        <v/>
      </c>
      <c r="AE376" s="16">
        <f>AI376</f>
        <v/>
      </c>
      <c r="AF376" s="16">
        <f>AC376+AD376+AE376</f>
        <v/>
      </c>
      <c r="AG376" s="16" t="n"/>
      <c r="AH376" s="17" t="n"/>
      <c r="AI376" s="17">
        <f>AH376*4</f>
        <v/>
      </c>
      <c r="AJ376" s="15">
        <f>AF376-AG376-AH376-AI376</f>
        <v/>
      </c>
      <c r="AK376" s="18" t="n">
        <v>369</v>
      </c>
      <c r="AL376" s="23" t="n"/>
    </row>
    <row r="377" ht="23.5" customHeight="1">
      <c r="A377" s="6" t="inlineStr">
        <is>
          <t>370</t>
        </is>
      </c>
      <c r="B377" s="30" t="n"/>
      <c r="C377" s="55" t="n"/>
      <c r="D377" s="29" t="n"/>
      <c r="E377" s="30" t="n"/>
      <c r="F377" s="31" t="n"/>
      <c r="G377" s="32" t="n"/>
      <c r="H377" s="33" t="n"/>
      <c r="I377" s="11" t="n"/>
      <c r="J377" s="57" t="n"/>
      <c r="K377" s="12" t="n"/>
      <c r="L377" s="22" t="n"/>
      <c r="M377" s="13" t="n"/>
      <c r="N377" s="14">
        <f>ROUND(I377*(SUM(J377:M377))*68%,0)</f>
        <v/>
      </c>
      <c r="O377" s="61" t="n"/>
      <c r="P377" s="59" t="n"/>
      <c r="Q377" s="59" t="n"/>
      <c r="R377" s="58" t="n"/>
      <c r="S377" s="15">
        <f>I377*J377</f>
        <v/>
      </c>
      <c r="T377" s="15">
        <f>SUM(S377:S377)*68%</f>
        <v/>
      </c>
      <c r="U377" s="15">
        <f>I377*K377*40%*O377</f>
        <v/>
      </c>
      <c r="V377" s="15">
        <f>IF(P377&gt;=6750,(I377*K377*40%),0)</f>
        <v/>
      </c>
      <c r="W377" s="15">
        <f>IF(P377&lt;6750,0,IF(Q377="",0,IF(OR(Q377="KURANG",Q377="SANGAT KURANG"),I377*K377*10%,I377*K377*20%)))</f>
        <v/>
      </c>
      <c r="X377" s="15">
        <f>SUM(U377:W377)*68%</f>
        <v/>
      </c>
      <c r="Y377" s="15">
        <f>I377*L377</f>
        <v/>
      </c>
      <c r="Z377" s="15">
        <f>Y377 * 68%</f>
        <v/>
      </c>
      <c r="AA377" s="15">
        <f>I377*M377</f>
        <v/>
      </c>
      <c r="AB377" s="15">
        <f>AA377*68%</f>
        <v/>
      </c>
      <c r="AC377" s="16">
        <f>ROUND((T377+X377+Z377+AB377),0)</f>
        <v/>
      </c>
      <c r="AD377" s="16">
        <f>AG377</f>
        <v/>
      </c>
      <c r="AE377" s="16">
        <f>AI377</f>
        <v/>
      </c>
      <c r="AF377" s="16">
        <f>AC377+AD377+AE377</f>
        <v/>
      </c>
      <c r="AG377" s="16" t="n"/>
      <c r="AH377" s="17" t="n"/>
      <c r="AI377" s="17">
        <f>AH377*4</f>
        <v/>
      </c>
      <c r="AJ377" s="15">
        <f>AF377-AG377-AH377-AI377</f>
        <v/>
      </c>
      <c r="AK377" s="18" t="n">
        <v>370</v>
      </c>
      <c r="AL377" s="23" t="n"/>
    </row>
    <row r="378" ht="23.5" customHeight="1">
      <c r="A378" s="6" t="inlineStr">
        <is>
          <t>371</t>
        </is>
      </c>
      <c r="B378" s="24" t="n"/>
      <c r="C378" s="55" t="n"/>
      <c r="D378" s="19" t="n"/>
      <c r="E378" s="24" t="n"/>
      <c r="F378" s="25" t="n"/>
      <c r="G378" s="25" t="n"/>
      <c r="H378" s="24" t="n"/>
      <c r="I378" s="11" t="n"/>
      <c r="J378" s="57" t="n"/>
      <c r="K378" s="12" t="n"/>
      <c r="L378" s="22" t="n"/>
      <c r="M378" s="13" t="n"/>
      <c r="N378" s="14">
        <f>ROUND(I378*(SUM(J378:M378))*68%,0)</f>
        <v/>
      </c>
      <c r="O378" s="61" t="n"/>
      <c r="P378" s="59" t="n"/>
      <c r="Q378" s="59" t="n"/>
      <c r="R378" s="58" t="n"/>
      <c r="S378" s="15">
        <f>I378*J378</f>
        <v/>
      </c>
      <c r="T378" s="15">
        <f>SUM(S378:S378)*68%</f>
        <v/>
      </c>
      <c r="U378" s="15">
        <f>I378*K378*40%*O378</f>
        <v/>
      </c>
      <c r="V378" s="15">
        <f>IF(P378&gt;=6750,(I378*K378*40%),0)</f>
        <v/>
      </c>
      <c r="W378" s="15">
        <f>IF(P378&lt;6750,0,IF(Q378="",0,IF(OR(Q378="KURANG",Q378="SANGAT KURANG"),I378*K378*10%,I378*K378*20%)))</f>
        <v/>
      </c>
      <c r="X378" s="15">
        <f>SUM(U378:W378)*68%</f>
        <v/>
      </c>
      <c r="Y378" s="15">
        <f>I378*L378</f>
        <v/>
      </c>
      <c r="Z378" s="15">
        <f>Y378 * 68%</f>
        <v/>
      </c>
      <c r="AA378" s="15">
        <f>I378*M378</f>
        <v/>
      </c>
      <c r="AB378" s="15">
        <f>AA378*68%</f>
        <v/>
      </c>
      <c r="AC378" s="16">
        <f>ROUND((T378+X378+Z378+AB378),0)</f>
        <v/>
      </c>
      <c r="AD378" s="16">
        <f>AG378</f>
        <v/>
      </c>
      <c r="AE378" s="16">
        <f>AI378</f>
        <v/>
      </c>
      <c r="AF378" s="16">
        <f>AC378+AD378+AE378</f>
        <v/>
      </c>
      <c r="AG378" s="16" t="n"/>
      <c r="AH378" s="17" t="n"/>
      <c r="AI378" s="17">
        <f>AH378*4</f>
        <v/>
      </c>
      <c r="AJ378" s="15">
        <f>AF378-AG378-AH378-AI378</f>
        <v/>
      </c>
      <c r="AK378" s="18" t="n">
        <v>371</v>
      </c>
      <c r="AL378" s="40" t="n"/>
    </row>
    <row r="379" ht="23.5" customHeight="1">
      <c r="A379" s="6" t="inlineStr">
        <is>
          <t>372</t>
        </is>
      </c>
      <c r="B379" s="24" t="n"/>
      <c r="C379" s="55" t="n"/>
      <c r="D379" s="19" t="n"/>
      <c r="E379" s="24" t="n"/>
      <c r="F379" s="25" t="n"/>
      <c r="G379" s="25" t="n"/>
      <c r="H379" s="24" t="n"/>
      <c r="I379" s="11" t="n"/>
      <c r="J379" s="57" t="n"/>
      <c r="K379" s="12" t="n"/>
      <c r="L379" s="22" t="n"/>
      <c r="M379" s="13" t="n"/>
      <c r="N379" s="14">
        <f>ROUND(I379*(SUM(J379:M379))*68%,0)</f>
        <v/>
      </c>
      <c r="O379" s="61" t="n"/>
      <c r="P379" s="59" t="n"/>
      <c r="Q379" s="59" t="n"/>
      <c r="R379" s="58" t="n"/>
      <c r="S379" s="15">
        <f>I379*J379</f>
        <v/>
      </c>
      <c r="T379" s="15">
        <f>SUM(S379:S379)*68%</f>
        <v/>
      </c>
      <c r="U379" s="15">
        <f>I379*K379*40%*O379</f>
        <v/>
      </c>
      <c r="V379" s="15">
        <f>IF(P379&gt;=6750,(I379*K379*40%),0)</f>
        <v/>
      </c>
      <c r="W379" s="15">
        <f>IF(P379&lt;6750,0,IF(Q379="",0,IF(OR(Q379="KURANG",Q379="SANGAT KURANG"),I379*K379*10%,I379*K379*20%)))</f>
        <v/>
      </c>
      <c r="X379" s="15">
        <f>SUM(U379:W379)*68%</f>
        <v/>
      </c>
      <c r="Y379" s="15">
        <f>I379*L379</f>
        <v/>
      </c>
      <c r="Z379" s="15">
        <f>Y379 * 68%</f>
        <v/>
      </c>
      <c r="AA379" s="15">
        <f>I379*M379</f>
        <v/>
      </c>
      <c r="AB379" s="15">
        <f>AA379*68%</f>
        <v/>
      </c>
      <c r="AC379" s="16">
        <f>ROUND((T379+X379+Z379+AB379),0)</f>
        <v/>
      </c>
      <c r="AD379" s="16">
        <f>AG379</f>
        <v/>
      </c>
      <c r="AE379" s="16">
        <f>AI379</f>
        <v/>
      </c>
      <c r="AF379" s="16">
        <f>AC379+AD379+AE379</f>
        <v/>
      </c>
      <c r="AG379" s="16" t="n"/>
      <c r="AH379" s="17" t="n"/>
      <c r="AI379" s="17">
        <f>AH379*4</f>
        <v/>
      </c>
      <c r="AJ379" s="15">
        <f>AF379-AG379-AH379-AI379</f>
        <v/>
      </c>
      <c r="AK379" s="18" t="n">
        <v>372</v>
      </c>
      <c r="AL379" s="23" t="n"/>
    </row>
    <row r="380" ht="23.5" customHeight="1">
      <c r="A380" s="6" t="inlineStr">
        <is>
          <t>373</t>
        </is>
      </c>
      <c r="B380" s="24" t="n"/>
      <c r="C380" s="55" t="n"/>
      <c r="D380" s="19" t="n"/>
      <c r="E380" s="24" t="n"/>
      <c r="F380" s="25" t="n"/>
      <c r="G380" s="25" t="n"/>
      <c r="H380" s="24" t="n"/>
      <c r="I380" s="11" t="n"/>
      <c r="J380" s="57" t="n"/>
      <c r="K380" s="12" t="n"/>
      <c r="L380" s="22" t="n"/>
      <c r="M380" s="13" t="n"/>
      <c r="N380" s="14">
        <f>ROUND(I380*(SUM(J380:M380))*68%,0)</f>
        <v/>
      </c>
      <c r="O380" s="61" t="n"/>
      <c r="P380" s="59" t="n"/>
      <c r="Q380" s="59" t="n"/>
      <c r="R380" s="58" t="n"/>
      <c r="S380" s="15">
        <f>I380*J380</f>
        <v/>
      </c>
      <c r="T380" s="15">
        <f>SUM(S380:S380)*68%</f>
        <v/>
      </c>
      <c r="U380" s="15">
        <f>I380*K380*40%*O380</f>
        <v/>
      </c>
      <c r="V380" s="15">
        <f>IF(P380&gt;=6750,(I380*K380*40%),0)</f>
        <v/>
      </c>
      <c r="W380" s="15">
        <f>IF(P380&lt;6750,0,IF(Q380="",0,IF(OR(Q380="KURANG",Q380="SANGAT KURANG"),I380*K380*10%,I380*K380*20%)))</f>
        <v/>
      </c>
      <c r="X380" s="15">
        <f>SUM(U380:W380)*68%</f>
        <v/>
      </c>
      <c r="Y380" s="15">
        <f>I380*L380</f>
        <v/>
      </c>
      <c r="Z380" s="15">
        <f>Y380 * 68%</f>
        <v/>
      </c>
      <c r="AA380" s="15">
        <f>I380*M380</f>
        <v/>
      </c>
      <c r="AB380" s="15">
        <f>AA380*68%</f>
        <v/>
      </c>
      <c r="AC380" s="16">
        <f>ROUND((T380+X380+Z380+AB380),0)</f>
        <v/>
      </c>
      <c r="AD380" s="16">
        <f>AG380</f>
        <v/>
      </c>
      <c r="AE380" s="16">
        <f>AI380</f>
        <v/>
      </c>
      <c r="AF380" s="16">
        <f>AC380+AD380+AE380</f>
        <v/>
      </c>
      <c r="AG380" s="16" t="n"/>
      <c r="AH380" s="17" t="n"/>
      <c r="AI380" s="17">
        <f>AH380*4</f>
        <v/>
      </c>
      <c r="AJ380" s="15">
        <f>AF380-AG380-AH380-AI380</f>
        <v/>
      </c>
      <c r="AK380" s="18" t="n">
        <v>373</v>
      </c>
      <c r="AL380" s="23" t="n"/>
    </row>
    <row r="381" ht="23.5" customHeight="1">
      <c r="A381" s="6" t="inlineStr">
        <is>
          <t>374</t>
        </is>
      </c>
      <c r="B381" s="28" t="n"/>
      <c r="C381" s="55" t="n"/>
      <c r="D381" s="19" t="n"/>
      <c r="E381" s="24" t="n"/>
      <c r="F381" s="25" t="n"/>
      <c r="G381" s="25" t="n"/>
      <c r="H381" s="25" t="n"/>
      <c r="I381" s="11" t="n"/>
      <c r="J381" s="57" t="n"/>
      <c r="K381" s="12" t="n"/>
      <c r="L381" s="22" t="n"/>
      <c r="M381" s="13" t="n"/>
      <c r="N381" s="14">
        <f>ROUND(I381*(SUM(J381:M381))*68%,0)</f>
        <v/>
      </c>
      <c r="O381" s="61" t="n"/>
      <c r="P381" s="59" t="n"/>
      <c r="Q381" s="59" t="n"/>
      <c r="R381" s="58" t="n"/>
      <c r="S381" s="15">
        <f>I381*J381</f>
        <v/>
      </c>
      <c r="T381" s="15">
        <f>SUM(S381:S381)*68%</f>
        <v/>
      </c>
      <c r="U381" s="15">
        <f>I381*K381*40%*O381</f>
        <v/>
      </c>
      <c r="V381" s="15">
        <f>IF(P381&gt;=6750,(I381*K381*40%),0)</f>
        <v/>
      </c>
      <c r="W381" s="15">
        <f>IF(P381&lt;6750,0,IF(Q381="",0,IF(OR(Q381="KURANG",Q381="SANGAT KURANG"),I381*K381*10%,I381*K381*20%)))</f>
        <v/>
      </c>
      <c r="X381" s="15">
        <f>SUM(U381:W381)*68%</f>
        <v/>
      </c>
      <c r="Y381" s="15">
        <f>I381*L381</f>
        <v/>
      </c>
      <c r="Z381" s="15">
        <f>Y381 * 68%</f>
        <v/>
      </c>
      <c r="AA381" s="15">
        <f>I381*M381</f>
        <v/>
      </c>
      <c r="AB381" s="15">
        <f>AA381*68%</f>
        <v/>
      </c>
      <c r="AC381" s="16">
        <f>ROUND((T381+X381+Z381+AB381),0)</f>
        <v/>
      </c>
      <c r="AD381" s="16">
        <f>AG381</f>
        <v/>
      </c>
      <c r="AE381" s="16">
        <f>AI381</f>
        <v/>
      </c>
      <c r="AF381" s="16">
        <f>AC381+AD381+AE381</f>
        <v/>
      </c>
      <c r="AG381" s="16" t="n"/>
      <c r="AH381" s="17" t="n"/>
      <c r="AI381" s="17">
        <f>AH381*4</f>
        <v/>
      </c>
      <c r="AJ381" s="15">
        <f>AF381-AG381-AH381-AI381</f>
        <v/>
      </c>
      <c r="AK381" s="18" t="n">
        <v>374</v>
      </c>
      <c r="AL381" s="40" t="n"/>
    </row>
    <row r="382" ht="23.5" customHeight="1">
      <c r="A382" s="6" t="inlineStr">
        <is>
          <t>375</t>
        </is>
      </c>
      <c r="B382" s="28" t="n"/>
      <c r="C382" s="55" t="n"/>
      <c r="D382" s="19" t="n"/>
      <c r="E382" s="24" t="n"/>
      <c r="F382" s="25" t="n"/>
      <c r="G382" s="25" t="n"/>
      <c r="H382" s="25" t="n"/>
      <c r="I382" s="11" t="n"/>
      <c r="J382" s="57" t="n"/>
      <c r="K382" s="12" t="n"/>
      <c r="L382" s="22" t="n"/>
      <c r="M382" s="13" t="n"/>
      <c r="N382" s="14">
        <f>ROUND(I382*(SUM(J382:M382))*68%,0)</f>
        <v/>
      </c>
      <c r="O382" s="61" t="n"/>
      <c r="P382" s="59" t="n"/>
      <c r="Q382" s="59" t="n"/>
      <c r="R382" s="58" t="n"/>
      <c r="S382" s="15">
        <f>I382*J382</f>
        <v/>
      </c>
      <c r="T382" s="15">
        <f>SUM(S382:S382)*68%</f>
        <v/>
      </c>
      <c r="U382" s="15">
        <f>I382*K382*40%*O382</f>
        <v/>
      </c>
      <c r="V382" s="15">
        <f>IF(P382&gt;=6750,(I382*K382*40%),0)</f>
        <v/>
      </c>
      <c r="W382" s="15">
        <f>IF(P382&lt;6750,0,IF(Q382="",0,IF(OR(Q382="KURANG",Q382="SANGAT KURANG"),I382*K382*10%,I382*K382*20%)))</f>
        <v/>
      </c>
      <c r="X382" s="15">
        <f>SUM(U382:W382)*68%</f>
        <v/>
      </c>
      <c r="Y382" s="15">
        <f>I382*L382</f>
        <v/>
      </c>
      <c r="Z382" s="15">
        <f>Y382 * 68%</f>
        <v/>
      </c>
      <c r="AA382" s="15">
        <f>I382*M382</f>
        <v/>
      </c>
      <c r="AB382" s="15">
        <f>AA382*68%</f>
        <v/>
      </c>
      <c r="AC382" s="16">
        <f>ROUND((T382+X382+Z382+AB382),0)</f>
        <v/>
      </c>
      <c r="AD382" s="16">
        <f>AG382</f>
        <v/>
      </c>
      <c r="AE382" s="16">
        <f>AI382</f>
        <v/>
      </c>
      <c r="AF382" s="16">
        <f>AC382+AD382+AE382</f>
        <v/>
      </c>
      <c r="AG382" s="16" t="n"/>
      <c r="AH382" s="17" t="n"/>
      <c r="AI382" s="17">
        <f>AH382*4</f>
        <v/>
      </c>
      <c r="AJ382" s="15">
        <f>AF382-AG382-AH382-AI382</f>
        <v/>
      </c>
      <c r="AK382" s="18" t="n">
        <v>375</v>
      </c>
      <c r="AL382" s="23" t="n"/>
    </row>
    <row r="383" ht="23.5" customHeight="1">
      <c r="A383" s="6" t="inlineStr">
        <is>
          <t>376</t>
        </is>
      </c>
      <c r="B383" s="28" t="n"/>
      <c r="C383" s="55" t="n"/>
      <c r="D383" s="19" t="n"/>
      <c r="E383" s="24" t="n"/>
      <c r="F383" s="25" t="n"/>
      <c r="G383" s="25" t="n"/>
      <c r="H383" s="25" t="n"/>
      <c r="I383" s="11" t="n"/>
      <c r="J383" s="57" t="n"/>
      <c r="K383" s="12" t="n"/>
      <c r="L383" s="22" t="n"/>
      <c r="M383" s="13" t="n"/>
      <c r="N383" s="14">
        <f>ROUND(I383*(SUM(J383:M383))*68%,0)</f>
        <v/>
      </c>
      <c r="O383" s="61" t="n"/>
      <c r="P383" s="59" t="n"/>
      <c r="Q383" s="59" t="n"/>
      <c r="R383" s="58" t="n"/>
      <c r="S383" s="15">
        <f>I383*J383</f>
        <v/>
      </c>
      <c r="T383" s="15">
        <f>SUM(S383:S383)*68%</f>
        <v/>
      </c>
      <c r="U383" s="15">
        <f>I383*K383*40%*O383</f>
        <v/>
      </c>
      <c r="V383" s="15">
        <f>IF(P383&gt;=6750,(I383*K383*40%),0)</f>
        <v/>
      </c>
      <c r="W383" s="15">
        <f>IF(P383&lt;6750,0,IF(Q383="",0,IF(OR(Q383="KURANG",Q383="SANGAT KURANG"),I383*K383*10%,I383*K383*20%)))</f>
        <v/>
      </c>
      <c r="X383" s="15">
        <f>SUM(U383:W383)*68%</f>
        <v/>
      </c>
      <c r="Y383" s="15">
        <f>I383*L383</f>
        <v/>
      </c>
      <c r="Z383" s="15">
        <f>Y383 * 68%</f>
        <v/>
      </c>
      <c r="AA383" s="15">
        <f>I383*M383</f>
        <v/>
      </c>
      <c r="AB383" s="15">
        <f>AA383*68%</f>
        <v/>
      </c>
      <c r="AC383" s="16">
        <f>ROUND((T383+X383+Z383+AB383),0)</f>
        <v/>
      </c>
      <c r="AD383" s="16">
        <f>AG383</f>
        <v/>
      </c>
      <c r="AE383" s="16">
        <f>AI383</f>
        <v/>
      </c>
      <c r="AF383" s="16">
        <f>AC383+AD383+AE383</f>
        <v/>
      </c>
      <c r="AG383" s="16" t="n"/>
      <c r="AH383" s="17" t="n"/>
      <c r="AI383" s="17">
        <f>AH383*4</f>
        <v/>
      </c>
      <c r="AJ383" s="15">
        <f>AF383-AG383-AH383-AI383</f>
        <v/>
      </c>
      <c r="AK383" s="18" t="n">
        <v>376</v>
      </c>
      <c r="AL383" s="23" t="n"/>
    </row>
    <row r="384" ht="23.5" customHeight="1">
      <c r="A384" s="6" t="inlineStr">
        <is>
          <t>377</t>
        </is>
      </c>
      <c r="B384" s="24" t="n"/>
      <c r="C384" s="55" t="n"/>
      <c r="D384" s="19" t="n"/>
      <c r="E384" s="24" t="n"/>
      <c r="F384" s="25" t="n"/>
      <c r="G384" s="25" t="n"/>
      <c r="H384" s="25" t="n"/>
      <c r="I384" s="11" t="n"/>
      <c r="J384" s="57" t="n"/>
      <c r="K384" s="12" t="n"/>
      <c r="L384" s="22" t="n"/>
      <c r="M384" s="13" t="n"/>
      <c r="N384" s="14">
        <f>ROUND(I384*(SUM(J384:M384))*68%,0)</f>
        <v/>
      </c>
      <c r="O384" s="61" t="n"/>
      <c r="P384" s="59" t="n"/>
      <c r="Q384" s="59" t="n"/>
      <c r="R384" s="58" t="n"/>
      <c r="S384" s="15">
        <f>I384*J384</f>
        <v/>
      </c>
      <c r="T384" s="15">
        <f>SUM(S384:S384)*68%</f>
        <v/>
      </c>
      <c r="U384" s="15">
        <f>I384*K384*40%*O384</f>
        <v/>
      </c>
      <c r="V384" s="15">
        <f>IF(P384&gt;=6750,(I384*K384*40%),0)</f>
        <v/>
      </c>
      <c r="W384" s="15">
        <f>IF(P384&lt;6750,0,IF(Q384="",0,IF(OR(Q384="KURANG",Q384="SANGAT KURANG"),I384*K384*10%,I384*K384*20%)))</f>
        <v/>
      </c>
      <c r="X384" s="15">
        <f>SUM(U384:W384)*68%</f>
        <v/>
      </c>
      <c r="Y384" s="15">
        <f>I384*L384</f>
        <v/>
      </c>
      <c r="Z384" s="15">
        <f>Y384 * 68%</f>
        <v/>
      </c>
      <c r="AA384" s="15">
        <f>I384*M384</f>
        <v/>
      </c>
      <c r="AB384" s="15">
        <f>AA384*68%</f>
        <v/>
      </c>
      <c r="AC384" s="16">
        <f>ROUND((T384+X384+Z384+AB384),0)</f>
        <v/>
      </c>
      <c r="AD384" s="16">
        <f>AG384</f>
        <v/>
      </c>
      <c r="AE384" s="16">
        <f>AI384</f>
        <v/>
      </c>
      <c r="AF384" s="16">
        <f>AC384+AD384+AE384</f>
        <v/>
      </c>
      <c r="AG384" s="16" t="n"/>
      <c r="AH384" s="17" t="n"/>
      <c r="AI384" s="17">
        <f>AH384*4</f>
        <v/>
      </c>
      <c r="AJ384" s="15">
        <f>AF384-AG384-AH384-AI384</f>
        <v/>
      </c>
      <c r="AK384" s="18" t="n">
        <v>377</v>
      </c>
      <c r="AL384" s="40" t="n"/>
    </row>
    <row r="385" ht="23.5" customHeight="1">
      <c r="A385" s="6" t="inlineStr">
        <is>
          <t>378</t>
        </is>
      </c>
      <c r="B385" s="24" t="n"/>
      <c r="C385" s="55" t="n"/>
      <c r="D385" s="19" t="n"/>
      <c r="E385" s="24" t="n"/>
      <c r="F385" s="25" t="n"/>
      <c r="G385" s="25" t="n"/>
      <c r="H385" s="25" t="n"/>
      <c r="I385" s="11" t="n"/>
      <c r="J385" s="57" t="n"/>
      <c r="K385" s="12" t="n"/>
      <c r="L385" s="22" t="n"/>
      <c r="M385" s="13" t="n"/>
      <c r="N385" s="14">
        <f>ROUND(I385*(SUM(J385:M385))*68%,0)</f>
        <v/>
      </c>
      <c r="O385" s="61" t="n"/>
      <c r="P385" s="59" t="n"/>
      <c r="Q385" s="59" t="n"/>
      <c r="R385" s="58" t="n"/>
      <c r="S385" s="15">
        <f>I385*J385</f>
        <v/>
      </c>
      <c r="T385" s="15">
        <f>SUM(S385:S385)*68%</f>
        <v/>
      </c>
      <c r="U385" s="15">
        <f>I385*K385*40%*O385</f>
        <v/>
      </c>
      <c r="V385" s="15">
        <f>IF(P385&gt;=6750,(I385*K385*40%),0)</f>
        <v/>
      </c>
      <c r="W385" s="15">
        <f>IF(P385&lt;6750,0,IF(Q385="",0,IF(OR(Q385="KURANG",Q385="SANGAT KURANG"),I385*K385*10%,I385*K385*20%)))</f>
        <v/>
      </c>
      <c r="X385" s="15">
        <f>SUM(U385:W385)*68%</f>
        <v/>
      </c>
      <c r="Y385" s="15">
        <f>I385*L385</f>
        <v/>
      </c>
      <c r="Z385" s="15">
        <f>Y385 * 68%</f>
        <v/>
      </c>
      <c r="AA385" s="15">
        <f>I385*M385</f>
        <v/>
      </c>
      <c r="AB385" s="15">
        <f>AA385*68%</f>
        <v/>
      </c>
      <c r="AC385" s="16">
        <f>ROUND((T385+X385+Z385+AB385),0)</f>
        <v/>
      </c>
      <c r="AD385" s="16">
        <f>AG385</f>
        <v/>
      </c>
      <c r="AE385" s="16">
        <f>AI385</f>
        <v/>
      </c>
      <c r="AF385" s="16">
        <f>AC385+AD385+AE385</f>
        <v/>
      </c>
      <c r="AG385" s="16" t="n"/>
      <c r="AH385" s="17" t="n"/>
      <c r="AI385" s="17">
        <f>AH385*4</f>
        <v/>
      </c>
      <c r="AJ385" s="15">
        <f>AF385-AG385-AH385-AI385</f>
        <v/>
      </c>
      <c r="AK385" s="18" t="n">
        <v>378</v>
      </c>
      <c r="AL385" s="23" t="n"/>
    </row>
    <row r="386" ht="23.5" customHeight="1">
      <c r="A386" s="6" t="inlineStr">
        <is>
          <t>379</t>
        </is>
      </c>
      <c r="B386" s="28" t="n"/>
      <c r="C386" s="55" t="n"/>
      <c r="D386" s="19" t="n"/>
      <c r="E386" s="24" t="n"/>
      <c r="F386" s="25" t="n"/>
      <c r="G386" s="25" t="n"/>
      <c r="H386" s="25" t="n"/>
      <c r="I386" s="11" t="n"/>
      <c r="J386" s="57" t="n"/>
      <c r="K386" s="12" t="n"/>
      <c r="L386" s="22" t="n"/>
      <c r="M386" s="13" t="n"/>
      <c r="N386" s="14">
        <f>ROUND(I386*(SUM(J386:M386))*68%,0)</f>
        <v/>
      </c>
      <c r="O386" s="61" t="n"/>
      <c r="P386" s="59" t="n"/>
      <c r="Q386" s="59" t="n"/>
      <c r="R386" s="58" t="n"/>
      <c r="S386" s="15">
        <f>I386*J386</f>
        <v/>
      </c>
      <c r="T386" s="15">
        <f>SUM(S386:S386)*68%</f>
        <v/>
      </c>
      <c r="U386" s="15">
        <f>I386*K386*40%*O386</f>
        <v/>
      </c>
      <c r="V386" s="15">
        <f>IF(P386&gt;=6750,(I386*K386*40%),0)</f>
        <v/>
      </c>
      <c r="W386" s="15">
        <f>IF(P386&lt;6750,0,IF(Q386="",0,IF(OR(Q386="KURANG",Q386="SANGAT KURANG"),I386*K386*10%,I386*K386*20%)))</f>
        <v/>
      </c>
      <c r="X386" s="15">
        <f>SUM(U386:W386)*68%</f>
        <v/>
      </c>
      <c r="Y386" s="15">
        <f>I386*L386</f>
        <v/>
      </c>
      <c r="Z386" s="15">
        <f>Y386 * 68%</f>
        <v/>
      </c>
      <c r="AA386" s="15">
        <f>I386*M386</f>
        <v/>
      </c>
      <c r="AB386" s="15">
        <f>AA386*68%</f>
        <v/>
      </c>
      <c r="AC386" s="16">
        <f>ROUND((T386+X386+Z386+AB386),0)</f>
        <v/>
      </c>
      <c r="AD386" s="16">
        <f>AG386</f>
        <v/>
      </c>
      <c r="AE386" s="16">
        <f>AI386</f>
        <v/>
      </c>
      <c r="AF386" s="16">
        <f>AC386+AD386+AE386</f>
        <v/>
      </c>
      <c r="AG386" s="16" t="n"/>
      <c r="AH386" s="17" t="n"/>
      <c r="AI386" s="17">
        <f>AH386*4</f>
        <v/>
      </c>
      <c r="AJ386" s="15">
        <f>AF386-AG386-AH386-AI386</f>
        <v/>
      </c>
      <c r="AK386" s="18" t="n">
        <v>379</v>
      </c>
      <c r="AL386" s="23" t="n"/>
    </row>
    <row r="387" ht="23.5" customHeight="1">
      <c r="A387" s="6" t="inlineStr">
        <is>
          <t>380</t>
        </is>
      </c>
      <c r="B387" s="28" t="n"/>
      <c r="C387" s="55" t="n"/>
      <c r="D387" s="19" t="n"/>
      <c r="E387" s="24" t="n"/>
      <c r="F387" s="25" t="n"/>
      <c r="G387" s="25" t="n"/>
      <c r="H387" s="25" t="n"/>
      <c r="I387" s="11" t="n"/>
      <c r="J387" s="57" t="n"/>
      <c r="K387" s="12" t="n"/>
      <c r="L387" s="22" t="n"/>
      <c r="M387" s="13" t="n"/>
      <c r="N387" s="14">
        <f>ROUND(I387*(SUM(J387:M387))*68%,0)</f>
        <v/>
      </c>
      <c r="O387" s="61" t="n"/>
      <c r="P387" s="59" t="n"/>
      <c r="Q387" s="59" t="n"/>
      <c r="R387" s="58" t="n"/>
      <c r="S387" s="15">
        <f>I387*J387</f>
        <v/>
      </c>
      <c r="T387" s="15">
        <f>SUM(S387:S387)*68%</f>
        <v/>
      </c>
      <c r="U387" s="15">
        <f>I387*K387*40%*O387</f>
        <v/>
      </c>
      <c r="V387" s="15">
        <f>IF(P387&gt;=6750,(I387*K387*40%),0)</f>
        <v/>
      </c>
      <c r="W387" s="15">
        <f>IF(P387&lt;6750,0,IF(Q387="",0,IF(OR(Q387="KURANG",Q387="SANGAT KURANG"),I387*K387*10%,I387*K387*20%)))</f>
        <v/>
      </c>
      <c r="X387" s="15">
        <f>SUM(U387:W387)*68%</f>
        <v/>
      </c>
      <c r="Y387" s="15">
        <f>I387*L387</f>
        <v/>
      </c>
      <c r="Z387" s="15">
        <f>Y387 * 68%</f>
        <v/>
      </c>
      <c r="AA387" s="15">
        <f>I387*M387</f>
        <v/>
      </c>
      <c r="AB387" s="15">
        <f>AA387*68%</f>
        <v/>
      </c>
      <c r="AC387" s="16">
        <f>ROUND((T387+X387+Z387+AB387),0)</f>
        <v/>
      </c>
      <c r="AD387" s="16">
        <f>AG387</f>
        <v/>
      </c>
      <c r="AE387" s="16">
        <f>AI387</f>
        <v/>
      </c>
      <c r="AF387" s="16">
        <f>AC387+AD387+AE387</f>
        <v/>
      </c>
      <c r="AG387" s="16" t="n"/>
      <c r="AH387" s="17" t="n"/>
      <c r="AI387" s="17">
        <f>AH387*4</f>
        <v/>
      </c>
      <c r="AJ387" s="15">
        <f>AF387-AG387-AH387-AI387</f>
        <v/>
      </c>
      <c r="AK387" s="18" t="n">
        <v>380</v>
      </c>
      <c r="AL387" s="40" t="n"/>
    </row>
    <row r="388" ht="23.5" customHeight="1">
      <c r="A388" s="6" t="inlineStr">
        <is>
          <t>381</t>
        </is>
      </c>
      <c r="B388" s="24" t="n"/>
      <c r="C388" s="55" t="n"/>
      <c r="D388" s="19" t="n"/>
      <c r="E388" s="24" t="n"/>
      <c r="F388" s="25" t="n"/>
      <c r="G388" s="25" t="n"/>
      <c r="H388" s="25" t="n"/>
      <c r="I388" s="11" t="n"/>
      <c r="J388" s="57" t="n"/>
      <c r="K388" s="12" t="n"/>
      <c r="L388" s="22" t="n"/>
      <c r="M388" s="13" t="n"/>
      <c r="N388" s="14">
        <f>ROUND(I388*(SUM(J388:M388))*68%,0)</f>
        <v/>
      </c>
      <c r="O388" s="61" t="n"/>
      <c r="P388" s="59" t="n"/>
      <c r="Q388" s="59" t="n"/>
      <c r="R388" s="58" t="n"/>
      <c r="S388" s="15">
        <f>I388*J388</f>
        <v/>
      </c>
      <c r="T388" s="15">
        <f>SUM(S388:S388)*68%</f>
        <v/>
      </c>
      <c r="U388" s="15">
        <f>I388*K388*40%*O388</f>
        <v/>
      </c>
      <c r="V388" s="15">
        <f>IF(P388&gt;=6750,(I388*K388*40%),0)</f>
        <v/>
      </c>
      <c r="W388" s="15">
        <f>IF(P388&lt;6750,0,IF(Q388="",0,IF(OR(Q388="KURANG",Q388="SANGAT KURANG"),I388*K388*10%,I388*K388*20%)))</f>
        <v/>
      </c>
      <c r="X388" s="15">
        <f>SUM(U388:W388)*68%</f>
        <v/>
      </c>
      <c r="Y388" s="15">
        <f>I388*L388</f>
        <v/>
      </c>
      <c r="Z388" s="15">
        <f>Y388 * 68%</f>
        <v/>
      </c>
      <c r="AA388" s="15">
        <f>I388*M388</f>
        <v/>
      </c>
      <c r="AB388" s="15">
        <f>AA388*68%</f>
        <v/>
      </c>
      <c r="AC388" s="16">
        <f>ROUND((T388+X388+Z388+AB388),0)</f>
        <v/>
      </c>
      <c r="AD388" s="16">
        <f>AG388</f>
        <v/>
      </c>
      <c r="AE388" s="16">
        <f>AI388</f>
        <v/>
      </c>
      <c r="AF388" s="16">
        <f>AC388+AD388+AE388</f>
        <v/>
      </c>
      <c r="AG388" s="16" t="n"/>
      <c r="AH388" s="17" t="n"/>
      <c r="AI388" s="17">
        <f>AH388*4</f>
        <v/>
      </c>
      <c r="AJ388" s="15">
        <f>AF388-AG388-AH388-AI388</f>
        <v/>
      </c>
      <c r="AK388" s="18" t="n">
        <v>381</v>
      </c>
      <c r="AL388" s="23" t="n"/>
    </row>
    <row r="389" ht="23.5" customHeight="1">
      <c r="A389" s="6" t="inlineStr">
        <is>
          <t>382</t>
        </is>
      </c>
      <c r="B389" s="24" t="n"/>
      <c r="C389" s="55" t="n"/>
      <c r="D389" s="19" t="n"/>
      <c r="E389" s="24" t="n"/>
      <c r="F389" s="25" t="n"/>
      <c r="G389" s="25" t="n"/>
      <c r="H389" s="25" t="n"/>
      <c r="I389" s="11" t="n"/>
      <c r="J389" s="57" t="n"/>
      <c r="K389" s="12" t="n"/>
      <c r="L389" s="22" t="n"/>
      <c r="M389" s="13" t="n"/>
      <c r="N389" s="14">
        <f>ROUND(I389*(SUM(J389:M389))*68%,0)</f>
        <v/>
      </c>
      <c r="O389" s="61" t="n"/>
      <c r="P389" s="59" t="n"/>
      <c r="Q389" s="59" t="n"/>
      <c r="R389" s="58" t="n"/>
      <c r="S389" s="15">
        <f>I389*J389</f>
        <v/>
      </c>
      <c r="T389" s="15">
        <f>SUM(S389:S389)*68%</f>
        <v/>
      </c>
      <c r="U389" s="15">
        <f>I389*K389*40%*O389</f>
        <v/>
      </c>
      <c r="V389" s="15">
        <f>IF(P389&gt;=6750,(I389*K389*40%),0)</f>
        <v/>
      </c>
      <c r="W389" s="15">
        <f>IF(P389&lt;6750,0,IF(Q389="",0,IF(OR(Q389="KURANG",Q389="SANGAT KURANG"),I389*K389*10%,I389*K389*20%)))</f>
        <v/>
      </c>
      <c r="X389" s="15">
        <f>SUM(U389:W389)*68%</f>
        <v/>
      </c>
      <c r="Y389" s="15">
        <f>I389*L389</f>
        <v/>
      </c>
      <c r="Z389" s="15">
        <f>Y389 * 68%</f>
        <v/>
      </c>
      <c r="AA389" s="15">
        <f>I389*M389</f>
        <v/>
      </c>
      <c r="AB389" s="15">
        <f>AA389*68%</f>
        <v/>
      </c>
      <c r="AC389" s="16">
        <f>ROUND((T389+X389+Z389+AB389),0)</f>
        <v/>
      </c>
      <c r="AD389" s="16">
        <f>AG389</f>
        <v/>
      </c>
      <c r="AE389" s="16">
        <f>AI389</f>
        <v/>
      </c>
      <c r="AF389" s="16">
        <f>AC389+AD389+AE389</f>
        <v/>
      </c>
      <c r="AG389" s="16" t="n"/>
      <c r="AH389" s="17" t="n"/>
      <c r="AI389" s="17">
        <f>AH389*4</f>
        <v/>
      </c>
      <c r="AJ389" s="15">
        <f>AF389-AG389-AH389-AI389</f>
        <v/>
      </c>
      <c r="AK389" s="18" t="n">
        <v>382</v>
      </c>
      <c r="AL389" s="23" t="n"/>
    </row>
    <row r="390" ht="23.5" customHeight="1">
      <c r="A390" s="6" t="inlineStr">
        <is>
          <t>383</t>
        </is>
      </c>
      <c r="B390" s="24" t="n"/>
      <c r="C390" s="55" t="n"/>
      <c r="D390" s="19" t="n"/>
      <c r="E390" s="24" t="n"/>
      <c r="F390" s="25" t="n"/>
      <c r="G390" s="25" t="n"/>
      <c r="H390" s="25" t="n"/>
      <c r="I390" s="11" t="n"/>
      <c r="J390" s="57" t="n"/>
      <c r="K390" s="12" t="n"/>
      <c r="L390" s="22" t="n"/>
      <c r="M390" s="13" t="n"/>
      <c r="N390" s="14">
        <f>ROUND(I390*(SUM(J390:M390))*68%,0)</f>
        <v/>
      </c>
      <c r="O390" s="61" t="n"/>
      <c r="P390" s="59" t="n"/>
      <c r="Q390" s="59" t="n"/>
      <c r="R390" s="58" t="n"/>
      <c r="S390" s="15">
        <f>I390*J390</f>
        <v/>
      </c>
      <c r="T390" s="15">
        <f>SUM(S390:S390)*68%</f>
        <v/>
      </c>
      <c r="U390" s="15">
        <f>I390*K390*40%*O390</f>
        <v/>
      </c>
      <c r="V390" s="15">
        <f>IF(P390&gt;=6750,(I390*K390*40%),0)</f>
        <v/>
      </c>
      <c r="W390" s="15">
        <f>IF(P390&lt;6750,0,IF(Q390="",0,IF(OR(Q390="KURANG",Q390="SANGAT KURANG"),I390*K390*10%,I390*K390*20%)))</f>
        <v/>
      </c>
      <c r="X390" s="15">
        <f>SUM(U390:W390)*68%</f>
        <v/>
      </c>
      <c r="Y390" s="15">
        <f>I390*L390</f>
        <v/>
      </c>
      <c r="Z390" s="15">
        <f>Y390 * 68%</f>
        <v/>
      </c>
      <c r="AA390" s="15">
        <f>I390*M390</f>
        <v/>
      </c>
      <c r="AB390" s="15">
        <f>AA390*68%</f>
        <v/>
      </c>
      <c r="AC390" s="16">
        <f>ROUND((T390+X390+Z390+AB390),0)</f>
        <v/>
      </c>
      <c r="AD390" s="16">
        <f>AG390</f>
        <v/>
      </c>
      <c r="AE390" s="16">
        <f>AI390</f>
        <v/>
      </c>
      <c r="AF390" s="16">
        <f>AC390+AD390+AE390</f>
        <v/>
      </c>
      <c r="AG390" s="16" t="n"/>
      <c r="AH390" s="17" t="n"/>
      <c r="AI390" s="17">
        <f>AH390*4</f>
        <v/>
      </c>
      <c r="AJ390" s="15">
        <f>AF390-AG390-AH390-AI390</f>
        <v/>
      </c>
      <c r="AK390" s="18" t="n">
        <v>383</v>
      </c>
      <c r="AL390" s="40" t="n"/>
    </row>
    <row r="391" ht="23.5" customHeight="1">
      <c r="A391" s="6" t="inlineStr">
        <is>
          <t>384</t>
        </is>
      </c>
      <c r="B391" s="24" t="n"/>
      <c r="C391" s="55" t="n"/>
      <c r="D391" s="19" t="n"/>
      <c r="E391" s="24" t="n"/>
      <c r="F391" s="25" t="n"/>
      <c r="G391" s="25" t="n"/>
      <c r="H391" s="25" t="n"/>
      <c r="I391" s="11" t="n"/>
      <c r="J391" s="57" t="n"/>
      <c r="K391" s="12" t="n"/>
      <c r="L391" s="22" t="n"/>
      <c r="M391" s="13" t="n"/>
      <c r="N391" s="14">
        <f>ROUND(I391*(SUM(J391:M391))*68%,0)</f>
        <v/>
      </c>
      <c r="O391" s="61" t="n"/>
      <c r="P391" s="59" t="n"/>
      <c r="Q391" s="59" t="n"/>
      <c r="R391" s="58" t="n"/>
      <c r="S391" s="15">
        <f>I391*J391</f>
        <v/>
      </c>
      <c r="T391" s="15">
        <f>SUM(S391:S391)*68%</f>
        <v/>
      </c>
      <c r="U391" s="15">
        <f>I391*K391*40%*O391</f>
        <v/>
      </c>
      <c r="V391" s="15">
        <f>IF(P391&gt;=6750,(I391*K391*40%),0)</f>
        <v/>
      </c>
      <c r="W391" s="15">
        <f>IF(P391&lt;6750,0,IF(Q391="",0,IF(OR(Q391="KURANG",Q391="SANGAT KURANG"),I391*K391*10%,I391*K391*20%)))</f>
        <v/>
      </c>
      <c r="X391" s="15">
        <f>SUM(U391:W391)*68%</f>
        <v/>
      </c>
      <c r="Y391" s="15">
        <f>I391*L391</f>
        <v/>
      </c>
      <c r="Z391" s="15">
        <f>Y391 * 68%</f>
        <v/>
      </c>
      <c r="AA391" s="15">
        <f>I391*M391</f>
        <v/>
      </c>
      <c r="AB391" s="15">
        <f>AA391*68%</f>
        <v/>
      </c>
      <c r="AC391" s="16">
        <f>ROUND((T391+X391+Z391+AB391),0)</f>
        <v/>
      </c>
      <c r="AD391" s="16">
        <f>AG391</f>
        <v/>
      </c>
      <c r="AE391" s="16">
        <f>AI391</f>
        <v/>
      </c>
      <c r="AF391" s="16">
        <f>AC391+AD391+AE391</f>
        <v/>
      </c>
      <c r="AG391" s="16" t="n"/>
      <c r="AH391" s="17" t="n"/>
      <c r="AI391" s="17">
        <f>AH391*4</f>
        <v/>
      </c>
      <c r="AJ391" s="15">
        <f>AF391-AG391-AH391-AI391</f>
        <v/>
      </c>
      <c r="AK391" s="18" t="n">
        <v>384</v>
      </c>
      <c r="AL391" s="23" t="n"/>
    </row>
    <row r="392" ht="23.5" customHeight="1">
      <c r="A392" s="6" t="inlineStr">
        <is>
          <t>385</t>
        </is>
      </c>
      <c r="B392" s="24" t="n"/>
      <c r="C392" s="55" t="n"/>
      <c r="D392" s="19" t="n"/>
      <c r="E392" s="24" t="n"/>
      <c r="F392" s="25" t="n"/>
      <c r="G392" s="25" t="n"/>
      <c r="H392" s="25" t="n"/>
      <c r="I392" s="11" t="n"/>
      <c r="J392" s="57" t="n"/>
      <c r="K392" s="12" t="n"/>
      <c r="L392" s="22" t="n"/>
      <c r="M392" s="13" t="n"/>
      <c r="N392" s="14">
        <f>ROUND(I392*(SUM(J392:M392))*68%,0)</f>
        <v/>
      </c>
      <c r="O392" s="61" t="n"/>
      <c r="P392" s="59" t="n"/>
      <c r="Q392" s="59" t="n"/>
      <c r="R392" s="58" t="n"/>
      <c r="S392" s="15">
        <f>I392*J392</f>
        <v/>
      </c>
      <c r="T392" s="15">
        <f>SUM(S392:S392)*68%</f>
        <v/>
      </c>
      <c r="U392" s="15">
        <f>I392*K392*40%*O392</f>
        <v/>
      </c>
      <c r="V392" s="15">
        <f>IF(P392&gt;=6750,(I392*K392*40%),0)</f>
        <v/>
      </c>
      <c r="W392" s="15">
        <f>IF(P392&lt;6750,0,IF(Q392="",0,IF(OR(Q392="KURANG",Q392="SANGAT KURANG"),I392*K392*10%,I392*K392*20%)))</f>
        <v/>
      </c>
      <c r="X392" s="15">
        <f>SUM(U392:W392)*68%</f>
        <v/>
      </c>
      <c r="Y392" s="15">
        <f>I392*L392</f>
        <v/>
      </c>
      <c r="Z392" s="15">
        <f>Y392 * 68%</f>
        <v/>
      </c>
      <c r="AA392" s="15">
        <f>I392*M392</f>
        <v/>
      </c>
      <c r="AB392" s="15">
        <f>AA392*68%</f>
        <v/>
      </c>
      <c r="AC392" s="16">
        <f>ROUND((T392+X392+Z392+AB392),0)</f>
        <v/>
      </c>
      <c r="AD392" s="16">
        <f>AG392</f>
        <v/>
      </c>
      <c r="AE392" s="16">
        <f>AI392</f>
        <v/>
      </c>
      <c r="AF392" s="16">
        <f>AC392+AD392+AE392</f>
        <v/>
      </c>
      <c r="AG392" s="16" t="n"/>
      <c r="AH392" s="17" t="n"/>
      <c r="AI392" s="17">
        <f>AH392*4</f>
        <v/>
      </c>
      <c r="AJ392" s="15">
        <f>AF392-AG392-AH392-AI392</f>
        <v/>
      </c>
      <c r="AK392" s="18" t="n">
        <v>385</v>
      </c>
      <c r="AL392" s="23" t="n"/>
    </row>
    <row r="393" ht="23.5" customHeight="1">
      <c r="A393" s="6" t="inlineStr">
        <is>
          <t>386</t>
        </is>
      </c>
      <c r="B393" s="24" t="n"/>
      <c r="C393" s="55" t="n"/>
      <c r="D393" s="19" t="n"/>
      <c r="E393" s="24" t="n"/>
      <c r="F393" s="25" t="n"/>
      <c r="G393" s="25" t="n"/>
      <c r="H393" s="25" t="n"/>
      <c r="I393" s="11" t="n"/>
      <c r="J393" s="57" t="n"/>
      <c r="K393" s="12" t="n"/>
      <c r="L393" s="22" t="n"/>
      <c r="M393" s="13" t="n"/>
      <c r="N393" s="14">
        <f>ROUND(I393*(SUM(J393:M393))*68%,0)</f>
        <v/>
      </c>
      <c r="O393" s="61" t="n"/>
      <c r="P393" s="59" t="n"/>
      <c r="Q393" s="59" t="n"/>
      <c r="R393" s="58" t="n"/>
      <c r="S393" s="15">
        <f>I393*J393</f>
        <v/>
      </c>
      <c r="T393" s="15">
        <f>SUM(S393:S393)*68%</f>
        <v/>
      </c>
      <c r="U393" s="15">
        <f>I393*K393*40%*O393</f>
        <v/>
      </c>
      <c r="V393" s="15">
        <f>IF(P393&gt;=6750,(I393*K393*40%),0)</f>
        <v/>
      </c>
      <c r="W393" s="15">
        <f>IF(P393&lt;6750,0,IF(Q393="",0,IF(OR(Q393="KURANG",Q393="SANGAT KURANG"),I393*K393*10%,I393*K393*20%)))</f>
        <v/>
      </c>
      <c r="X393" s="15">
        <f>SUM(U393:W393)*68%</f>
        <v/>
      </c>
      <c r="Y393" s="15">
        <f>I393*L393</f>
        <v/>
      </c>
      <c r="Z393" s="15">
        <f>Y393 * 68%</f>
        <v/>
      </c>
      <c r="AA393" s="15">
        <f>I393*M393</f>
        <v/>
      </c>
      <c r="AB393" s="15">
        <f>AA393*68%</f>
        <v/>
      </c>
      <c r="AC393" s="16">
        <f>ROUND((T393+X393+Z393+AB393),0)</f>
        <v/>
      </c>
      <c r="AD393" s="16">
        <f>AG393</f>
        <v/>
      </c>
      <c r="AE393" s="16">
        <f>AI393</f>
        <v/>
      </c>
      <c r="AF393" s="16">
        <f>AC393+AD393+AE393</f>
        <v/>
      </c>
      <c r="AG393" s="16" t="n"/>
      <c r="AH393" s="17" t="n"/>
      <c r="AI393" s="17">
        <f>AH393*4</f>
        <v/>
      </c>
      <c r="AJ393" s="15">
        <f>AF393-AG393-AH393-AI393</f>
        <v/>
      </c>
      <c r="AK393" s="18" t="n">
        <v>386</v>
      </c>
      <c r="AL393" s="40" t="n"/>
    </row>
    <row r="394" ht="23.5" customHeight="1">
      <c r="A394" s="6" t="inlineStr">
        <is>
          <t>387</t>
        </is>
      </c>
      <c r="B394" s="28" t="n"/>
      <c r="C394" s="55" t="n"/>
      <c r="D394" s="19" t="n"/>
      <c r="E394" s="24" t="n"/>
      <c r="F394" s="25" t="n"/>
      <c r="G394" s="25" t="n"/>
      <c r="H394" s="25" t="n"/>
      <c r="I394" s="11" t="n"/>
      <c r="J394" s="57" t="n"/>
      <c r="K394" s="12" t="n"/>
      <c r="L394" s="22" t="n"/>
      <c r="M394" s="13" t="n"/>
      <c r="N394" s="14">
        <f>ROUND(I394*(SUM(J394:M394))*68%,0)</f>
        <v/>
      </c>
      <c r="O394" s="61" t="n"/>
      <c r="P394" s="59" t="n"/>
      <c r="Q394" s="59" t="n"/>
      <c r="R394" s="58" t="n"/>
      <c r="S394" s="15">
        <f>I394*J394</f>
        <v/>
      </c>
      <c r="T394" s="15">
        <f>SUM(S394:S394)*68%</f>
        <v/>
      </c>
      <c r="U394" s="15">
        <f>I394*K394*40%*O394</f>
        <v/>
      </c>
      <c r="V394" s="15">
        <f>IF(P394&gt;=6750,(I394*K394*40%),0)</f>
        <v/>
      </c>
      <c r="W394" s="15">
        <f>IF(P394&lt;6750,0,IF(Q394="",0,IF(OR(Q394="KURANG",Q394="SANGAT KURANG"),I394*K394*10%,I394*K394*20%)))</f>
        <v/>
      </c>
      <c r="X394" s="15">
        <f>SUM(U394:W394)*68%</f>
        <v/>
      </c>
      <c r="Y394" s="15">
        <f>I394*L394</f>
        <v/>
      </c>
      <c r="Z394" s="15">
        <f>Y394 * 68%</f>
        <v/>
      </c>
      <c r="AA394" s="15">
        <f>I394*M394</f>
        <v/>
      </c>
      <c r="AB394" s="15">
        <f>AA394*68%</f>
        <v/>
      </c>
      <c r="AC394" s="16">
        <f>ROUND((T394+X394+Z394+AB394),0)</f>
        <v/>
      </c>
      <c r="AD394" s="16">
        <f>AG394</f>
        <v/>
      </c>
      <c r="AE394" s="16">
        <f>AI394</f>
        <v/>
      </c>
      <c r="AF394" s="16">
        <f>AC394+AD394+AE394</f>
        <v/>
      </c>
      <c r="AG394" s="16" t="n"/>
      <c r="AH394" s="17" t="n"/>
      <c r="AI394" s="17">
        <f>AH394*4</f>
        <v/>
      </c>
      <c r="AJ394" s="15">
        <f>AF394-AG394-AH394-AI394</f>
        <v/>
      </c>
      <c r="AK394" s="18" t="n">
        <v>387</v>
      </c>
      <c r="AL394" s="23" t="n"/>
    </row>
    <row r="395" ht="23.5" customHeight="1">
      <c r="A395" s="6" t="inlineStr">
        <is>
          <t>388</t>
        </is>
      </c>
      <c r="B395" s="28" t="n"/>
      <c r="C395" s="55" t="n"/>
      <c r="D395" s="19" t="n"/>
      <c r="E395" s="24" t="n"/>
      <c r="F395" s="25" t="n"/>
      <c r="G395" s="25" t="n"/>
      <c r="H395" s="25" t="n"/>
      <c r="I395" s="11" t="n"/>
      <c r="J395" s="57" t="n"/>
      <c r="K395" s="12" t="n"/>
      <c r="L395" s="22" t="n"/>
      <c r="M395" s="13" t="n"/>
      <c r="N395" s="14">
        <f>ROUND(I395*(SUM(J395:M395))*68%,0)</f>
        <v/>
      </c>
      <c r="O395" s="61" t="n"/>
      <c r="P395" s="59" t="n"/>
      <c r="Q395" s="59" t="n"/>
      <c r="R395" s="58" t="n"/>
      <c r="S395" s="15">
        <f>I395*J395</f>
        <v/>
      </c>
      <c r="T395" s="15">
        <f>SUM(S395:S395)*68%</f>
        <v/>
      </c>
      <c r="U395" s="15">
        <f>I395*K395*40%*O395</f>
        <v/>
      </c>
      <c r="V395" s="15">
        <f>IF(P395&gt;=6750,(I395*K395*40%),0)</f>
        <v/>
      </c>
      <c r="W395" s="15">
        <f>IF(P395&lt;6750,0,IF(Q395="",0,IF(OR(Q395="KURANG",Q395="SANGAT KURANG"),I395*K395*10%,I395*K395*20%)))</f>
        <v/>
      </c>
      <c r="X395" s="15">
        <f>SUM(U395:W395)*68%</f>
        <v/>
      </c>
      <c r="Y395" s="15">
        <f>I395*L395</f>
        <v/>
      </c>
      <c r="Z395" s="15">
        <f>Y395 * 68%</f>
        <v/>
      </c>
      <c r="AA395" s="15">
        <f>I395*M395</f>
        <v/>
      </c>
      <c r="AB395" s="15">
        <f>AA395*68%</f>
        <v/>
      </c>
      <c r="AC395" s="16">
        <f>ROUND((T395+X395+Z395+AB395),0)</f>
        <v/>
      </c>
      <c r="AD395" s="16">
        <f>AG395</f>
        <v/>
      </c>
      <c r="AE395" s="16">
        <f>AI395</f>
        <v/>
      </c>
      <c r="AF395" s="16">
        <f>AC395+AD395+AE395</f>
        <v/>
      </c>
      <c r="AG395" s="16" t="n"/>
      <c r="AH395" s="17" t="n"/>
      <c r="AI395" s="17">
        <f>AH395*4</f>
        <v/>
      </c>
      <c r="AJ395" s="15">
        <f>AF395-AG395-AH395-AI395</f>
        <v/>
      </c>
      <c r="AK395" s="18" t="n">
        <v>388</v>
      </c>
      <c r="AL395" s="23" t="n"/>
    </row>
    <row r="396" ht="23.5" customHeight="1">
      <c r="A396" s="6" t="inlineStr">
        <is>
          <t>389</t>
        </is>
      </c>
      <c r="B396" s="24" t="n"/>
      <c r="C396" s="55" t="n"/>
      <c r="D396" s="19" t="n"/>
      <c r="E396" s="24" t="n"/>
      <c r="F396" s="25" t="n"/>
      <c r="G396" s="25" t="n"/>
      <c r="H396" s="25" t="n"/>
      <c r="I396" s="11" t="n"/>
      <c r="J396" s="57" t="n"/>
      <c r="K396" s="12" t="n"/>
      <c r="L396" s="22" t="n"/>
      <c r="M396" s="13" t="n"/>
      <c r="N396" s="14">
        <f>ROUND(I396*(SUM(J396:M396))*68%,0)</f>
        <v/>
      </c>
      <c r="O396" s="61" t="n"/>
      <c r="P396" s="59" t="n"/>
      <c r="Q396" s="59" t="n"/>
      <c r="R396" s="58" t="n"/>
      <c r="S396" s="15">
        <f>I396*J396</f>
        <v/>
      </c>
      <c r="T396" s="15">
        <f>SUM(S396:S396)*68%</f>
        <v/>
      </c>
      <c r="U396" s="15">
        <f>I396*K396*40%*O396</f>
        <v/>
      </c>
      <c r="V396" s="15">
        <f>IF(P396&gt;=6750,(I396*K396*40%),0)</f>
        <v/>
      </c>
      <c r="W396" s="15">
        <f>IF(P396&lt;6750,0,IF(Q396="",0,IF(OR(Q396="KURANG",Q396="SANGAT KURANG"),I396*K396*10%,I396*K396*20%)))</f>
        <v/>
      </c>
      <c r="X396" s="15">
        <f>SUM(U396:W396)*68%</f>
        <v/>
      </c>
      <c r="Y396" s="15">
        <f>I396*L396</f>
        <v/>
      </c>
      <c r="Z396" s="15">
        <f>Y396 * 68%</f>
        <v/>
      </c>
      <c r="AA396" s="15">
        <f>I396*M396</f>
        <v/>
      </c>
      <c r="AB396" s="15">
        <f>AA396*68%</f>
        <v/>
      </c>
      <c r="AC396" s="16">
        <f>ROUND((T396+X396+Z396+AB396),0)</f>
        <v/>
      </c>
      <c r="AD396" s="16">
        <f>AG396</f>
        <v/>
      </c>
      <c r="AE396" s="16">
        <f>AI396</f>
        <v/>
      </c>
      <c r="AF396" s="16">
        <f>AC396+AD396+AE396</f>
        <v/>
      </c>
      <c r="AG396" s="16" t="n"/>
      <c r="AH396" s="17" t="n"/>
      <c r="AI396" s="17">
        <f>AH396*4</f>
        <v/>
      </c>
      <c r="AJ396" s="15">
        <f>AF396-AG396-AH396-AI396</f>
        <v/>
      </c>
      <c r="AK396" s="18" t="n">
        <v>389</v>
      </c>
      <c r="AL396" s="40" t="n"/>
    </row>
    <row r="397" ht="23.5" customHeight="1">
      <c r="A397" s="6" t="inlineStr">
        <is>
          <t>390</t>
        </is>
      </c>
      <c r="B397" s="24" t="n"/>
      <c r="C397" s="55" t="n"/>
      <c r="D397" s="19" t="n"/>
      <c r="E397" s="24" t="n"/>
      <c r="F397" s="25" t="n"/>
      <c r="G397" s="25" t="n"/>
      <c r="H397" s="25" t="n"/>
      <c r="I397" s="11" t="n"/>
      <c r="J397" s="57" t="n"/>
      <c r="K397" s="12" t="n"/>
      <c r="L397" s="22" t="n"/>
      <c r="M397" s="13" t="n"/>
      <c r="N397" s="14">
        <f>ROUND(I397*(SUM(J397:M397))*68%,0)</f>
        <v/>
      </c>
      <c r="O397" s="61" t="n"/>
      <c r="P397" s="59" t="n"/>
      <c r="Q397" s="59" t="n"/>
      <c r="R397" s="58" t="n"/>
      <c r="S397" s="15">
        <f>I397*J397</f>
        <v/>
      </c>
      <c r="T397" s="15">
        <f>SUM(S397:S397)*68%</f>
        <v/>
      </c>
      <c r="U397" s="15">
        <f>I397*K397*40%*O397</f>
        <v/>
      </c>
      <c r="V397" s="15">
        <f>IF(P397&gt;=6750,(I397*K397*40%),0)</f>
        <v/>
      </c>
      <c r="W397" s="15">
        <f>IF(P397&lt;6750,0,IF(Q397="",0,IF(OR(Q397="KURANG",Q397="SANGAT KURANG"),I397*K397*10%,I397*K397*20%)))</f>
        <v/>
      </c>
      <c r="X397" s="15">
        <f>SUM(U397:W397)*68%</f>
        <v/>
      </c>
      <c r="Y397" s="15">
        <f>I397*L397</f>
        <v/>
      </c>
      <c r="Z397" s="15">
        <f>Y397 * 68%</f>
        <v/>
      </c>
      <c r="AA397" s="15">
        <f>I397*M397</f>
        <v/>
      </c>
      <c r="AB397" s="15">
        <f>AA397*68%</f>
        <v/>
      </c>
      <c r="AC397" s="16">
        <f>ROUND((T397+X397+Z397+AB397),0)</f>
        <v/>
      </c>
      <c r="AD397" s="16">
        <f>AG397</f>
        <v/>
      </c>
      <c r="AE397" s="16">
        <f>AI397</f>
        <v/>
      </c>
      <c r="AF397" s="16">
        <f>AC397+AD397+AE397</f>
        <v/>
      </c>
      <c r="AG397" s="16" t="n"/>
      <c r="AH397" s="17" t="n"/>
      <c r="AI397" s="17">
        <f>AH397*4</f>
        <v/>
      </c>
      <c r="AJ397" s="15">
        <f>AF397-AG397-AH397-AI397</f>
        <v/>
      </c>
      <c r="AK397" s="18" t="n">
        <v>390</v>
      </c>
      <c r="AL397" s="23" t="n"/>
    </row>
    <row r="398" ht="23.5" customHeight="1">
      <c r="A398" s="6" t="inlineStr">
        <is>
          <t>391</t>
        </is>
      </c>
      <c r="B398" s="24" t="n"/>
      <c r="C398" s="55" t="n"/>
      <c r="D398" s="19" t="n"/>
      <c r="E398" s="24" t="n"/>
      <c r="F398" s="25" t="n"/>
      <c r="G398" s="25" t="n"/>
      <c r="H398" s="25" t="n"/>
      <c r="I398" s="11" t="n"/>
      <c r="J398" s="57" t="n"/>
      <c r="K398" s="12" t="n"/>
      <c r="L398" s="22" t="n"/>
      <c r="M398" s="13" t="n"/>
      <c r="N398" s="14">
        <f>ROUND(I398*(SUM(J398:M398))*68%,0)</f>
        <v/>
      </c>
      <c r="O398" s="61" t="n"/>
      <c r="P398" s="59" t="n"/>
      <c r="Q398" s="59" t="n"/>
      <c r="R398" s="58" t="n"/>
      <c r="S398" s="15">
        <f>I398*J398</f>
        <v/>
      </c>
      <c r="T398" s="15">
        <f>SUM(S398:S398)*68%</f>
        <v/>
      </c>
      <c r="U398" s="15">
        <f>I398*K398*40%*O398</f>
        <v/>
      </c>
      <c r="V398" s="15">
        <f>IF(P398&gt;=6750,(I398*K398*40%),0)</f>
        <v/>
      </c>
      <c r="W398" s="15">
        <f>IF(P398&lt;6750,0,IF(Q398="",0,IF(OR(Q398="KURANG",Q398="SANGAT KURANG"),I398*K398*10%,I398*K398*20%)))</f>
        <v/>
      </c>
      <c r="X398" s="15">
        <f>SUM(U398:W398)*68%</f>
        <v/>
      </c>
      <c r="Y398" s="15">
        <f>I398*L398</f>
        <v/>
      </c>
      <c r="Z398" s="15">
        <f>Y398 * 68%</f>
        <v/>
      </c>
      <c r="AA398" s="15">
        <f>I398*M398</f>
        <v/>
      </c>
      <c r="AB398" s="15">
        <f>AA398*68%</f>
        <v/>
      </c>
      <c r="AC398" s="16">
        <f>ROUND((T398+X398+Z398+AB398),0)</f>
        <v/>
      </c>
      <c r="AD398" s="16">
        <f>AG398</f>
        <v/>
      </c>
      <c r="AE398" s="16">
        <f>AI398</f>
        <v/>
      </c>
      <c r="AF398" s="16">
        <f>AC398+AD398+AE398</f>
        <v/>
      </c>
      <c r="AG398" s="16" t="n"/>
      <c r="AH398" s="17" t="n"/>
      <c r="AI398" s="17">
        <f>AH398*4</f>
        <v/>
      </c>
      <c r="AJ398" s="15">
        <f>AF398-AG398-AH398-AI398</f>
        <v/>
      </c>
      <c r="AK398" s="18" t="n">
        <v>391</v>
      </c>
      <c r="AL398" s="23" t="n"/>
    </row>
    <row r="399" ht="23.5" customHeight="1">
      <c r="A399" s="6" t="inlineStr">
        <is>
          <t>392</t>
        </is>
      </c>
      <c r="B399" s="24" t="n"/>
      <c r="C399" s="55" t="n"/>
      <c r="D399" s="19" t="n"/>
      <c r="E399" s="24" t="n"/>
      <c r="F399" s="25" t="n"/>
      <c r="G399" s="25" t="n"/>
      <c r="H399" s="25" t="n"/>
      <c r="I399" s="11" t="n"/>
      <c r="J399" s="57" t="n"/>
      <c r="K399" s="12" t="n"/>
      <c r="L399" s="22" t="n"/>
      <c r="M399" s="13" t="n"/>
      <c r="N399" s="14">
        <f>ROUND(I399*(SUM(J399:M399))*68%,0)</f>
        <v/>
      </c>
      <c r="O399" s="61" t="n"/>
      <c r="P399" s="59" t="n"/>
      <c r="Q399" s="59" t="n"/>
      <c r="R399" s="58" t="n"/>
      <c r="S399" s="15">
        <f>I399*J399</f>
        <v/>
      </c>
      <c r="T399" s="15">
        <f>SUM(S399:S399)*68%</f>
        <v/>
      </c>
      <c r="U399" s="15">
        <f>I399*K399*40%*O399</f>
        <v/>
      </c>
      <c r="V399" s="15">
        <f>IF(P399&gt;=6750,(I399*K399*40%),0)</f>
        <v/>
      </c>
      <c r="W399" s="15">
        <f>IF(P399&lt;6750,0,IF(Q399="",0,IF(OR(Q399="KURANG",Q399="SANGAT KURANG"),I399*K399*10%,I399*K399*20%)))</f>
        <v/>
      </c>
      <c r="X399" s="15">
        <f>SUM(U399:W399)*68%</f>
        <v/>
      </c>
      <c r="Y399" s="15">
        <f>I399*L399</f>
        <v/>
      </c>
      <c r="Z399" s="15">
        <f>Y399 * 68%</f>
        <v/>
      </c>
      <c r="AA399" s="15">
        <f>I399*M399</f>
        <v/>
      </c>
      <c r="AB399" s="15">
        <f>AA399*68%</f>
        <v/>
      </c>
      <c r="AC399" s="16">
        <f>ROUND((T399+X399+Z399+AB399),0)</f>
        <v/>
      </c>
      <c r="AD399" s="16">
        <f>AG399</f>
        <v/>
      </c>
      <c r="AE399" s="16">
        <f>AI399</f>
        <v/>
      </c>
      <c r="AF399" s="16">
        <f>AC399+AD399+AE399</f>
        <v/>
      </c>
      <c r="AG399" s="16" t="n"/>
      <c r="AH399" s="17" t="n"/>
      <c r="AI399" s="17">
        <f>AH399*4</f>
        <v/>
      </c>
      <c r="AJ399" s="15">
        <f>AF399-AG399-AH399-AI399</f>
        <v/>
      </c>
      <c r="AK399" s="18" t="n">
        <v>392</v>
      </c>
      <c r="AL399" s="40" t="n"/>
    </row>
    <row r="400" ht="23.5" customHeight="1">
      <c r="A400" s="6" t="inlineStr">
        <is>
          <t>393</t>
        </is>
      </c>
      <c r="B400" s="24" t="n"/>
      <c r="C400" s="55" t="n"/>
      <c r="D400" s="19" t="n"/>
      <c r="E400" s="24" t="n"/>
      <c r="F400" s="25" t="n"/>
      <c r="G400" s="25" t="n"/>
      <c r="H400" s="25" t="n"/>
      <c r="I400" s="11" t="n"/>
      <c r="J400" s="57" t="n"/>
      <c r="K400" s="12" t="n"/>
      <c r="L400" s="22" t="n"/>
      <c r="M400" s="13" t="n"/>
      <c r="N400" s="14">
        <f>ROUND(I400*(SUM(J400:M400))*68%,0)</f>
        <v/>
      </c>
      <c r="O400" s="61" t="n"/>
      <c r="P400" s="59" t="n"/>
      <c r="Q400" s="59" t="n"/>
      <c r="R400" s="58" t="n"/>
      <c r="S400" s="15">
        <f>I400*J400</f>
        <v/>
      </c>
      <c r="T400" s="15">
        <f>SUM(S400:S400)*68%</f>
        <v/>
      </c>
      <c r="U400" s="15">
        <f>I400*K400*40%*O400</f>
        <v/>
      </c>
      <c r="V400" s="15">
        <f>IF(P400&gt;=6750,(I400*K400*40%),0)</f>
        <v/>
      </c>
      <c r="W400" s="15">
        <f>IF(P400&lt;6750,0,IF(Q400="",0,IF(OR(Q400="KURANG",Q400="SANGAT KURANG"),I400*K400*10%,I400*K400*20%)))</f>
        <v/>
      </c>
      <c r="X400" s="15">
        <f>SUM(U400:W400)*68%</f>
        <v/>
      </c>
      <c r="Y400" s="15">
        <f>I400*L400</f>
        <v/>
      </c>
      <c r="Z400" s="15">
        <f>Y400 * 68%</f>
        <v/>
      </c>
      <c r="AA400" s="15">
        <f>I400*M400</f>
        <v/>
      </c>
      <c r="AB400" s="15">
        <f>AA400*68%</f>
        <v/>
      </c>
      <c r="AC400" s="16">
        <f>ROUND((T400+X400+Z400+AB400),0)</f>
        <v/>
      </c>
      <c r="AD400" s="16">
        <f>AG400</f>
        <v/>
      </c>
      <c r="AE400" s="16">
        <f>AI400</f>
        <v/>
      </c>
      <c r="AF400" s="16">
        <f>AC400+AD400+AE400</f>
        <v/>
      </c>
      <c r="AG400" s="16" t="n"/>
      <c r="AH400" s="17" t="n"/>
      <c r="AI400" s="17">
        <f>AH400*4</f>
        <v/>
      </c>
      <c r="AJ400" s="15">
        <f>AF400-AG400-AH400-AI400</f>
        <v/>
      </c>
      <c r="AK400" s="18" t="n">
        <v>393</v>
      </c>
      <c r="AL400" s="23" t="n"/>
    </row>
    <row r="401" ht="23.5" customHeight="1">
      <c r="A401" s="6" t="inlineStr">
        <is>
          <t>394</t>
        </is>
      </c>
      <c r="B401" s="24" t="n"/>
      <c r="C401" s="55" t="n"/>
      <c r="D401" s="19" t="n"/>
      <c r="E401" s="24" t="n"/>
      <c r="F401" s="25" t="n"/>
      <c r="G401" s="25" t="n"/>
      <c r="H401" s="25" t="n"/>
      <c r="I401" s="11" t="n"/>
      <c r="J401" s="57" t="n"/>
      <c r="K401" s="12" t="n"/>
      <c r="L401" s="22" t="n"/>
      <c r="M401" s="13" t="n"/>
      <c r="N401" s="14">
        <f>ROUND(I401*(SUM(J401:M401))*68%,0)</f>
        <v/>
      </c>
      <c r="O401" s="61" t="n"/>
      <c r="P401" s="59" t="n"/>
      <c r="Q401" s="59" t="n"/>
      <c r="R401" s="58" t="n"/>
      <c r="S401" s="15">
        <f>I401*J401</f>
        <v/>
      </c>
      <c r="T401" s="15">
        <f>SUM(S401:S401)*68%</f>
        <v/>
      </c>
      <c r="U401" s="15">
        <f>I401*K401*40%*O401</f>
        <v/>
      </c>
      <c r="V401" s="15">
        <f>IF(P401&gt;=6750,(I401*K401*40%),0)</f>
        <v/>
      </c>
      <c r="W401" s="15">
        <f>IF(P401&lt;6750,0,IF(Q401="",0,IF(OR(Q401="KURANG",Q401="SANGAT KURANG"),I401*K401*10%,I401*K401*20%)))</f>
        <v/>
      </c>
      <c r="X401" s="15">
        <f>SUM(U401:W401)*68%</f>
        <v/>
      </c>
      <c r="Y401" s="15">
        <f>I401*L401</f>
        <v/>
      </c>
      <c r="Z401" s="15">
        <f>Y401 * 68%</f>
        <v/>
      </c>
      <c r="AA401" s="15">
        <f>I401*M401</f>
        <v/>
      </c>
      <c r="AB401" s="15">
        <f>AA401*68%</f>
        <v/>
      </c>
      <c r="AC401" s="16">
        <f>ROUND((T401+X401+Z401+AB401),0)</f>
        <v/>
      </c>
      <c r="AD401" s="16">
        <f>AG401</f>
        <v/>
      </c>
      <c r="AE401" s="16">
        <f>AI401</f>
        <v/>
      </c>
      <c r="AF401" s="16">
        <f>AC401+AD401+AE401</f>
        <v/>
      </c>
      <c r="AG401" s="16" t="n"/>
      <c r="AH401" s="17" t="n"/>
      <c r="AI401" s="17">
        <f>AH401*4</f>
        <v/>
      </c>
      <c r="AJ401" s="15">
        <f>AF401-AG401-AH401-AI401</f>
        <v/>
      </c>
      <c r="AK401" s="18" t="n">
        <v>394</v>
      </c>
      <c r="AL401" s="23" t="n"/>
    </row>
    <row r="402" ht="23.5" customHeight="1">
      <c r="A402" s="6" t="inlineStr">
        <is>
          <t>395</t>
        </is>
      </c>
      <c r="B402" s="28" t="n"/>
      <c r="C402" s="55" t="n"/>
      <c r="D402" s="19" t="n"/>
      <c r="E402" s="24" t="n"/>
      <c r="F402" s="25" t="n"/>
      <c r="G402" s="25" t="n"/>
      <c r="H402" s="25" t="n"/>
      <c r="I402" s="11" t="n"/>
      <c r="J402" s="57" t="n"/>
      <c r="K402" s="12" t="n"/>
      <c r="L402" s="22" t="n"/>
      <c r="M402" s="13" t="n"/>
      <c r="N402" s="14">
        <f>ROUND(I402*(SUM(J402:M402))*68%,0)</f>
        <v/>
      </c>
      <c r="O402" s="61" t="n"/>
      <c r="P402" s="59" t="n"/>
      <c r="Q402" s="59" t="n"/>
      <c r="R402" s="58" t="n"/>
      <c r="S402" s="15">
        <f>I402*J402</f>
        <v/>
      </c>
      <c r="T402" s="15">
        <f>SUM(S402:S402)*68%</f>
        <v/>
      </c>
      <c r="U402" s="15">
        <f>I402*K402*40%*O402</f>
        <v/>
      </c>
      <c r="V402" s="15">
        <f>IF(P402&gt;=6750,(I402*K402*40%),0)</f>
        <v/>
      </c>
      <c r="W402" s="15">
        <f>IF(P402&lt;6750,0,IF(Q402="",0,IF(OR(Q402="KURANG",Q402="SANGAT KURANG"),I402*K402*10%,I402*K402*20%)))</f>
        <v/>
      </c>
      <c r="X402" s="15">
        <f>SUM(U402:W402)*68%</f>
        <v/>
      </c>
      <c r="Y402" s="15">
        <f>I402*L402</f>
        <v/>
      </c>
      <c r="Z402" s="15">
        <f>Y402 * 68%</f>
        <v/>
      </c>
      <c r="AA402" s="15">
        <f>I402*M402</f>
        <v/>
      </c>
      <c r="AB402" s="15">
        <f>AA402*68%</f>
        <v/>
      </c>
      <c r="AC402" s="16">
        <f>ROUND((T402+X402+Z402+AB402),0)</f>
        <v/>
      </c>
      <c r="AD402" s="16">
        <f>AG402</f>
        <v/>
      </c>
      <c r="AE402" s="16">
        <f>AI402</f>
        <v/>
      </c>
      <c r="AF402" s="16">
        <f>AC402+AD402+AE402</f>
        <v/>
      </c>
      <c r="AG402" s="16" t="n"/>
      <c r="AH402" s="17" t="n"/>
      <c r="AI402" s="17">
        <f>AH402*4</f>
        <v/>
      </c>
      <c r="AJ402" s="15">
        <f>AF402-AG402-AH402-AI402</f>
        <v/>
      </c>
      <c r="AK402" s="18" t="n">
        <v>395</v>
      </c>
      <c r="AL402" s="40" t="n"/>
    </row>
    <row r="403" ht="23.5" customHeight="1">
      <c r="A403" s="6" t="inlineStr">
        <is>
          <t>396</t>
        </is>
      </c>
      <c r="B403" s="28" t="n"/>
      <c r="C403" s="55" t="n"/>
      <c r="D403" s="19" t="n"/>
      <c r="E403" s="24" t="n"/>
      <c r="F403" s="25" t="n"/>
      <c r="G403" s="25" t="n"/>
      <c r="H403" s="25" t="n"/>
      <c r="I403" s="11" t="n"/>
      <c r="J403" s="57" t="n"/>
      <c r="K403" s="12" t="n"/>
      <c r="L403" s="22" t="n"/>
      <c r="M403" s="13" t="n"/>
      <c r="N403" s="14">
        <f>ROUND(I403*(SUM(J403:M403))*68%,0)</f>
        <v/>
      </c>
      <c r="O403" s="61" t="n"/>
      <c r="P403" s="59" t="n"/>
      <c r="Q403" s="59" t="n"/>
      <c r="R403" s="58" t="n"/>
      <c r="S403" s="15">
        <f>I403*J403</f>
        <v/>
      </c>
      <c r="T403" s="15">
        <f>SUM(S403:S403)*68%</f>
        <v/>
      </c>
      <c r="U403" s="15">
        <f>I403*K403*40%*O403</f>
        <v/>
      </c>
      <c r="V403" s="15">
        <f>IF(P403&gt;=6750,(I403*K403*40%),0)</f>
        <v/>
      </c>
      <c r="W403" s="15">
        <f>IF(P403&lt;6750,0,IF(Q403="",0,IF(OR(Q403="KURANG",Q403="SANGAT KURANG"),I403*K403*10%,I403*K403*20%)))</f>
        <v/>
      </c>
      <c r="X403" s="15">
        <f>SUM(U403:W403)*68%</f>
        <v/>
      </c>
      <c r="Y403" s="15">
        <f>I403*L403</f>
        <v/>
      </c>
      <c r="Z403" s="15">
        <f>Y403 * 68%</f>
        <v/>
      </c>
      <c r="AA403" s="15">
        <f>I403*M403</f>
        <v/>
      </c>
      <c r="AB403" s="15">
        <f>AA403*68%</f>
        <v/>
      </c>
      <c r="AC403" s="16">
        <f>ROUND((T403+X403+Z403+AB403),0)</f>
        <v/>
      </c>
      <c r="AD403" s="16">
        <f>AG403</f>
        <v/>
      </c>
      <c r="AE403" s="16">
        <f>AI403</f>
        <v/>
      </c>
      <c r="AF403" s="16">
        <f>AC403+AD403+AE403</f>
        <v/>
      </c>
      <c r="AG403" s="16" t="n"/>
      <c r="AH403" s="17" t="n"/>
      <c r="AI403" s="17">
        <f>AH403*4</f>
        <v/>
      </c>
      <c r="AJ403" s="15">
        <f>AF403-AG403-AH403-AI403</f>
        <v/>
      </c>
      <c r="AK403" s="18" t="n">
        <v>396</v>
      </c>
      <c r="AL403" s="23" t="n"/>
    </row>
    <row r="404" ht="23.5" customHeight="1">
      <c r="A404" s="6" t="inlineStr">
        <is>
          <t>397</t>
        </is>
      </c>
      <c r="B404" s="24" t="n"/>
      <c r="C404" s="55" t="n"/>
      <c r="D404" s="19" t="n"/>
      <c r="E404" s="24" t="n"/>
      <c r="F404" s="25" t="n"/>
      <c r="G404" s="25" t="n"/>
      <c r="H404" s="25" t="n"/>
      <c r="I404" s="11" t="n"/>
      <c r="J404" s="57" t="n"/>
      <c r="K404" s="12" t="n"/>
      <c r="L404" s="22" t="n"/>
      <c r="M404" s="13" t="n"/>
      <c r="N404" s="14">
        <f>ROUND(I404*(SUM(J404:M404))*68%,0)</f>
        <v/>
      </c>
      <c r="O404" s="61" t="n"/>
      <c r="P404" s="59" t="n"/>
      <c r="Q404" s="59" t="n"/>
      <c r="R404" s="58" t="n"/>
      <c r="S404" s="15">
        <f>I404*J404</f>
        <v/>
      </c>
      <c r="T404" s="15">
        <f>SUM(S404:S404)*68%</f>
        <v/>
      </c>
      <c r="U404" s="15">
        <f>I404*K404*40%*O404</f>
        <v/>
      </c>
      <c r="V404" s="15">
        <f>IF(P404&gt;=6750,(I404*K404*40%),0)</f>
        <v/>
      </c>
      <c r="W404" s="15">
        <f>IF(P404&lt;6750,0,IF(Q404="",0,IF(OR(Q404="KURANG",Q404="SANGAT KURANG"),I404*K404*10%,I404*K404*20%)))</f>
        <v/>
      </c>
      <c r="X404" s="15">
        <f>SUM(U404:W404)*68%</f>
        <v/>
      </c>
      <c r="Y404" s="15">
        <f>I404*L404</f>
        <v/>
      </c>
      <c r="Z404" s="15">
        <f>Y404 * 68%</f>
        <v/>
      </c>
      <c r="AA404" s="15">
        <f>I404*M404</f>
        <v/>
      </c>
      <c r="AB404" s="15">
        <f>AA404*68%</f>
        <v/>
      </c>
      <c r="AC404" s="16">
        <f>ROUND((T404+X404+Z404+AB404),0)</f>
        <v/>
      </c>
      <c r="AD404" s="16">
        <f>AG404</f>
        <v/>
      </c>
      <c r="AE404" s="16">
        <f>AI404</f>
        <v/>
      </c>
      <c r="AF404" s="16">
        <f>AC404+AD404+AE404</f>
        <v/>
      </c>
      <c r="AG404" s="16" t="n"/>
      <c r="AH404" s="17" t="n"/>
      <c r="AI404" s="17">
        <f>AH404*4</f>
        <v/>
      </c>
      <c r="AJ404" s="15">
        <f>AF404-AG404-AH404-AI404</f>
        <v/>
      </c>
      <c r="AK404" s="18" t="n">
        <v>397</v>
      </c>
      <c r="AL404" s="23" t="n"/>
    </row>
    <row r="405" ht="23.5" customHeight="1">
      <c r="A405" s="6" t="inlineStr">
        <is>
          <t>398</t>
        </is>
      </c>
      <c r="B405" s="24" t="n"/>
      <c r="C405" s="55" t="n"/>
      <c r="D405" s="19" t="n"/>
      <c r="E405" s="24" t="n"/>
      <c r="F405" s="25" t="n"/>
      <c r="G405" s="25" t="n"/>
      <c r="H405" s="25" t="n"/>
      <c r="I405" s="11" t="n"/>
      <c r="J405" s="57" t="n"/>
      <c r="K405" s="12" t="n"/>
      <c r="L405" s="22" t="n"/>
      <c r="M405" s="13" t="n"/>
      <c r="N405" s="14">
        <f>ROUND(I405*(SUM(J405:M405))*68%,0)</f>
        <v/>
      </c>
      <c r="O405" s="61" t="n"/>
      <c r="P405" s="59" t="n"/>
      <c r="Q405" s="59" t="n"/>
      <c r="R405" s="58" t="n"/>
      <c r="S405" s="15">
        <f>I405*J405</f>
        <v/>
      </c>
      <c r="T405" s="15">
        <f>SUM(S405:S405)*68%</f>
        <v/>
      </c>
      <c r="U405" s="15">
        <f>I405*K405*40%*O405</f>
        <v/>
      </c>
      <c r="V405" s="15">
        <f>IF(P405&gt;=6750,(I405*K405*40%),0)</f>
        <v/>
      </c>
      <c r="W405" s="15">
        <f>IF(P405&lt;6750,0,IF(Q405="",0,IF(OR(Q405="KURANG",Q405="SANGAT KURANG"),I405*K405*10%,I405*K405*20%)))</f>
        <v/>
      </c>
      <c r="X405" s="15">
        <f>SUM(U405:W405)*68%</f>
        <v/>
      </c>
      <c r="Y405" s="15">
        <f>I405*L405</f>
        <v/>
      </c>
      <c r="Z405" s="15">
        <f>Y405 * 68%</f>
        <v/>
      </c>
      <c r="AA405" s="15">
        <f>I405*M405</f>
        <v/>
      </c>
      <c r="AB405" s="15">
        <f>AA405*68%</f>
        <v/>
      </c>
      <c r="AC405" s="16">
        <f>ROUND((T405+X405+Z405+AB405),0)</f>
        <v/>
      </c>
      <c r="AD405" s="16">
        <f>AG405</f>
        <v/>
      </c>
      <c r="AE405" s="16">
        <f>AI405</f>
        <v/>
      </c>
      <c r="AF405" s="16">
        <f>AC405+AD405+AE405</f>
        <v/>
      </c>
      <c r="AG405" s="16" t="n"/>
      <c r="AH405" s="17" t="n"/>
      <c r="AI405" s="17">
        <f>AH405*4</f>
        <v/>
      </c>
      <c r="AJ405" s="15">
        <f>AF405-AG405-AH405-AI405</f>
        <v/>
      </c>
      <c r="AK405" s="18" t="n">
        <v>398</v>
      </c>
      <c r="AL405" s="40" t="n"/>
    </row>
    <row r="406" ht="23.5" customHeight="1">
      <c r="A406" s="6" t="inlineStr">
        <is>
          <t>399</t>
        </is>
      </c>
      <c r="B406" s="24" t="n"/>
      <c r="C406" s="55" t="n"/>
      <c r="D406" s="19" t="n"/>
      <c r="E406" s="24" t="n"/>
      <c r="F406" s="25" t="n"/>
      <c r="G406" s="25" t="n"/>
      <c r="H406" s="25" t="n"/>
      <c r="I406" s="11" t="n"/>
      <c r="J406" s="57" t="n"/>
      <c r="K406" s="12" t="n"/>
      <c r="L406" s="22" t="n"/>
      <c r="M406" s="13" t="n"/>
      <c r="N406" s="14">
        <f>ROUND(I406*(SUM(J406:M406))*68%,0)</f>
        <v/>
      </c>
      <c r="O406" s="61" t="n"/>
      <c r="P406" s="59" t="n"/>
      <c r="Q406" s="59" t="n"/>
      <c r="R406" s="58" t="n"/>
      <c r="S406" s="15">
        <f>I406*J406</f>
        <v/>
      </c>
      <c r="T406" s="15">
        <f>SUM(S406:S406)*68%</f>
        <v/>
      </c>
      <c r="U406" s="15">
        <f>I406*K406*40%*O406</f>
        <v/>
      </c>
      <c r="V406" s="15">
        <f>IF(P406&gt;=6750,(I406*K406*40%),0)</f>
        <v/>
      </c>
      <c r="W406" s="15">
        <f>IF(P406&lt;6750,0,IF(Q406="",0,IF(OR(Q406="KURANG",Q406="SANGAT KURANG"),I406*K406*10%,I406*K406*20%)))</f>
        <v/>
      </c>
      <c r="X406" s="15">
        <f>SUM(U406:W406)*68%</f>
        <v/>
      </c>
      <c r="Y406" s="15">
        <f>I406*L406</f>
        <v/>
      </c>
      <c r="Z406" s="15">
        <f>Y406 * 68%</f>
        <v/>
      </c>
      <c r="AA406" s="15">
        <f>I406*M406</f>
        <v/>
      </c>
      <c r="AB406" s="15">
        <f>AA406*68%</f>
        <v/>
      </c>
      <c r="AC406" s="16">
        <f>ROUND((T406+X406+Z406+AB406),0)</f>
        <v/>
      </c>
      <c r="AD406" s="16">
        <f>AG406</f>
        <v/>
      </c>
      <c r="AE406" s="16">
        <f>AI406</f>
        <v/>
      </c>
      <c r="AF406" s="16">
        <f>AC406+AD406+AE406</f>
        <v/>
      </c>
      <c r="AG406" s="16" t="n"/>
      <c r="AH406" s="17" t="n"/>
      <c r="AI406" s="17">
        <f>AH406*4</f>
        <v/>
      </c>
      <c r="AJ406" s="15">
        <f>AF406-AG406-AH406-AI406</f>
        <v/>
      </c>
      <c r="AK406" s="18" t="n">
        <v>399</v>
      </c>
      <c r="AL406" s="23" t="n"/>
    </row>
    <row r="407" ht="23.5" customHeight="1">
      <c r="A407" s="6" t="inlineStr">
        <is>
          <t>400</t>
        </is>
      </c>
      <c r="B407" s="24" t="n"/>
      <c r="C407" s="55" t="n"/>
      <c r="D407" s="19" t="n"/>
      <c r="E407" s="24" t="n"/>
      <c r="F407" s="25" t="n"/>
      <c r="G407" s="25" t="n"/>
      <c r="H407" s="25" t="n"/>
      <c r="I407" s="11" t="n"/>
      <c r="J407" s="57" t="n"/>
      <c r="K407" s="12" t="n"/>
      <c r="L407" s="22" t="n"/>
      <c r="M407" s="13" t="n"/>
      <c r="N407" s="14">
        <f>ROUND(I407*(SUM(J407:M407))*68%,0)</f>
        <v/>
      </c>
      <c r="O407" s="61" t="n"/>
      <c r="P407" s="59" t="n"/>
      <c r="Q407" s="59" t="n"/>
      <c r="R407" s="58" t="n"/>
      <c r="S407" s="15">
        <f>I407*J407</f>
        <v/>
      </c>
      <c r="T407" s="15">
        <f>SUM(S407:S407)*68%</f>
        <v/>
      </c>
      <c r="U407" s="15">
        <f>I407*K407*40%*O407</f>
        <v/>
      </c>
      <c r="V407" s="15">
        <f>IF(P407&gt;=6750,(I407*K407*40%),0)</f>
        <v/>
      </c>
      <c r="W407" s="15">
        <f>IF(P407&lt;6750,0,IF(Q407="",0,IF(OR(Q407="KURANG",Q407="SANGAT KURANG"),I407*K407*10%,I407*K407*20%)))</f>
        <v/>
      </c>
      <c r="X407" s="15">
        <f>SUM(U407:W407)*68%</f>
        <v/>
      </c>
      <c r="Y407" s="15">
        <f>I407*L407</f>
        <v/>
      </c>
      <c r="Z407" s="15">
        <f>Y407 * 68%</f>
        <v/>
      </c>
      <c r="AA407" s="15">
        <f>I407*M407</f>
        <v/>
      </c>
      <c r="AB407" s="15">
        <f>AA407*68%</f>
        <v/>
      </c>
      <c r="AC407" s="16">
        <f>ROUND((T407+X407+Z407+AB407),0)</f>
        <v/>
      </c>
      <c r="AD407" s="16">
        <f>AG407</f>
        <v/>
      </c>
      <c r="AE407" s="16">
        <f>AI407</f>
        <v/>
      </c>
      <c r="AF407" s="16">
        <f>AC407+AD407+AE407</f>
        <v/>
      </c>
      <c r="AG407" s="16" t="n"/>
      <c r="AH407" s="17" t="n"/>
      <c r="AI407" s="17">
        <f>AH407*4</f>
        <v/>
      </c>
      <c r="AJ407" s="15">
        <f>AF407-AG407-AH407-AI407</f>
        <v/>
      </c>
      <c r="AK407" s="18" t="n">
        <v>400</v>
      </c>
      <c r="AL407" s="23" t="n"/>
    </row>
    <row r="408" ht="23.5" customHeight="1">
      <c r="A408" s="6" t="inlineStr">
        <is>
          <t>401</t>
        </is>
      </c>
      <c r="B408" s="24" t="n"/>
      <c r="C408" s="55" t="n"/>
      <c r="D408" s="19" t="n"/>
      <c r="E408" s="24" t="n"/>
      <c r="F408" s="25" t="n"/>
      <c r="G408" s="25" t="n"/>
      <c r="H408" s="25" t="n"/>
      <c r="I408" s="11" t="n"/>
      <c r="J408" s="57" t="n"/>
      <c r="K408" s="12" t="n"/>
      <c r="L408" s="22" t="n"/>
      <c r="M408" s="13" t="n"/>
      <c r="N408" s="14">
        <f>ROUND(I408*(SUM(J408:M408))*68%,0)</f>
        <v/>
      </c>
      <c r="O408" s="61" t="n"/>
      <c r="P408" s="59" t="n"/>
      <c r="Q408" s="59" t="n"/>
      <c r="R408" s="58" t="n"/>
      <c r="S408" s="15">
        <f>I408*J408</f>
        <v/>
      </c>
      <c r="T408" s="15">
        <f>SUM(S408:S408)*68%</f>
        <v/>
      </c>
      <c r="U408" s="15">
        <f>I408*K408*40%*O408</f>
        <v/>
      </c>
      <c r="V408" s="15">
        <f>IF(P408&gt;=6750,(I408*K408*40%),0)</f>
        <v/>
      </c>
      <c r="W408" s="15">
        <f>IF(P408&lt;6750,0,IF(Q408="",0,IF(OR(Q408="KURANG",Q408="SANGAT KURANG"),I408*K408*10%,I408*K408*20%)))</f>
        <v/>
      </c>
      <c r="X408" s="15">
        <f>SUM(U408:W408)*68%</f>
        <v/>
      </c>
      <c r="Y408" s="15">
        <f>I408*L408</f>
        <v/>
      </c>
      <c r="Z408" s="15">
        <f>Y408 * 68%</f>
        <v/>
      </c>
      <c r="AA408" s="15">
        <f>I408*M408</f>
        <v/>
      </c>
      <c r="AB408" s="15">
        <f>AA408*68%</f>
        <v/>
      </c>
      <c r="AC408" s="16">
        <f>ROUND((T408+X408+Z408+AB408),0)</f>
        <v/>
      </c>
      <c r="AD408" s="16">
        <f>AG408</f>
        <v/>
      </c>
      <c r="AE408" s="16">
        <f>AI408</f>
        <v/>
      </c>
      <c r="AF408" s="16">
        <f>AC408+AD408+AE408</f>
        <v/>
      </c>
      <c r="AG408" s="16" t="n"/>
      <c r="AH408" s="17" t="n"/>
      <c r="AI408" s="17">
        <f>AH408*4</f>
        <v/>
      </c>
      <c r="AJ408" s="15">
        <f>AF408-AG408-AH408-AI408</f>
        <v/>
      </c>
      <c r="AK408" s="18" t="n">
        <v>401</v>
      </c>
      <c r="AL408" s="40" t="n"/>
    </row>
    <row r="409" ht="23.5" customHeight="1">
      <c r="A409" s="6" t="inlineStr">
        <is>
          <t>402</t>
        </is>
      </c>
      <c r="B409" s="24" t="n"/>
      <c r="C409" s="55" t="n"/>
      <c r="D409" s="19" t="n"/>
      <c r="E409" s="24" t="n"/>
      <c r="F409" s="25" t="n"/>
      <c r="G409" s="25" t="n"/>
      <c r="H409" s="25" t="n"/>
      <c r="I409" s="11" t="n"/>
      <c r="J409" s="57" t="n"/>
      <c r="K409" s="12" t="n"/>
      <c r="L409" s="22" t="n"/>
      <c r="M409" s="13" t="n"/>
      <c r="N409" s="14">
        <f>ROUND(I409*(SUM(J409:M409))*68%,0)</f>
        <v/>
      </c>
      <c r="O409" s="61" t="n"/>
      <c r="P409" s="59" t="n"/>
      <c r="Q409" s="59" t="n"/>
      <c r="R409" s="58" t="n"/>
      <c r="S409" s="15">
        <f>I409*J409</f>
        <v/>
      </c>
      <c r="T409" s="15">
        <f>SUM(S409:S409)*68%</f>
        <v/>
      </c>
      <c r="U409" s="15">
        <f>I409*K409*40%*O409</f>
        <v/>
      </c>
      <c r="V409" s="15">
        <f>IF(P409&gt;=6750,(I409*K409*40%),0)</f>
        <v/>
      </c>
      <c r="W409" s="15">
        <f>IF(P409&lt;6750,0,IF(Q409="",0,IF(OR(Q409="KURANG",Q409="SANGAT KURANG"),I409*K409*10%,I409*K409*20%)))</f>
        <v/>
      </c>
      <c r="X409" s="15">
        <f>SUM(U409:W409)*68%</f>
        <v/>
      </c>
      <c r="Y409" s="15">
        <f>I409*L409</f>
        <v/>
      </c>
      <c r="Z409" s="15">
        <f>Y409 * 68%</f>
        <v/>
      </c>
      <c r="AA409" s="15">
        <f>I409*M409</f>
        <v/>
      </c>
      <c r="AB409" s="15">
        <f>AA409*68%</f>
        <v/>
      </c>
      <c r="AC409" s="16">
        <f>ROUND((T409+X409+Z409+AB409),0)</f>
        <v/>
      </c>
      <c r="AD409" s="16">
        <f>AG409</f>
        <v/>
      </c>
      <c r="AE409" s="16">
        <f>AI409</f>
        <v/>
      </c>
      <c r="AF409" s="16">
        <f>AC409+AD409+AE409</f>
        <v/>
      </c>
      <c r="AG409" s="16" t="n"/>
      <c r="AH409" s="17" t="n"/>
      <c r="AI409" s="17">
        <f>AH409*4</f>
        <v/>
      </c>
      <c r="AJ409" s="15">
        <f>AF409-AG409-AH409-AI409</f>
        <v/>
      </c>
      <c r="AK409" s="18" t="n">
        <v>402</v>
      </c>
      <c r="AL409" s="23" t="n"/>
    </row>
    <row r="410" ht="23.5" customHeight="1">
      <c r="A410" s="6" t="inlineStr">
        <is>
          <t>403</t>
        </is>
      </c>
      <c r="B410" s="24" t="n"/>
      <c r="C410" s="55" t="n"/>
      <c r="D410" s="19" t="n"/>
      <c r="E410" s="24" t="n"/>
      <c r="F410" s="25" t="n"/>
      <c r="G410" s="25" t="n"/>
      <c r="H410" s="25" t="n"/>
      <c r="I410" s="11" t="n"/>
      <c r="J410" s="57" t="n"/>
      <c r="K410" s="12" t="n"/>
      <c r="L410" s="22" t="n"/>
      <c r="M410" s="13" t="n"/>
      <c r="N410" s="14">
        <f>ROUND(I410*(SUM(J410:M410))*68%,0)</f>
        <v/>
      </c>
      <c r="O410" s="61" t="n"/>
      <c r="P410" s="59" t="n"/>
      <c r="Q410" s="59" t="n"/>
      <c r="R410" s="58" t="n"/>
      <c r="S410" s="15">
        <f>I410*J410</f>
        <v/>
      </c>
      <c r="T410" s="15">
        <f>SUM(S410:S410)*68%</f>
        <v/>
      </c>
      <c r="U410" s="15">
        <f>I410*K410*40%*O410</f>
        <v/>
      </c>
      <c r="V410" s="15">
        <f>IF(P410&gt;=6750,(I410*K410*40%),0)</f>
        <v/>
      </c>
      <c r="W410" s="15">
        <f>IF(P410&lt;6750,0,IF(Q410="",0,IF(OR(Q410="KURANG",Q410="SANGAT KURANG"),I410*K410*10%,I410*K410*20%)))</f>
        <v/>
      </c>
      <c r="X410" s="15">
        <f>SUM(U410:W410)*68%</f>
        <v/>
      </c>
      <c r="Y410" s="15">
        <f>I410*L410</f>
        <v/>
      </c>
      <c r="Z410" s="15">
        <f>Y410 * 68%</f>
        <v/>
      </c>
      <c r="AA410" s="15">
        <f>I410*M410</f>
        <v/>
      </c>
      <c r="AB410" s="15">
        <f>AA410*68%</f>
        <v/>
      </c>
      <c r="AC410" s="16">
        <f>ROUND((T410+X410+Z410+AB410),0)</f>
        <v/>
      </c>
      <c r="AD410" s="16">
        <f>AG410</f>
        <v/>
      </c>
      <c r="AE410" s="16">
        <f>AI410</f>
        <v/>
      </c>
      <c r="AF410" s="16">
        <f>AC410+AD410+AE410</f>
        <v/>
      </c>
      <c r="AG410" s="16" t="n"/>
      <c r="AH410" s="17" t="n"/>
      <c r="AI410" s="17">
        <f>AH410*4</f>
        <v/>
      </c>
      <c r="AJ410" s="15">
        <f>AF410-AG410-AH410-AI410</f>
        <v/>
      </c>
      <c r="AK410" s="18" t="n">
        <v>403</v>
      </c>
      <c r="AL410" s="23" t="n"/>
    </row>
    <row r="411" ht="23.5" customHeight="1">
      <c r="A411" s="6" t="inlineStr">
        <is>
          <t>404</t>
        </is>
      </c>
      <c r="B411" s="24" t="n"/>
      <c r="C411" s="55" t="n"/>
      <c r="D411" s="19" t="n"/>
      <c r="E411" s="24" t="n"/>
      <c r="F411" s="25" t="n"/>
      <c r="G411" s="25" t="n"/>
      <c r="H411" s="25" t="n"/>
      <c r="I411" s="11" t="n"/>
      <c r="J411" s="57" t="n"/>
      <c r="K411" s="12" t="n"/>
      <c r="L411" s="22" t="n"/>
      <c r="M411" s="13" t="n"/>
      <c r="N411" s="14">
        <f>ROUND(I411*(SUM(J411:M411))*68%,0)</f>
        <v/>
      </c>
      <c r="O411" s="61" t="n"/>
      <c r="P411" s="59" t="n"/>
      <c r="Q411" s="59" t="n"/>
      <c r="R411" s="58" t="n"/>
      <c r="S411" s="15">
        <f>I411*J411</f>
        <v/>
      </c>
      <c r="T411" s="15">
        <f>SUM(S411:S411)*68%</f>
        <v/>
      </c>
      <c r="U411" s="15">
        <f>I411*K411*40%*O411</f>
        <v/>
      </c>
      <c r="V411" s="15">
        <f>IF(P411&gt;=6750,(I411*K411*40%),0)</f>
        <v/>
      </c>
      <c r="W411" s="15">
        <f>IF(P411&lt;6750,0,IF(Q411="",0,IF(OR(Q411="KURANG",Q411="SANGAT KURANG"),I411*K411*10%,I411*K411*20%)))</f>
        <v/>
      </c>
      <c r="X411" s="15">
        <f>SUM(U411:W411)*68%</f>
        <v/>
      </c>
      <c r="Y411" s="15">
        <f>I411*L411</f>
        <v/>
      </c>
      <c r="Z411" s="15">
        <f>Y411 * 68%</f>
        <v/>
      </c>
      <c r="AA411" s="15">
        <f>I411*M411</f>
        <v/>
      </c>
      <c r="AB411" s="15">
        <f>AA411*68%</f>
        <v/>
      </c>
      <c r="AC411" s="16">
        <f>ROUND((T411+X411+Z411+AB411),0)</f>
        <v/>
      </c>
      <c r="AD411" s="16">
        <f>AG411</f>
        <v/>
      </c>
      <c r="AE411" s="16">
        <f>AI411</f>
        <v/>
      </c>
      <c r="AF411" s="16">
        <f>AC411+AD411+AE411</f>
        <v/>
      </c>
      <c r="AG411" s="16" t="n"/>
      <c r="AH411" s="17" t="n"/>
      <c r="AI411" s="17">
        <f>AH411*4</f>
        <v/>
      </c>
      <c r="AJ411" s="15">
        <f>AF411-AG411-AH411-AI411</f>
        <v/>
      </c>
      <c r="AK411" s="18" t="n">
        <v>404</v>
      </c>
      <c r="AL411" s="40" t="n"/>
    </row>
    <row r="412" ht="23.5" customHeight="1">
      <c r="A412" s="6" t="inlineStr">
        <is>
          <t>405</t>
        </is>
      </c>
      <c r="B412" s="24" t="n"/>
      <c r="C412" s="55" t="n"/>
      <c r="D412" s="19" t="n"/>
      <c r="E412" s="24" t="n"/>
      <c r="F412" s="25" t="n"/>
      <c r="G412" s="25" t="n"/>
      <c r="H412" s="25" t="n"/>
      <c r="I412" s="11" t="n"/>
      <c r="J412" s="57" t="n"/>
      <c r="K412" s="12" t="n"/>
      <c r="L412" s="22" t="n"/>
      <c r="M412" s="13" t="n"/>
      <c r="N412" s="14">
        <f>ROUND(I412*(SUM(J412:M412))*68%,0)</f>
        <v/>
      </c>
      <c r="O412" s="61" t="n"/>
      <c r="P412" s="59" t="n"/>
      <c r="Q412" s="59" t="n"/>
      <c r="R412" s="58" t="n"/>
      <c r="S412" s="15">
        <f>I412*J412</f>
        <v/>
      </c>
      <c r="T412" s="15">
        <f>SUM(S412:S412)*68%</f>
        <v/>
      </c>
      <c r="U412" s="15">
        <f>I412*K412*40%*O412</f>
        <v/>
      </c>
      <c r="V412" s="15">
        <f>IF(P412&gt;=6750,(I412*K412*40%),0)</f>
        <v/>
      </c>
      <c r="W412" s="15">
        <f>IF(P412&lt;6750,0,IF(Q412="",0,IF(OR(Q412="KURANG",Q412="SANGAT KURANG"),I412*K412*10%,I412*K412*20%)))</f>
        <v/>
      </c>
      <c r="X412" s="15">
        <f>SUM(U412:W412)*68%</f>
        <v/>
      </c>
      <c r="Y412" s="15">
        <f>I412*L412</f>
        <v/>
      </c>
      <c r="Z412" s="15">
        <f>Y412 * 68%</f>
        <v/>
      </c>
      <c r="AA412" s="15">
        <f>I412*M412</f>
        <v/>
      </c>
      <c r="AB412" s="15">
        <f>AA412*68%</f>
        <v/>
      </c>
      <c r="AC412" s="16">
        <f>ROUND((T412+X412+Z412+AB412),0)</f>
        <v/>
      </c>
      <c r="AD412" s="16">
        <f>AG412</f>
        <v/>
      </c>
      <c r="AE412" s="16">
        <f>AI412</f>
        <v/>
      </c>
      <c r="AF412" s="16">
        <f>AC412+AD412+AE412</f>
        <v/>
      </c>
      <c r="AG412" s="16" t="n"/>
      <c r="AH412" s="17" t="n"/>
      <c r="AI412" s="17">
        <f>AH412*4</f>
        <v/>
      </c>
      <c r="AJ412" s="15">
        <f>AF412-AG412-AH412-AI412</f>
        <v/>
      </c>
      <c r="AK412" s="18" t="n">
        <v>405</v>
      </c>
      <c r="AL412" s="23" t="n"/>
    </row>
    <row r="413" ht="23.5" customHeight="1">
      <c r="A413" s="6" t="inlineStr">
        <is>
          <t>406</t>
        </is>
      </c>
      <c r="B413" s="24" t="n"/>
      <c r="C413" s="55" t="n"/>
      <c r="D413" s="19" t="n"/>
      <c r="E413" s="24" t="n"/>
      <c r="F413" s="25" t="n"/>
      <c r="G413" s="25" t="n"/>
      <c r="H413" s="25" t="n"/>
      <c r="I413" s="11" t="n"/>
      <c r="J413" s="57" t="n"/>
      <c r="K413" s="12" t="n"/>
      <c r="L413" s="22" t="n"/>
      <c r="M413" s="13" t="n"/>
      <c r="N413" s="14">
        <f>ROUND(I413*(SUM(J413:M413))*68%,0)</f>
        <v/>
      </c>
      <c r="O413" s="61" t="n"/>
      <c r="P413" s="59" t="n"/>
      <c r="Q413" s="59" t="n"/>
      <c r="R413" s="58" t="n"/>
      <c r="S413" s="15">
        <f>I413*J413</f>
        <v/>
      </c>
      <c r="T413" s="15">
        <f>SUM(S413:S413)*68%</f>
        <v/>
      </c>
      <c r="U413" s="15">
        <f>I413*K413*40%*O413</f>
        <v/>
      </c>
      <c r="V413" s="15">
        <f>IF(P413&gt;=6750,(I413*K413*40%),0)</f>
        <v/>
      </c>
      <c r="W413" s="15">
        <f>IF(P413&lt;6750,0,IF(Q413="",0,IF(OR(Q413="KURANG",Q413="SANGAT KURANG"),I413*K413*10%,I413*K413*20%)))</f>
        <v/>
      </c>
      <c r="X413" s="15">
        <f>SUM(U413:W413)*68%</f>
        <v/>
      </c>
      <c r="Y413" s="15">
        <f>I413*L413</f>
        <v/>
      </c>
      <c r="Z413" s="15">
        <f>Y413 * 68%</f>
        <v/>
      </c>
      <c r="AA413" s="15">
        <f>I413*M413</f>
        <v/>
      </c>
      <c r="AB413" s="15">
        <f>AA413*68%</f>
        <v/>
      </c>
      <c r="AC413" s="16">
        <f>ROUND((T413+X413+Z413+AB413),0)</f>
        <v/>
      </c>
      <c r="AD413" s="16">
        <f>AG413</f>
        <v/>
      </c>
      <c r="AE413" s="16">
        <f>AI413</f>
        <v/>
      </c>
      <c r="AF413" s="16">
        <f>AC413+AD413+AE413</f>
        <v/>
      </c>
      <c r="AG413" s="16" t="n"/>
      <c r="AH413" s="17" t="n"/>
      <c r="AI413" s="17">
        <f>AH413*4</f>
        <v/>
      </c>
      <c r="AJ413" s="15">
        <f>AF413-AG413-AH413-AI413</f>
        <v/>
      </c>
      <c r="AK413" s="18" t="n">
        <v>406</v>
      </c>
      <c r="AL413" s="23" t="n"/>
    </row>
    <row r="414" ht="23.5" customHeight="1">
      <c r="A414" s="6" t="inlineStr">
        <is>
          <t>407</t>
        </is>
      </c>
      <c r="B414" s="24" t="n"/>
      <c r="C414" s="55" t="n"/>
      <c r="D414" s="19" t="n"/>
      <c r="E414" s="24" t="n"/>
      <c r="F414" s="25" t="n"/>
      <c r="G414" s="25" t="n"/>
      <c r="H414" s="25" t="n"/>
      <c r="I414" s="11" t="n"/>
      <c r="J414" s="57" t="n"/>
      <c r="K414" s="12" t="n"/>
      <c r="L414" s="22" t="n"/>
      <c r="M414" s="13" t="n"/>
      <c r="N414" s="14">
        <f>ROUND(I414*(SUM(J414:M414))*68%,0)</f>
        <v/>
      </c>
      <c r="O414" s="61" t="n"/>
      <c r="P414" s="59" t="n"/>
      <c r="Q414" s="59" t="n"/>
      <c r="R414" s="58" t="n"/>
      <c r="S414" s="15">
        <f>I414*J414</f>
        <v/>
      </c>
      <c r="T414" s="15">
        <f>SUM(S414:S414)*68%</f>
        <v/>
      </c>
      <c r="U414" s="15">
        <f>I414*K414*40%*O414</f>
        <v/>
      </c>
      <c r="V414" s="15">
        <f>IF(P414&gt;=6750,(I414*K414*40%),0)</f>
        <v/>
      </c>
      <c r="W414" s="15">
        <f>IF(P414&lt;6750,0,IF(Q414="",0,IF(OR(Q414="KURANG",Q414="SANGAT KURANG"),I414*K414*10%,I414*K414*20%)))</f>
        <v/>
      </c>
      <c r="X414" s="15">
        <f>SUM(U414:W414)*68%</f>
        <v/>
      </c>
      <c r="Y414" s="15">
        <f>I414*L414</f>
        <v/>
      </c>
      <c r="Z414" s="15">
        <f>Y414 * 68%</f>
        <v/>
      </c>
      <c r="AA414" s="15">
        <f>I414*M414</f>
        <v/>
      </c>
      <c r="AB414" s="15">
        <f>AA414*68%</f>
        <v/>
      </c>
      <c r="AC414" s="16">
        <f>ROUND((T414+X414+Z414+AB414),0)</f>
        <v/>
      </c>
      <c r="AD414" s="16">
        <f>AG414</f>
        <v/>
      </c>
      <c r="AE414" s="16">
        <f>AI414</f>
        <v/>
      </c>
      <c r="AF414" s="16">
        <f>AC414+AD414+AE414</f>
        <v/>
      </c>
      <c r="AG414" s="16" t="n"/>
      <c r="AH414" s="17" t="n"/>
      <c r="AI414" s="17">
        <f>AH414*4</f>
        <v/>
      </c>
      <c r="AJ414" s="15">
        <f>AF414-AG414-AH414-AI414</f>
        <v/>
      </c>
      <c r="AK414" s="18" t="n">
        <v>407</v>
      </c>
      <c r="AL414" s="40" t="n"/>
    </row>
    <row r="415" ht="23.5" customHeight="1">
      <c r="A415" s="6" t="inlineStr">
        <is>
          <t>408</t>
        </is>
      </c>
      <c r="B415" s="28" t="n"/>
      <c r="C415" s="55" t="n"/>
      <c r="D415" s="19" t="n"/>
      <c r="E415" s="24" t="n"/>
      <c r="F415" s="25" t="n"/>
      <c r="G415" s="25" t="n"/>
      <c r="H415" s="24" t="n"/>
      <c r="I415" s="11" t="n"/>
      <c r="J415" s="57" t="n"/>
      <c r="K415" s="12" t="n"/>
      <c r="L415" s="13" t="n"/>
      <c r="M415" s="13" t="n"/>
      <c r="N415" s="14">
        <f>ROUND(I415*(SUM(J415:M415))*68%,0)</f>
        <v/>
      </c>
      <c r="O415" s="61" t="n"/>
      <c r="P415" s="59" t="n"/>
      <c r="Q415" s="59" t="n"/>
      <c r="R415" s="58" t="n"/>
      <c r="S415" s="15">
        <f>I415*J415</f>
        <v/>
      </c>
      <c r="T415" s="15">
        <f>SUM(S415:S415)*68%</f>
        <v/>
      </c>
      <c r="U415" s="15">
        <f>I415*K415*40%*O415</f>
        <v/>
      </c>
      <c r="V415" s="15">
        <f>IF(P415&gt;=6750,(I415*K415*40%),0)</f>
        <v/>
      </c>
      <c r="W415" s="15">
        <f>IF(P415&lt;6750,0,IF(Q415="",0,IF(OR(Q415="KURANG",Q415="SANGAT KURANG"),I415*K415*10%,I415*K415*20%)))</f>
        <v/>
      </c>
      <c r="X415" s="15">
        <f>SUM(U415:W415)*68%</f>
        <v/>
      </c>
      <c r="Y415" s="15">
        <f>I415*L415</f>
        <v/>
      </c>
      <c r="Z415" s="15">
        <f>Y415 * 68%</f>
        <v/>
      </c>
      <c r="AA415" s="15">
        <f>I415*M415</f>
        <v/>
      </c>
      <c r="AB415" s="15">
        <f>AA415*68%</f>
        <v/>
      </c>
      <c r="AC415" s="16">
        <f>ROUND((T415+X415+Z415+AB415),0)</f>
        <v/>
      </c>
      <c r="AD415" s="16">
        <f>AG415</f>
        <v/>
      </c>
      <c r="AE415" s="16">
        <f>AI415</f>
        <v/>
      </c>
      <c r="AF415" s="16">
        <f>AC415+AD415+AE415</f>
        <v/>
      </c>
      <c r="AG415" s="16" t="n"/>
      <c r="AH415" s="17" t="n"/>
      <c r="AI415" s="17">
        <f>AH415*4</f>
        <v/>
      </c>
      <c r="AJ415" s="15">
        <f>AF415-AG415-AH415-AI415</f>
        <v/>
      </c>
      <c r="AK415" s="18" t="n">
        <v>408</v>
      </c>
      <c r="AL415" s="23" t="n"/>
    </row>
    <row r="416" ht="23.5" customHeight="1">
      <c r="A416" s="6" t="inlineStr">
        <is>
          <t>409</t>
        </is>
      </c>
      <c r="B416" s="28" t="n"/>
      <c r="C416" s="55" t="n"/>
      <c r="D416" s="19" t="n"/>
      <c r="E416" s="24" t="n"/>
      <c r="F416" s="25" t="n"/>
      <c r="G416" s="25" t="n"/>
      <c r="H416" s="24" t="n"/>
      <c r="I416" s="11" t="n"/>
      <c r="J416" s="57" t="n"/>
      <c r="K416" s="12" t="n"/>
      <c r="L416" s="13" t="n"/>
      <c r="M416" s="13" t="n"/>
      <c r="N416" s="14">
        <f>ROUND(I416*(SUM(J416:M416))*68%,0)</f>
        <v/>
      </c>
      <c r="O416" s="61" t="n"/>
      <c r="P416" s="59" t="n"/>
      <c r="Q416" s="59" t="n"/>
      <c r="R416" s="58" t="n"/>
      <c r="S416" s="15">
        <f>I416*J416</f>
        <v/>
      </c>
      <c r="T416" s="15">
        <f>SUM(S416:S416)*68%</f>
        <v/>
      </c>
      <c r="U416" s="15">
        <f>I416*K416*40%*O416</f>
        <v/>
      </c>
      <c r="V416" s="15">
        <f>IF(P416&gt;=6750,(I416*K416*40%),0)</f>
        <v/>
      </c>
      <c r="W416" s="15">
        <f>IF(P416&lt;6750,0,IF(Q416="",0,IF(OR(Q416="KURANG",Q416="SANGAT KURANG"),I416*K416*10%,I416*K416*20%)))</f>
        <v/>
      </c>
      <c r="X416" s="15">
        <f>SUM(U416:W416)*68%</f>
        <v/>
      </c>
      <c r="Y416" s="15">
        <f>I416*L416</f>
        <v/>
      </c>
      <c r="Z416" s="15">
        <f>Y416 * 68%</f>
        <v/>
      </c>
      <c r="AA416" s="15">
        <f>I416*M416</f>
        <v/>
      </c>
      <c r="AB416" s="15">
        <f>AA416*68%</f>
        <v/>
      </c>
      <c r="AC416" s="16">
        <f>ROUND((T416+X416+Z416+AB416),0)</f>
        <v/>
      </c>
      <c r="AD416" s="16">
        <f>AG416</f>
        <v/>
      </c>
      <c r="AE416" s="16">
        <f>AI416</f>
        <v/>
      </c>
      <c r="AF416" s="16">
        <f>AC416+AD416+AE416</f>
        <v/>
      </c>
      <c r="AG416" s="16" t="n"/>
      <c r="AH416" s="17" t="n"/>
      <c r="AI416" s="17">
        <f>AH416*4</f>
        <v/>
      </c>
      <c r="AJ416" s="15">
        <f>AF416-AG416-AH416-AI416</f>
        <v/>
      </c>
      <c r="AK416" s="18" t="n">
        <v>409</v>
      </c>
      <c r="AL416" s="23" t="n"/>
    </row>
    <row r="417" ht="23.5" customHeight="1">
      <c r="A417" s="6" t="inlineStr">
        <is>
          <t>410</t>
        </is>
      </c>
      <c r="B417" s="28" t="n"/>
      <c r="C417" s="55" t="n"/>
      <c r="D417" s="19" t="n"/>
      <c r="E417" s="24" t="n"/>
      <c r="F417" s="25" t="n"/>
      <c r="G417" s="25" t="n"/>
      <c r="H417" s="24" t="n"/>
      <c r="I417" s="11" t="n"/>
      <c r="J417" s="57" t="n"/>
      <c r="K417" s="12" t="n"/>
      <c r="L417" s="13" t="n"/>
      <c r="M417" s="13" t="n"/>
      <c r="N417" s="14">
        <f>ROUND(I417*(SUM(J417:M417))*68%,0)</f>
        <v/>
      </c>
      <c r="O417" s="61" t="n"/>
      <c r="P417" s="59" t="n"/>
      <c r="Q417" s="59" t="n"/>
      <c r="R417" s="58" t="n"/>
      <c r="S417" s="15">
        <f>I417*J417</f>
        <v/>
      </c>
      <c r="T417" s="15">
        <f>SUM(S417:S417)*68%</f>
        <v/>
      </c>
      <c r="U417" s="15">
        <f>I417*K417*40%*O417</f>
        <v/>
      </c>
      <c r="V417" s="15">
        <f>IF(P417&gt;=6750,(I417*K417*40%),0)</f>
        <v/>
      </c>
      <c r="W417" s="15">
        <f>IF(P417&lt;6750,0,IF(Q417="",0,IF(OR(Q417="KURANG",Q417="SANGAT KURANG"),I417*K417*10%,I417*K417*20%)))</f>
        <v/>
      </c>
      <c r="X417" s="15">
        <f>SUM(U417:W417)*68%</f>
        <v/>
      </c>
      <c r="Y417" s="15">
        <f>I417*L417</f>
        <v/>
      </c>
      <c r="Z417" s="15">
        <f>Y417 * 68%</f>
        <v/>
      </c>
      <c r="AA417" s="15">
        <f>I417*M417</f>
        <v/>
      </c>
      <c r="AB417" s="15">
        <f>AA417*68%</f>
        <v/>
      </c>
      <c r="AC417" s="16">
        <f>ROUND((T417+X417+Z417+AB417),0)</f>
        <v/>
      </c>
      <c r="AD417" s="16">
        <f>AG417</f>
        <v/>
      </c>
      <c r="AE417" s="16">
        <f>AI417</f>
        <v/>
      </c>
      <c r="AF417" s="16">
        <f>AC417+AD417+AE417</f>
        <v/>
      </c>
      <c r="AG417" s="16" t="n"/>
      <c r="AH417" s="17" t="n"/>
      <c r="AI417" s="17">
        <f>AH417*4</f>
        <v/>
      </c>
      <c r="AJ417" s="15">
        <f>AF417-AG417-AH417-AI417</f>
        <v/>
      </c>
      <c r="AK417" s="18" t="n">
        <v>410</v>
      </c>
      <c r="AL417" s="40" t="n"/>
    </row>
    <row r="418" ht="23.5" customHeight="1">
      <c r="A418" s="6" t="inlineStr">
        <is>
          <t>411</t>
        </is>
      </c>
      <c r="B418" s="28" t="n"/>
      <c r="C418" s="55" t="n"/>
      <c r="D418" s="19" t="n"/>
      <c r="E418" s="24" t="n"/>
      <c r="F418" s="25" t="n"/>
      <c r="G418" s="25" t="n"/>
      <c r="H418" s="24" t="n"/>
      <c r="I418" s="11" t="n"/>
      <c r="J418" s="57" t="n"/>
      <c r="K418" s="12" t="n"/>
      <c r="L418" s="13" t="n"/>
      <c r="M418" s="13" t="n"/>
      <c r="N418" s="14">
        <f>ROUND(I418*(SUM(J418:M418))*68%,0)</f>
        <v/>
      </c>
      <c r="O418" s="61" t="n"/>
      <c r="P418" s="59" t="n"/>
      <c r="Q418" s="59" t="n"/>
      <c r="R418" s="58" t="n"/>
      <c r="S418" s="15">
        <f>I418*J418</f>
        <v/>
      </c>
      <c r="T418" s="15">
        <f>SUM(S418:S418)*68%</f>
        <v/>
      </c>
      <c r="U418" s="15">
        <f>I418*K418*40%*O418</f>
        <v/>
      </c>
      <c r="V418" s="15">
        <f>IF(P418&gt;=6750,(I418*K418*40%),0)</f>
        <v/>
      </c>
      <c r="W418" s="15">
        <f>IF(P418&lt;6750,0,IF(Q418="",0,IF(OR(Q418="KURANG",Q418="SANGAT KURANG"),I418*K418*10%,I418*K418*20%)))</f>
        <v/>
      </c>
      <c r="X418" s="15">
        <f>SUM(U418:W418)*68%</f>
        <v/>
      </c>
      <c r="Y418" s="15">
        <f>I418*L418</f>
        <v/>
      </c>
      <c r="Z418" s="15">
        <f>Y418 * 68%</f>
        <v/>
      </c>
      <c r="AA418" s="15">
        <f>I418*M418</f>
        <v/>
      </c>
      <c r="AB418" s="15">
        <f>AA418*68%</f>
        <v/>
      </c>
      <c r="AC418" s="16">
        <f>ROUND((T418+X418+Z418+AB418),0)</f>
        <v/>
      </c>
      <c r="AD418" s="16">
        <f>AG418</f>
        <v/>
      </c>
      <c r="AE418" s="16">
        <f>AI418</f>
        <v/>
      </c>
      <c r="AF418" s="16">
        <f>AC418+AD418+AE418</f>
        <v/>
      </c>
      <c r="AG418" s="16" t="n"/>
      <c r="AH418" s="17" t="n"/>
      <c r="AI418" s="17">
        <f>AH418*4</f>
        <v/>
      </c>
      <c r="AJ418" s="15">
        <f>AF418-AG418-AH418-AI418</f>
        <v/>
      </c>
      <c r="AK418" s="18" t="n">
        <v>411</v>
      </c>
      <c r="AL418" s="23" t="n"/>
    </row>
    <row r="419" ht="23.5" customHeight="1">
      <c r="A419" s="6" t="inlineStr">
        <is>
          <t>412</t>
        </is>
      </c>
      <c r="B419" s="28" t="n"/>
      <c r="C419" s="55" t="n"/>
      <c r="D419" s="19" t="n"/>
      <c r="E419" s="24" t="n"/>
      <c r="F419" s="25" t="n"/>
      <c r="G419" s="25" t="n"/>
      <c r="H419" s="24" t="n"/>
      <c r="I419" s="11" t="n"/>
      <c r="J419" s="57" t="n"/>
      <c r="K419" s="12" t="n"/>
      <c r="L419" s="13" t="n"/>
      <c r="M419" s="13" t="n"/>
      <c r="N419" s="14">
        <f>ROUND(I419*(SUM(J419:M419))*68%,0)</f>
        <v/>
      </c>
      <c r="O419" s="61" t="n"/>
      <c r="P419" s="59" t="n"/>
      <c r="Q419" s="59" t="n"/>
      <c r="R419" s="58" t="n"/>
      <c r="S419" s="15">
        <f>I419*J419</f>
        <v/>
      </c>
      <c r="T419" s="15">
        <f>SUM(S419:S419)*68%</f>
        <v/>
      </c>
      <c r="U419" s="15">
        <f>I419*K419*40%*O419</f>
        <v/>
      </c>
      <c r="V419" s="15">
        <f>IF(P419&gt;=6750,(I419*K419*40%),0)</f>
        <v/>
      </c>
      <c r="W419" s="15">
        <f>IF(P419&lt;6750,0,IF(Q419="",0,IF(OR(Q419="KURANG",Q419="SANGAT KURANG"),I419*K419*10%,I419*K419*20%)))</f>
        <v/>
      </c>
      <c r="X419" s="15">
        <f>SUM(U419:W419)*68%</f>
        <v/>
      </c>
      <c r="Y419" s="15">
        <f>I419*L419</f>
        <v/>
      </c>
      <c r="Z419" s="15">
        <f>Y419 * 68%</f>
        <v/>
      </c>
      <c r="AA419" s="15">
        <f>I419*M419</f>
        <v/>
      </c>
      <c r="AB419" s="15">
        <f>AA419*68%</f>
        <v/>
      </c>
      <c r="AC419" s="16">
        <f>ROUND((T419+X419+Z419+AB419),0)</f>
        <v/>
      </c>
      <c r="AD419" s="16">
        <f>AG419</f>
        <v/>
      </c>
      <c r="AE419" s="16">
        <f>AI419</f>
        <v/>
      </c>
      <c r="AF419" s="16">
        <f>AC419+AD419+AE419</f>
        <v/>
      </c>
      <c r="AG419" s="16" t="n"/>
      <c r="AH419" s="17" t="n"/>
      <c r="AI419" s="17">
        <f>AH419*4</f>
        <v/>
      </c>
      <c r="AJ419" s="15">
        <f>AF419-AG419-AH419-AI419</f>
        <v/>
      </c>
      <c r="AK419" s="18" t="n">
        <v>412</v>
      </c>
      <c r="AL419" s="23" t="n"/>
    </row>
    <row r="420" ht="23.5" customHeight="1">
      <c r="A420" s="6" t="inlineStr">
        <is>
          <t>413</t>
        </is>
      </c>
      <c r="B420" s="28" t="n"/>
      <c r="C420" s="55" t="n"/>
      <c r="D420" s="19" t="n"/>
      <c r="E420" s="24" t="n"/>
      <c r="F420" s="25" t="n"/>
      <c r="G420" s="25" t="n"/>
      <c r="H420" s="24" t="n"/>
      <c r="I420" s="11" t="n"/>
      <c r="J420" s="57" t="n"/>
      <c r="K420" s="12" t="n"/>
      <c r="L420" s="13" t="n"/>
      <c r="M420" s="13" t="n"/>
      <c r="N420" s="14">
        <f>ROUND(I420*(SUM(J420:M420))*68%,0)</f>
        <v/>
      </c>
      <c r="O420" s="61" t="n"/>
      <c r="P420" s="59" t="n"/>
      <c r="Q420" s="59" t="n"/>
      <c r="R420" s="58" t="n"/>
      <c r="S420" s="15">
        <f>I420*J420</f>
        <v/>
      </c>
      <c r="T420" s="15">
        <f>SUM(S420:S420)*68%</f>
        <v/>
      </c>
      <c r="U420" s="15">
        <f>I420*K420*40%*O420</f>
        <v/>
      </c>
      <c r="V420" s="15">
        <f>IF(P420&gt;=6750,(I420*K420*40%),0)</f>
        <v/>
      </c>
      <c r="W420" s="15">
        <f>IF(P420&lt;6750,0,IF(Q420="",0,IF(OR(Q420="KURANG",Q420="SANGAT KURANG"),I420*K420*10%,I420*K420*20%)))</f>
        <v/>
      </c>
      <c r="X420" s="15">
        <f>SUM(U420:W420)*68%</f>
        <v/>
      </c>
      <c r="Y420" s="15">
        <f>I420*L420</f>
        <v/>
      </c>
      <c r="Z420" s="15">
        <f>Y420 * 68%</f>
        <v/>
      </c>
      <c r="AA420" s="15">
        <f>I420*M420</f>
        <v/>
      </c>
      <c r="AB420" s="15">
        <f>AA420*68%</f>
        <v/>
      </c>
      <c r="AC420" s="16">
        <f>ROUND((T420+X420+Z420+AB420),0)</f>
        <v/>
      </c>
      <c r="AD420" s="16">
        <f>AG420</f>
        <v/>
      </c>
      <c r="AE420" s="16">
        <f>AI420</f>
        <v/>
      </c>
      <c r="AF420" s="16">
        <f>AC420+AD420+AE420</f>
        <v/>
      </c>
      <c r="AG420" s="16" t="n"/>
      <c r="AH420" s="17" t="n"/>
      <c r="AI420" s="17">
        <f>AH420*4</f>
        <v/>
      </c>
      <c r="AJ420" s="15">
        <f>AF420-AG420-AH420-AI420</f>
        <v/>
      </c>
      <c r="AK420" s="18" t="n">
        <v>413</v>
      </c>
      <c r="AL420" s="40" t="n"/>
    </row>
    <row r="421" ht="23.5" customHeight="1">
      <c r="A421" s="6" t="inlineStr">
        <is>
          <t>414</t>
        </is>
      </c>
      <c r="B421" s="28" t="n"/>
      <c r="C421" s="55" t="n"/>
      <c r="D421" s="19" t="n"/>
      <c r="E421" s="24" t="n"/>
      <c r="F421" s="25" t="n"/>
      <c r="G421" s="25" t="n"/>
      <c r="H421" s="24" t="n"/>
      <c r="I421" s="11" t="n"/>
      <c r="J421" s="57" t="n"/>
      <c r="K421" s="12" t="n"/>
      <c r="L421" s="13" t="n"/>
      <c r="M421" s="13" t="n"/>
      <c r="N421" s="14">
        <f>ROUND(I421*(SUM(J421:M421))*68%,0)</f>
        <v/>
      </c>
      <c r="O421" s="61" t="n"/>
      <c r="P421" s="59" t="n"/>
      <c r="Q421" s="59" t="n"/>
      <c r="R421" s="58" t="n"/>
      <c r="S421" s="15">
        <f>I421*J421</f>
        <v/>
      </c>
      <c r="T421" s="15">
        <f>SUM(S421:S421)*68%</f>
        <v/>
      </c>
      <c r="U421" s="15">
        <f>I421*K421*40%*O421</f>
        <v/>
      </c>
      <c r="V421" s="15">
        <f>IF(P421&gt;=6750,(I421*K421*40%),0)</f>
        <v/>
      </c>
      <c r="W421" s="15">
        <f>IF(P421&lt;6750,0,IF(Q421="",0,IF(OR(Q421="KURANG",Q421="SANGAT KURANG"),I421*K421*10%,I421*K421*20%)))</f>
        <v/>
      </c>
      <c r="X421" s="15">
        <f>SUM(U421:W421)*68%</f>
        <v/>
      </c>
      <c r="Y421" s="15">
        <f>I421*L421</f>
        <v/>
      </c>
      <c r="Z421" s="15">
        <f>Y421 * 68%</f>
        <v/>
      </c>
      <c r="AA421" s="15">
        <f>I421*M421</f>
        <v/>
      </c>
      <c r="AB421" s="15">
        <f>AA421*68%</f>
        <v/>
      </c>
      <c r="AC421" s="16">
        <f>ROUND((T421+X421+Z421+AB421),0)</f>
        <v/>
      </c>
      <c r="AD421" s="16">
        <f>AG421</f>
        <v/>
      </c>
      <c r="AE421" s="16">
        <f>AI421</f>
        <v/>
      </c>
      <c r="AF421" s="16">
        <f>AC421+AD421+AE421</f>
        <v/>
      </c>
      <c r="AG421" s="16" t="n"/>
      <c r="AH421" s="17" t="n"/>
      <c r="AI421" s="17">
        <f>AH421*4</f>
        <v/>
      </c>
      <c r="AJ421" s="15">
        <f>AF421-AG421-AH421-AI421</f>
        <v/>
      </c>
      <c r="AK421" s="18" t="n">
        <v>414</v>
      </c>
      <c r="AL421" s="23" t="n"/>
    </row>
    <row r="422" ht="23.5" customHeight="1">
      <c r="A422" s="6" t="inlineStr">
        <is>
          <t>415</t>
        </is>
      </c>
      <c r="B422" s="28" t="n"/>
      <c r="C422" s="55" t="n"/>
      <c r="D422" s="19" t="n"/>
      <c r="E422" s="24" t="n"/>
      <c r="F422" s="25" t="n"/>
      <c r="G422" s="25" t="n"/>
      <c r="H422" s="24" t="n"/>
      <c r="I422" s="11" t="n"/>
      <c r="J422" s="57" t="n"/>
      <c r="K422" s="12" t="n"/>
      <c r="L422" s="13" t="n"/>
      <c r="M422" s="13" t="n"/>
      <c r="N422" s="14">
        <f>ROUND(I422*(SUM(J422:M422))*68%,0)</f>
        <v/>
      </c>
      <c r="O422" s="61" t="n"/>
      <c r="P422" s="59" t="n"/>
      <c r="Q422" s="59" t="n"/>
      <c r="R422" s="58" t="n"/>
      <c r="S422" s="15">
        <f>I422*J422</f>
        <v/>
      </c>
      <c r="T422" s="15">
        <f>SUM(S422:S422)*68%</f>
        <v/>
      </c>
      <c r="U422" s="15">
        <f>I422*K422*40%*O422</f>
        <v/>
      </c>
      <c r="V422" s="15">
        <f>IF(P422&gt;=6750,(I422*K422*40%),0)</f>
        <v/>
      </c>
      <c r="W422" s="15">
        <f>IF(P422&lt;6750,0,IF(Q422="",0,IF(OR(Q422="KURANG",Q422="SANGAT KURANG"),I422*K422*10%,I422*K422*20%)))</f>
        <v/>
      </c>
      <c r="X422" s="15">
        <f>SUM(U422:W422)*68%</f>
        <v/>
      </c>
      <c r="Y422" s="15">
        <f>I422*L422</f>
        <v/>
      </c>
      <c r="Z422" s="15">
        <f>Y422 * 68%</f>
        <v/>
      </c>
      <c r="AA422" s="15">
        <f>I422*M422</f>
        <v/>
      </c>
      <c r="AB422" s="15">
        <f>AA422*68%</f>
        <v/>
      </c>
      <c r="AC422" s="16">
        <f>ROUND((T422+X422+Z422+AB422),0)</f>
        <v/>
      </c>
      <c r="AD422" s="16">
        <f>AG422</f>
        <v/>
      </c>
      <c r="AE422" s="16">
        <f>AI422</f>
        <v/>
      </c>
      <c r="AF422" s="16">
        <f>AC422+AD422+AE422</f>
        <v/>
      </c>
      <c r="AG422" s="16" t="n"/>
      <c r="AH422" s="17" t="n"/>
      <c r="AI422" s="17">
        <f>AH422*4</f>
        <v/>
      </c>
      <c r="AJ422" s="15">
        <f>AF422-AG422-AH422-AI422</f>
        <v/>
      </c>
      <c r="AK422" s="18" t="n">
        <v>415</v>
      </c>
      <c r="AL422" s="23" t="n"/>
    </row>
    <row r="423" ht="23.5" customHeight="1">
      <c r="A423" s="6" t="inlineStr">
        <is>
          <t>416</t>
        </is>
      </c>
      <c r="B423" s="28" t="n"/>
      <c r="C423" s="55" t="n"/>
      <c r="D423" s="19" t="n"/>
      <c r="E423" s="24" t="n"/>
      <c r="F423" s="25" t="n"/>
      <c r="G423" s="25" t="n"/>
      <c r="H423" s="24" t="n"/>
      <c r="I423" s="11" t="n"/>
      <c r="J423" s="57" t="n"/>
      <c r="K423" s="12" t="n"/>
      <c r="L423" s="13" t="n"/>
      <c r="M423" s="13" t="n"/>
      <c r="N423" s="14">
        <f>ROUND(I423*(SUM(J423:M423))*68%,0)</f>
        <v/>
      </c>
      <c r="O423" s="61" t="n"/>
      <c r="P423" s="59" t="n"/>
      <c r="Q423" s="59" t="n"/>
      <c r="R423" s="58" t="n"/>
      <c r="S423" s="15">
        <f>I423*J423</f>
        <v/>
      </c>
      <c r="T423" s="15">
        <f>SUM(S423:S423)*68%</f>
        <v/>
      </c>
      <c r="U423" s="15">
        <f>I423*K423*40%*O423</f>
        <v/>
      </c>
      <c r="V423" s="15">
        <f>IF(P423&gt;=6750,(I423*K423*40%),0)</f>
        <v/>
      </c>
      <c r="W423" s="15">
        <f>IF(P423&lt;6750,0,IF(Q423="",0,IF(OR(Q423="KURANG",Q423="SANGAT KURANG"),I423*K423*10%,I423*K423*20%)))</f>
        <v/>
      </c>
      <c r="X423" s="15">
        <f>SUM(U423:W423)*68%</f>
        <v/>
      </c>
      <c r="Y423" s="15">
        <f>I423*L423</f>
        <v/>
      </c>
      <c r="Z423" s="15">
        <f>Y423 * 68%</f>
        <v/>
      </c>
      <c r="AA423" s="15">
        <f>I423*M423</f>
        <v/>
      </c>
      <c r="AB423" s="15">
        <f>AA423*68%</f>
        <v/>
      </c>
      <c r="AC423" s="16">
        <f>ROUND((T423+X423+Z423+AB423),0)</f>
        <v/>
      </c>
      <c r="AD423" s="16">
        <f>AG423</f>
        <v/>
      </c>
      <c r="AE423" s="16">
        <f>AI423</f>
        <v/>
      </c>
      <c r="AF423" s="16">
        <f>AC423+AD423+AE423</f>
        <v/>
      </c>
      <c r="AG423" s="16" t="n"/>
      <c r="AH423" s="17" t="n"/>
      <c r="AI423" s="17">
        <f>AH423*4</f>
        <v/>
      </c>
      <c r="AJ423" s="15">
        <f>AF423-AG423-AH423-AI423</f>
        <v/>
      </c>
      <c r="AK423" s="18" t="n">
        <v>416</v>
      </c>
      <c r="AL423" s="40" t="n"/>
    </row>
    <row r="424" ht="23.5" customHeight="1">
      <c r="A424" s="6" t="inlineStr">
        <is>
          <t>417</t>
        </is>
      </c>
      <c r="B424" s="28" t="n"/>
      <c r="C424" s="55" t="n"/>
      <c r="D424" s="19" t="n"/>
      <c r="E424" s="24" t="n"/>
      <c r="F424" s="25" t="n"/>
      <c r="G424" s="25" t="n"/>
      <c r="H424" s="24" t="n"/>
      <c r="I424" s="11" t="n"/>
      <c r="J424" s="57" t="n"/>
      <c r="K424" s="12" t="n"/>
      <c r="L424" s="13" t="n"/>
      <c r="M424" s="13" t="n"/>
      <c r="N424" s="14">
        <f>ROUND(I424*(SUM(J424:M424))*68%,0)</f>
        <v/>
      </c>
      <c r="O424" s="61" t="n"/>
      <c r="P424" s="59" t="n"/>
      <c r="Q424" s="59" t="n"/>
      <c r="R424" s="58" t="n"/>
      <c r="S424" s="15">
        <f>I424*J424</f>
        <v/>
      </c>
      <c r="T424" s="15">
        <f>SUM(S424:S424)*68%</f>
        <v/>
      </c>
      <c r="U424" s="15">
        <f>I424*K424*40%*O424</f>
        <v/>
      </c>
      <c r="V424" s="15">
        <f>IF(P424&gt;=6750,(I424*K424*40%),0)</f>
        <v/>
      </c>
      <c r="W424" s="15">
        <f>IF(P424&lt;6750,0,IF(Q424="",0,IF(OR(Q424="KURANG",Q424="SANGAT KURANG"),I424*K424*10%,I424*K424*20%)))</f>
        <v/>
      </c>
      <c r="X424" s="15">
        <f>SUM(U424:W424)*68%</f>
        <v/>
      </c>
      <c r="Y424" s="15">
        <f>I424*L424</f>
        <v/>
      </c>
      <c r="Z424" s="15">
        <f>Y424 * 68%</f>
        <v/>
      </c>
      <c r="AA424" s="15">
        <f>I424*M424</f>
        <v/>
      </c>
      <c r="AB424" s="15">
        <f>AA424*68%</f>
        <v/>
      </c>
      <c r="AC424" s="16">
        <f>ROUND((T424+X424+Z424+AB424),0)</f>
        <v/>
      </c>
      <c r="AD424" s="16">
        <f>AG424</f>
        <v/>
      </c>
      <c r="AE424" s="16">
        <f>AI424</f>
        <v/>
      </c>
      <c r="AF424" s="16">
        <f>AC424+AD424+AE424</f>
        <v/>
      </c>
      <c r="AG424" s="16" t="n"/>
      <c r="AH424" s="17" t="n"/>
      <c r="AI424" s="17">
        <f>AH424*4</f>
        <v/>
      </c>
      <c r="AJ424" s="15">
        <f>AF424-AG424-AH424-AI424</f>
        <v/>
      </c>
      <c r="AK424" s="18" t="n">
        <v>417</v>
      </c>
      <c r="AL424" s="23" t="n"/>
    </row>
    <row r="425" ht="23.5" customHeight="1">
      <c r="A425" s="6" t="inlineStr">
        <is>
          <t>418</t>
        </is>
      </c>
      <c r="B425" s="28" t="n"/>
      <c r="C425" s="55" t="n"/>
      <c r="D425" s="19" t="n"/>
      <c r="E425" s="24" t="n"/>
      <c r="F425" s="25" t="n"/>
      <c r="G425" s="25" t="n"/>
      <c r="H425" s="24" t="n"/>
      <c r="I425" s="11" t="n"/>
      <c r="J425" s="57" t="n"/>
      <c r="K425" s="12" t="n"/>
      <c r="L425" s="13" t="n"/>
      <c r="M425" s="13" t="n"/>
      <c r="N425" s="14">
        <f>ROUND(I425*(SUM(J425:M425))*68%,0)</f>
        <v/>
      </c>
      <c r="O425" s="61" t="n"/>
      <c r="P425" s="59" t="n"/>
      <c r="Q425" s="59" t="n"/>
      <c r="R425" s="58" t="n"/>
      <c r="S425" s="15">
        <f>I425*J425</f>
        <v/>
      </c>
      <c r="T425" s="15">
        <f>SUM(S425:S425)*68%</f>
        <v/>
      </c>
      <c r="U425" s="15">
        <f>I425*K425*40%*O425</f>
        <v/>
      </c>
      <c r="V425" s="15">
        <f>IF(P425&gt;=6750,(I425*K425*40%),0)</f>
        <v/>
      </c>
      <c r="W425" s="15">
        <f>IF(P425&lt;6750,0,IF(Q425="",0,IF(OR(Q425="KURANG",Q425="SANGAT KURANG"),I425*K425*10%,I425*K425*20%)))</f>
        <v/>
      </c>
      <c r="X425" s="15">
        <f>SUM(U425:W425)*68%</f>
        <v/>
      </c>
      <c r="Y425" s="15">
        <f>I425*L425</f>
        <v/>
      </c>
      <c r="Z425" s="15">
        <f>Y425 * 68%</f>
        <v/>
      </c>
      <c r="AA425" s="15">
        <f>I425*M425</f>
        <v/>
      </c>
      <c r="AB425" s="15">
        <f>AA425*68%</f>
        <v/>
      </c>
      <c r="AC425" s="16">
        <f>ROUND((T425+X425+Z425+AB425),0)</f>
        <v/>
      </c>
      <c r="AD425" s="16">
        <f>AG425</f>
        <v/>
      </c>
      <c r="AE425" s="16">
        <f>AI425</f>
        <v/>
      </c>
      <c r="AF425" s="16">
        <f>AC425+AD425+AE425</f>
        <v/>
      </c>
      <c r="AG425" s="16" t="n"/>
      <c r="AH425" s="17" t="n"/>
      <c r="AI425" s="17">
        <f>AH425*4</f>
        <v/>
      </c>
      <c r="AJ425" s="15">
        <f>AF425-AG425-AH425-AI425</f>
        <v/>
      </c>
      <c r="AK425" s="18" t="n">
        <v>418</v>
      </c>
      <c r="AL425" s="23" t="n"/>
    </row>
    <row r="426" ht="23.5" customHeight="1">
      <c r="A426" s="6" t="inlineStr">
        <is>
          <t>419</t>
        </is>
      </c>
      <c r="B426" s="28" t="n"/>
      <c r="C426" s="55" t="n"/>
      <c r="D426" s="19" t="n"/>
      <c r="E426" s="24" t="n"/>
      <c r="F426" s="25" t="n"/>
      <c r="G426" s="25" t="n"/>
      <c r="H426" s="24" t="n"/>
      <c r="I426" s="11" t="n"/>
      <c r="J426" s="57" t="n"/>
      <c r="K426" s="12" t="n"/>
      <c r="L426" s="13" t="n"/>
      <c r="M426" s="13" t="n"/>
      <c r="N426" s="14">
        <f>ROUND(I426*(SUM(J426:M426))*68%,0)</f>
        <v/>
      </c>
      <c r="O426" s="61" t="n"/>
      <c r="P426" s="59" t="n"/>
      <c r="Q426" s="59" t="n"/>
      <c r="R426" s="58" t="n"/>
      <c r="S426" s="15">
        <f>I426*J426</f>
        <v/>
      </c>
      <c r="T426" s="15">
        <f>SUM(S426:S426)*68%</f>
        <v/>
      </c>
      <c r="U426" s="15">
        <f>I426*K426*40%*O426</f>
        <v/>
      </c>
      <c r="V426" s="15">
        <f>IF(P426&gt;=6750,(I426*K426*40%),0)</f>
        <v/>
      </c>
      <c r="W426" s="15">
        <f>IF(P426&lt;6750,0,IF(Q426="",0,IF(OR(Q426="KURANG",Q426="SANGAT KURANG"),I426*K426*10%,I426*K426*20%)))</f>
        <v/>
      </c>
      <c r="X426" s="15">
        <f>SUM(U426:W426)*68%</f>
        <v/>
      </c>
      <c r="Y426" s="15">
        <f>I426*L426</f>
        <v/>
      </c>
      <c r="Z426" s="15">
        <f>Y426 * 68%</f>
        <v/>
      </c>
      <c r="AA426" s="15">
        <f>I426*M426</f>
        <v/>
      </c>
      <c r="AB426" s="15">
        <f>AA426*68%</f>
        <v/>
      </c>
      <c r="AC426" s="16">
        <f>ROUND((T426+X426+Z426+AB426),0)</f>
        <v/>
      </c>
      <c r="AD426" s="16">
        <f>AG426</f>
        <v/>
      </c>
      <c r="AE426" s="16">
        <f>AI426</f>
        <v/>
      </c>
      <c r="AF426" s="16">
        <f>AC426+AD426+AE426</f>
        <v/>
      </c>
      <c r="AG426" s="16" t="n"/>
      <c r="AH426" s="17" t="n"/>
      <c r="AI426" s="17">
        <f>AH426*4</f>
        <v/>
      </c>
      <c r="AJ426" s="15">
        <f>AF426-AG426-AH426-AI426</f>
        <v/>
      </c>
      <c r="AK426" s="18" t="n">
        <v>419</v>
      </c>
      <c r="AL426" s="40" t="n"/>
    </row>
    <row r="427" ht="23.5" customHeight="1">
      <c r="A427" s="6" t="inlineStr">
        <is>
          <t>420</t>
        </is>
      </c>
      <c r="B427" s="28" t="n"/>
      <c r="C427" s="55" t="n"/>
      <c r="D427" s="19" t="n"/>
      <c r="E427" s="24" t="n"/>
      <c r="F427" s="25" t="n"/>
      <c r="G427" s="25" t="n"/>
      <c r="H427" s="24" t="n"/>
      <c r="I427" s="11" t="n"/>
      <c r="J427" s="57" t="n"/>
      <c r="K427" s="12" t="n"/>
      <c r="L427" s="13" t="n"/>
      <c r="M427" s="13" t="n"/>
      <c r="N427" s="14">
        <f>ROUND(I427*(SUM(J427:M427))*68%,0)</f>
        <v/>
      </c>
      <c r="O427" s="61" t="n"/>
      <c r="P427" s="59" t="n"/>
      <c r="Q427" s="59" t="n"/>
      <c r="R427" s="58" t="n"/>
      <c r="S427" s="15">
        <f>I427*J427</f>
        <v/>
      </c>
      <c r="T427" s="15">
        <f>SUM(S427:S427)*68%</f>
        <v/>
      </c>
      <c r="U427" s="15">
        <f>I427*K427*40%*O427</f>
        <v/>
      </c>
      <c r="V427" s="15">
        <f>IF(P427&gt;=6750,(I427*K427*40%),0)</f>
        <v/>
      </c>
      <c r="W427" s="15">
        <f>IF(P427&lt;6750,0,IF(Q427="",0,IF(OR(Q427="KURANG",Q427="SANGAT KURANG"),I427*K427*10%,I427*K427*20%)))</f>
        <v/>
      </c>
      <c r="X427" s="15">
        <f>SUM(U427:W427)*68%</f>
        <v/>
      </c>
      <c r="Y427" s="15">
        <f>I427*L427</f>
        <v/>
      </c>
      <c r="Z427" s="15">
        <f>Y427 * 68%</f>
        <v/>
      </c>
      <c r="AA427" s="15">
        <f>I427*M427</f>
        <v/>
      </c>
      <c r="AB427" s="15">
        <f>AA427*68%</f>
        <v/>
      </c>
      <c r="AC427" s="16">
        <f>ROUND((T427+X427+Z427+AB427),0)</f>
        <v/>
      </c>
      <c r="AD427" s="16">
        <f>AG427</f>
        <v/>
      </c>
      <c r="AE427" s="16">
        <f>AI427</f>
        <v/>
      </c>
      <c r="AF427" s="16">
        <f>AC427+AD427+AE427</f>
        <v/>
      </c>
      <c r="AG427" s="16" t="n"/>
      <c r="AH427" s="17" t="n"/>
      <c r="AI427" s="17">
        <f>AH427*4</f>
        <v/>
      </c>
      <c r="AJ427" s="15">
        <f>AF427-AG427-AH427-AI427</f>
        <v/>
      </c>
      <c r="AK427" s="18" t="n">
        <v>420</v>
      </c>
      <c r="AL427" s="23" t="n"/>
    </row>
    <row r="428" ht="23.5" customHeight="1">
      <c r="A428" s="6" t="inlineStr">
        <is>
          <t>421</t>
        </is>
      </c>
      <c r="B428" s="28" t="n"/>
      <c r="C428" s="55" t="n"/>
      <c r="D428" s="19" t="n"/>
      <c r="E428" s="24" t="n"/>
      <c r="F428" s="25" t="n"/>
      <c r="G428" s="25" t="n"/>
      <c r="H428" s="24" t="n"/>
      <c r="I428" s="11" t="n"/>
      <c r="J428" s="57" t="n"/>
      <c r="K428" s="12" t="n"/>
      <c r="L428" s="13" t="n"/>
      <c r="M428" s="13" t="n"/>
      <c r="N428" s="14">
        <f>ROUND(I428*(SUM(J428:M428))*68%,0)</f>
        <v/>
      </c>
      <c r="O428" s="61" t="n"/>
      <c r="P428" s="59" t="n"/>
      <c r="Q428" s="59" t="n"/>
      <c r="R428" s="58" t="n"/>
      <c r="S428" s="15">
        <f>I428*J428</f>
        <v/>
      </c>
      <c r="T428" s="15">
        <f>SUM(S428:S428)*68%</f>
        <v/>
      </c>
      <c r="U428" s="15">
        <f>I428*K428*40%*O428</f>
        <v/>
      </c>
      <c r="V428" s="15">
        <f>IF(P428&gt;=6750,(I428*K428*40%),0)</f>
        <v/>
      </c>
      <c r="W428" s="15">
        <f>IF(P428&lt;6750,0,IF(Q428="",0,IF(OR(Q428="KURANG",Q428="SANGAT KURANG"),I428*K428*10%,I428*K428*20%)))</f>
        <v/>
      </c>
      <c r="X428" s="15">
        <f>SUM(U428:W428)*68%</f>
        <v/>
      </c>
      <c r="Y428" s="15">
        <f>I428*L428</f>
        <v/>
      </c>
      <c r="Z428" s="15">
        <f>Y428 * 68%</f>
        <v/>
      </c>
      <c r="AA428" s="15">
        <f>I428*M428</f>
        <v/>
      </c>
      <c r="AB428" s="15">
        <f>AA428*68%</f>
        <v/>
      </c>
      <c r="AC428" s="16">
        <f>ROUND((T428+X428+Z428+AB428),0)</f>
        <v/>
      </c>
      <c r="AD428" s="16">
        <f>AG428</f>
        <v/>
      </c>
      <c r="AE428" s="16">
        <f>AI428</f>
        <v/>
      </c>
      <c r="AF428" s="16">
        <f>AC428+AD428+AE428</f>
        <v/>
      </c>
      <c r="AG428" s="16" t="n"/>
      <c r="AH428" s="17" t="n"/>
      <c r="AI428" s="17">
        <f>AH428*4</f>
        <v/>
      </c>
      <c r="AJ428" s="15">
        <f>AF428-AG428-AH428-AI428</f>
        <v/>
      </c>
      <c r="AK428" s="18" t="n">
        <v>421</v>
      </c>
      <c r="AL428" s="23" t="n"/>
    </row>
    <row r="429" ht="23.5" customHeight="1">
      <c r="A429" s="6" t="inlineStr">
        <is>
          <t>422</t>
        </is>
      </c>
      <c r="B429" s="28" t="n"/>
      <c r="C429" s="55" t="n"/>
      <c r="D429" s="19" t="n"/>
      <c r="E429" s="24" t="n"/>
      <c r="F429" s="25" t="n"/>
      <c r="G429" s="25" t="n"/>
      <c r="H429" s="24" t="n"/>
      <c r="I429" s="11" t="n"/>
      <c r="J429" s="57" t="n"/>
      <c r="K429" s="12" t="n"/>
      <c r="L429" s="13" t="n"/>
      <c r="M429" s="13" t="n"/>
      <c r="N429" s="14">
        <f>ROUND(I429*(SUM(J429:M429))*68%,0)</f>
        <v/>
      </c>
      <c r="O429" s="61" t="n"/>
      <c r="P429" s="59" t="n"/>
      <c r="Q429" s="59" t="n"/>
      <c r="R429" s="58" t="n"/>
      <c r="S429" s="15">
        <f>I429*J429</f>
        <v/>
      </c>
      <c r="T429" s="15">
        <f>SUM(S429:S429)*68%</f>
        <v/>
      </c>
      <c r="U429" s="15">
        <f>I429*K429*40%*O429</f>
        <v/>
      </c>
      <c r="V429" s="15">
        <f>IF(P429&gt;=6750,(I429*K429*40%),0)</f>
        <v/>
      </c>
      <c r="W429" s="15">
        <f>IF(P429&lt;6750,0,IF(Q429="",0,IF(OR(Q429="KURANG",Q429="SANGAT KURANG"),I429*K429*10%,I429*K429*20%)))</f>
        <v/>
      </c>
      <c r="X429" s="15">
        <f>SUM(U429:W429)*68%</f>
        <v/>
      </c>
      <c r="Y429" s="15">
        <f>I429*L429</f>
        <v/>
      </c>
      <c r="Z429" s="15">
        <f>Y429 * 68%</f>
        <v/>
      </c>
      <c r="AA429" s="15">
        <f>I429*M429</f>
        <v/>
      </c>
      <c r="AB429" s="15">
        <f>AA429*68%</f>
        <v/>
      </c>
      <c r="AC429" s="16">
        <f>ROUND((T429+X429+Z429+AB429),0)</f>
        <v/>
      </c>
      <c r="AD429" s="16">
        <f>AG429</f>
        <v/>
      </c>
      <c r="AE429" s="16">
        <f>AI429</f>
        <v/>
      </c>
      <c r="AF429" s="16">
        <f>AC429+AD429+AE429</f>
        <v/>
      </c>
      <c r="AG429" s="16" t="n"/>
      <c r="AH429" s="17" t="n"/>
      <c r="AI429" s="17">
        <f>AH429*4</f>
        <v/>
      </c>
      <c r="AJ429" s="15">
        <f>AF429-AG429-AH429-AI429</f>
        <v/>
      </c>
      <c r="AK429" s="18" t="n">
        <v>422</v>
      </c>
      <c r="AL429" s="40" t="n"/>
    </row>
    <row r="430" ht="23.5" customHeight="1">
      <c r="A430" s="6" t="inlineStr">
        <is>
          <t>423</t>
        </is>
      </c>
      <c r="B430" s="28" t="n"/>
      <c r="C430" s="55" t="n"/>
      <c r="D430" s="19" t="n"/>
      <c r="E430" s="24" t="n"/>
      <c r="F430" s="25" t="n"/>
      <c r="G430" s="25" t="n"/>
      <c r="H430" s="24" t="n"/>
      <c r="I430" s="11" t="n"/>
      <c r="J430" s="57" t="n"/>
      <c r="K430" s="12" t="n"/>
      <c r="L430" s="13" t="n"/>
      <c r="M430" s="13" t="n"/>
      <c r="N430" s="14">
        <f>ROUND(I430*(SUM(J430:M430))*68%,0)</f>
        <v/>
      </c>
      <c r="O430" s="61" t="n"/>
      <c r="P430" s="59" t="n"/>
      <c r="Q430" s="59" t="n"/>
      <c r="R430" s="58" t="n"/>
      <c r="S430" s="15">
        <f>I430*J430</f>
        <v/>
      </c>
      <c r="T430" s="15">
        <f>SUM(S430:S430)*68%</f>
        <v/>
      </c>
      <c r="U430" s="15">
        <f>I430*K430*40%*O430</f>
        <v/>
      </c>
      <c r="V430" s="15">
        <f>IF(P430&gt;=6750,(I430*K430*40%),0)</f>
        <v/>
      </c>
      <c r="W430" s="15">
        <f>IF(P430&lt;6750,0,IF(Q430="",0,IF(OR(Q430="KURANG",Q430="SANGAT KURANG"),I430*K430*10%,I430*K430*20%)))</f>
        <v/>
      </c>
      <c r="X430" s="15">
        <f>SUM(U430:W430)*68%</f>
        <v/>
      </c>
      <c r="Y430" s="15">
        <f>I430*L430</f>
        <v/>
      </c>
      <c r="Z430" s="15">
        <f>Y430 * 68%</f>
        <v/>
      </c>
      <c r="AA430" s="15">
        <f>I430*M430</f>
        <v/>
      </c>
      <c r="AB430" s="15">
        <f>AA430*68%</f>
        <v/>
      </c>
      <c r="AC430" s="16">
        <f>ROUND((T430+X430+Z430+AB430),0)</f>
        <v/>
      </c>
      <c r="AD430" s="16">
        <f>AG430</f>
        <v/>
      </c>
      <c r="AE430" s="16">
        <f>AI430</f>
        <v/>
      </c>
      <c r="AF430" s="16">
        <f>AC430+AD430+AE430</f>
        <v/>
      </c>
      <c r="AG430" s="16" t="n"/>
      <c r="AH430" s="17" t="n"/>
      <c r="AI430" s="17">
        <f>AH430*4</f>
        <v/>
      </c>
      <c r="AJ430" s="15">
        <f>AF430-AG430-AH430-AI430</f>
        <v/>
      </c>
      <c r="AK430" s="18" t="n">
        <v>423</v>
      </c>
      <c r="AL430" s="23" t="n"/>
    </row>
    <row r="431" ht="23.5" customHeight="1">
      <c r="A431" s="6" t="inlineStr">
        <is>
          <t>424</t>
        </is>
      </c>
      <c r="B431" s="28" t="n"/>
      <c r="C431" s="55" t="n"/>
      <c r="D431" s="19" t="n"/>
      <c r="E431" s="24" t="n"/>
      <c r="F431" s="25" t="n"/>
      <c r="G431" s="25" t="n"/>
      <c r="H431" s="24" t="n"/>
      <c r="I431" s="11" t="n"/>
      <c r="J431" s="57" t="n"/>
      <c r="K431" s="12" t="n"/>
      <c r="L431" s="13" t="n"/>
      <c r="M431" s="13" t="n"/>
      <c r="N431" s="14">
        <f>ROUND(I431*(SUM(J431:M431))*68%,0)</f>
        <v/>
      </c>
      <c r="O431" s="61" t="n"/>
      <c r="P431" s="59" t="n"/>
      <c r="Q431" s="59" t="n"/>
      <c r="R431" s="58" t="n"/>
      <c r="S431" s="15">
        <f>I431*J431</f>
        <v/>
      </c>
      <c r="T431" s="15">
        <f>SUM(S431:S431)*68%</f>
        <v/>
      </c>
      <c r="U431" s="15">
        <f>I431*K431*40%*O431</f>
        <v/>
      </c>
      <c r="V431" s="15">
        <f>IF(P431&gt;=6750,(I431*K431*40%),0)</f>
        <v/>
      </c>
      <c r="W431" s="15">
        <f>IF(P431&lt;6750,0,IF(Q431="",0,IF(OR(Q431="KURANG",Q431="SANGAT KURANG"),I431*K431*10%,I431*K431*20%)))</f>
        <v/>
      </c>
      <c r="X431" s="15">
        <f>SUM(U431:W431)*68%</f>
        <v/>
      </c>
      <c r="Y431" s="15">
        <f>I431*L431</f>
        <v/>
      </c>
      <c r="Z431" s="15">
        <f>Y431 * 68%</f>
        <v/>
      </c>
      <c r="AA431" s="15">
        <f>I431*M431</f>
        <v/>
      </c>
      <c r="AB431" s="15">
        <f>AA431*68%</f>
        <v/>
      </c>
      <c r="AC431" s="16">
        <f>ROUND((T431+X431+Z431+AB431),0)</f>
        <v/>
      </c>
      <c r="AD431" s="16">
        <f>AG431</f>
        <v/>
      </c>
      <c r="AE431" s="16">
        <f>AI431</f>
        <v/>
      </c>
      <c r="AF431" s="16">
        <f>AC431+AD431+AE431</f>
        <v/>
      </c>
      <c r="AG431" s="16" t="n"/>
      <c r="AH431" s="17" t="n"/>
      <c r="AI431" s="17">
        <f>AH431*4</f>
        <v/>
      </c>
      <c r="AJ431" s="15">
        <f>AF431-AG431-AH431-AI431</f>
        <v/>
      </c>
      <c r="AK431" s="18" t="n">
        <v>424</v>
      </c>
      <c r="AL431" s="23" t="n"/>
    </row>
    <row r="432" ht="23.5" customHeight="1">
      <c r="A432" s="6" t="inlineStr">
        <is>
          <t>425</t>
        </is>
      </c>
      <c r="B432" s="28" t="n"/>
      <c r="C432" s="55" t="n"/>
      <c r="D432" s="19" t="n"/>
      <c r="E432" s="24" t="n"/>
      <c r="F432" s="25" t="n"/>
      <c r="G432" s="25" t="n"/>
      <c r="H432" s="24" t="n"/>
      <c r="I432" s="11" t="n"/>
      <c r="J432" s="57" t="n"/>
      <c r="K432" s="12" t="n"/>
      <c r="L432" s="13" t="n"/>
      <c r="M432" s="13" t="n"/>
      <c r="N432" s="14">
        <f>ROUND(I432*(SUM(J432:M432))*68%,0)</f>
        <v/>
      </c>
      <c r="O432" s="61" t="n"/>
      <c r="P432" s="59" t="n"/>
      <c r="Q432" s="59" t="n"/>
      <c r="R432" s="58" t="n"/>
      <c r="S432" s="15">
        <f>I432*J432</f>
        <v/>
      </c>
      <c r="T432" s="15">
        <f>SUM(S432:S432)*68%</f>
        <v/>
      </c>
      <c r="U432" s="15">
        <f>I432*K432*40%*O432</f>
        <v/>
      </c>
      <c r="V432" s="15">
        <f>IF(P432&gt;=6750,(I432*K432*40%),0)</f>
        <v/>
      </c>
      <c r="W432" s="15">
        <f>IF(P432&lt;6750,0,IF(Q432="",0,IF(OR(Q432="KURANG",Q432="SANGAT KURANG"),I432*K432*10%,I432*K432*20%)))</f>
        <v/>
      </c>
      <c r="X432" s="15">
        <f>SUM(U432:W432)*68%</f>
        <v/>
      </c>
      <c r="Y432" s="15">
        <f>I432*L432</f>
        <v/>
      </c>
      <c r="Z432" s="15">
        <f>Y432 * 68%</f>
        <v/>
      </c>
      <c r="AA432" s="15">
        <f>I432*M432</f>
        <v/>
      </c>
      <c r="AB432" s="15">
        <f>AA432*68%</f>
        <v/>
      </c>
      <c r="AC432" s="16">
        <f>ROUND((T432+X432+Z432+AB432),0)</f>
        <v/>
      </c>
      <c r="AD432" s="16">
        <f>AG432</f>
        <v/>
      </c>
      <c r="AE432" s="16">
        <f>AI432</f>
        <v/>
      </c>
      <c r="AF432" s="16">
        <f>AC432+AD432+AE432</f>
        <v/>
      </c>
      <c r="AG432" s="16" t="n"/>
      <c r="AH432" s="17" t="n"/>
      <c r="AI432" s="17">
        <f>AH432*4</f>
        <v/>
      </c>
      <c r="AJ432" s="15">
        <f>AF432-AG432-AH432-AI432</f>
        <v/>
      </c>
      <c r="AK432" s="18" t="n">
        <v>425</v>
      </c>
      <c r="AL432" s="40" t="n"/>
    </row>
    <row r="433" ht="23.5" customHeight="1">
      <c r="A433" s="6" t="inlineStr">
        <is>
          <t>426</t>
        </is>
      </c>
      <c r="B433" s="28" t="n"/>
      <c r="C433" s="55" t="n"/>
      <c r="D433" s="19" t="n"/>
      <c r="E433" s="24" t="n"/>
      <c r="F433" s="25" t="n"/>
      <c r="G433" s="25" t="n"/>
      <c r="H433" s="24" t="n"/>
      <c r="I433" s="11" t="n"/>
      <c r="J433" s="57" t="n"/>
      <c r="K433" s="12" t="n"/>
      <c r="L433" s="13" t="n"/>
      <c r="M433" s="13" t="n"/>
      <c r="N433" s="14">
        <f>ROUND(I433*(SUM(J433:M433))*68%,0)</f>
        <v/>
      </c>
      <c r="O433" s="61" t="n"/>
      <c r="P433" s="59" t="n"/>
      <c r="Q433" s="59" t="n"/>
      <c r="R433" s="58" t="n"/>
      <c r="S433" s="15">
        <f>I433*J433</f>
        <v/>
      </c>
      <c r="T433" s="15">
        <f>SUM(S433:S433)*68%</f>
        <v/>
      </c>
      <c r="U433" s="15">
        <f>I433*K433*40%*O433</f>
        <v/>
      </c>
      <c r="V433" s="15">
        <f>IF(P433&gt;=6750,(I433*K433*40%),0)</f>
        <v/>
      </c>
      <c r="W433" s="15">
        <f>IF(P433&lt;6750,0,IF(Q433="",0,IF(OR(Q433="KURANG",Q433="SANGAT KURANG"),I433*K433*10%,I433*K433*20%)))</f>
        <v/>
      </c>
      <c r="X433" s="15">
        <f>SUM(U433:W433)*68%</f>
        <v/>
      </c>
      <c r="Y433" s="15">
        <f>I433*L433</f>
        <v/>
      </c>
      <c r="Z433" s="15">
        <f>Y433 * 68%</f>
        <v/>
      </c>
      <c r="AA433" s="15">
        <f>I433*M433</f>
        <v/>
      </c>
      <c r="AB433" s="15">
        <f>AA433*68%</f>
        <v/>
      </c>
      <c r="AC433" s="16">
        <f>ROUND((T433+X433+Z433+AB433),0)</f>
        <v/>
      </c>
      <c r="AD433" s="16">
        <f>AG433</f>
        <v/>
      </c>
      <c r="AE433" s="16">
        <f>AI433</f>
        <v/>
      </c>
      <c r="AF433" s="16">
        <f>AC433+AD433+AE433</f>
        <v/>
      </c>
      <c r="AG433" s="16" t="n"/>
      <c r="AH433" s="17" t="n"/>
      <c r="AI433" s="17">
        <f>AH433*4</f>
        <v/>
      </c>
      <c r="AJ433" s="15">
        <f>AF433-AG433-AH433-AI433</f>
        <v/>
      </c>
      <c r="AK433" s="18" t="n">
        <v>426</v>
      </c>
      <c r="AL433" s="23" t="n"/>
    </row>
    <row r="434" ht="23.5" customHeight="1">
      <c r="A434" s="6" t="inlineStr">
        <is>
          <t>427</t>
        </is>
      </c>
      <c r="B434" s="28" t="n"/>
      <c r="C434" s="55" t="n"/>
      <c r="D434" s="19" t="n"/>
      <c r="E434" s="24" t="n"/>
      <c r="F434" s="25" t="n"/>
      <c r="G434" s="25" t="n"/>
      <c r="H434" s="24" t="n"/>
      <c r="I434" s="11" t="n"/>
      <c r="J434" s="57" t="n"/>
      <c r="K434" s="12" t="n"/>
      <c r="L434" s="13" t="n"/>
      <c r="M434" s="13" t="n"/>
      <c r="N434" s="14">
        <f>ROUND(I434*(SUM(J434:M434))*68%,0)</f>
        <v/>
      </c>
      <c r="O434" s="61" t="n"/>
      <c r="P434" s="59" t="n"/>
      <c r="Q434" s="59" t="n"/>
      <c r="R434" s="58" t="n"/>
      <c r="S434" s="15">
        <f>I434*J434</f>
        <v/>
      </c>
      <c r="T434" s="15">
        <f>SUM(S434:S434)*68%</f>
        <v/>
      </c>
      <c r="U434" s="15">
        <f>I434*K434*40%*O434</f>
        <v/>
      </c>
      <c r="V434" s="15">
        <f>IF(P434&gt;=6750,(I434*K434*40%),0)</f>
        <v/>
      </c>
      <c r="W434" s="15">
        <f>IF(P434&lt;6750,0,IF(Q434="",0,IF(OR(Q434="KURANG",Q434="SANGAT KURANG"),I434*K434*10%,I434*K434*20%)))</f>
        <v/>
      </c>
      <c r="X434" s="15">
        <f>SUM(U434:W434)*68%</f>
        <v/>
      </c>
      <c r="Y434" s="15">
        <f>I434*L434</f>
        <v/>
      </c>
      <c r="Z434" s="15">
        <f>Y434 * 68%</f>
        <v/>
      </c>
      <c r="AA434" s="15">
        <f>I434*M434</f>
        <v/>
      </c>
      <c r="AB434" s="15">
        <f>AA434*68%</f>
        <v/>
      </c>
      <c r="AC434" s="16">
        <f>ROUND((T434+X434+Z434+AB434),0)</f>
        <v/>
      </c>
      <c r="AD434" s="16">
        <f>AG434</f>
        <v/>
      </c>
      <c r="AE434" s="16">
        <f>AI434</f>
        <v/>
      </c>
      <c r="AF434" s="16">
        <f>AC434+AD434+AE434</f>
        <v/>
      </c>
      <c r="AG434" s="16" t="n"/>
      <c r="AH434" s="17" t="n"/>
      <c r="AI434" s="17">
        <f>AH434*4</f>
        <v/>
      </c>
      <c r="AJ434" s="15">
        <f>AF434-AG434-AH434-AI434</f>
        <v/>
      </c>
      <c r="AK434" s="18" t="n">
        <v>427</v>
      </c>
      <c r="AL434" s="23" t="n"/>
    </row>
    <row r="435" ht="23.5" customHeight="1">
      <c r="A435" s="6" t="inlineStr">
        <is>
          <t>428</t>
        </is>
      </c>
      <c r="B435" s="28" t="n"/>
      <c r="C435" s="55" t="n"/>
      <c r="D435" s="19" t="n"/>
      <c r="E435" s="24" t="n"/>
      <c r="F435" s="25" t="n"/>
      <c r="G435" s="25" t="n"/>
      <c r="H435" s="24" t="n"/>
      <c r="I435" s="11" t="n"/>
      <c r="J435" s="57" t="n"/>
      <c r="K435" s="12" t="n"/>
      <c r="L435" s="13" t="n"/>
      <c r="M435" s="13" t="n"/>
      <c r="N435" s="14">
        <f>ROUND(I435*(SUM(J435:M435))*68%,0)</f>
        <v/>
      </c>
      <c r="O435" s="61" t="n"/>
      <c r="P435" s="59" t="n"/>
      <c r="Q435" s="59" t="n"/>
      <c r="R435" s="58" t="n"/>
      <c r="S435" s="15">
        <f>I435*J435</f>
        <v/>
      </c>
      <c r="T435" s="15">
        <f>SUM(S435:S435)*68%</f>
        <v/>
      </c>
      <c r="U435" s="15">
        <f>I435*K435*40%*O435</f>
        <v/>
      </c>
      <c r="V435" s="15">
        <f>IF(P435&gt;=6750,(I435*K435*40%),0)</f>
        <v/>
      </c>
      <c r="W435" s="15">
        <f>IF(P435&lt;6750,0,IF(Q435="",0,IF(OR(Q435="KURANG",Q435="SANGAT KURANG"),I435*K435*10%,I435*K435*20%)))</f>
        <v/>
      </c>
      <c r="X435" s="15">
        <f>SUM(U435:W435)*68%</f>
        <v/>
      </c>
      <c r="Y435" s="15">
        <f>I435*L435</f>
        <v/>
      </c>
      <c r="Z435" s="15">
        <f>Y435 * 68%</f>
        <v/>
      </c>
      <c r="AA435" s="15">
        <f>I435*M435</f>
        <v/>
      </c>
      <c r="AB435" s="15">
        <f>AA435*68%</f>
        <v/>
      </c>
      <c r="AC435" s="16">
        <f>ROUND((T435+X435+Z435+AB435),0)</f>
        <v/>
      </c>
      <c r="AD435" s="16">
        <f>AG435</f>
        <v/>
      </c>
      <c r="AE435" s="16">
        <f>AI435</f>
        <v/>
      </c>
      <c r="AF435" s="16">
        <f>AC435+AD435+AE435</f>
        <v/>
      </c>
      <c r="AG435" s="16" t="n"/>
      <c r="AH435" s="17" t="n"/>
      <c r="AI435" s="17">
        <f>AH435*4</f>
        <v/>
      </c>
      <c r="AJ435" s="15">
        <f>AF435-AG435-AH435-AI435</f>
        <v/>
      </c>
      <c r="AK435" s="18" t="n">
        <v>428</v>
      </c>
      <c r="AL435" s="40" t="n"/>
    </row>
    <row r="436" ht="23.5" customHeight="1">
      <c r="A436" s="6" t="inlineStr">
        <is>
          <t>429</t>
        </is>
      </c>
      <c r="B436" s="28" t="n"/>
      <c r="C436" s="55" t="n"/>
      <c r="D436" s="19" t="n"/>
      <c r="E436" s="24" t="n"/>
      <c r="F436" s="25" t="n"/>
      <c r="G436" s="25" t="n"/>
      <c r="H436" s="24" t="n"/>
      <c r="I436" s="11" t="n"/>
      <c r="J436" s="57" t="n"/>
      <c r="K436" s="12" t="n"/>
      <c r="L436" s="13" t="n"/>
      <c r="M436" s="13" t="n"/>
      <c r="N436" s="14">
        <f>ROUND(I436*(SUM(J436:M436))*68%,0)</f>
        <v/>
      </c>
      <c r="O436" s="61" t="n"/>
      <c r="P436" s="59" t="n"/>
      <c r="Q436" s="59" t="n"/>
      <c r="R436" s="58" t="n"/>
      <c r="S436" s="15">
        <f>I436*J436</f>
        <v/>
      </c>
      <c r="T436" s="15">
        <f>SUM(S436:S436)*68%</f>
        <v/>
      </c>
      <c r="U436" s="15">
        <f>I436*K436*40%*O436</f>
        <v/>
      </c>
      <c r="V436" s="15">
        <f>IF(P436&gt;=6750,(I436*K436*40%),0)</f>
        <v/>
      </c>
      <c r="W436" s="15">
        <f>IF(P436&lt;6750,0,IF(Q436="",0,IF(OR(Q436="KURANG",Q436="SANGAT KURANG"),I436*K436*10%,I436*K436*20%)))</f>
        <v/>
      </c>
      <c r="X436" s="15">
        <f>SUM(U436:W436)*68%</f>
        <v/>
      </c>
      <c r="Y436" s="15">
        <f>I436*L436</f>
        <v/>
      </c>
      <c r="Z436" s="15">
        <f>Y436 * 68%</f>
        <v/>
      </c>
      <c r="AA436" s="15">
        <f>I436*M436</f>
        <v/>
      </c>
      <c r="AB436" s="15">
        <f>AA436*68%</f>
        <v/>
      </c>
      <c r="AC436" s="16">
        <f>ROUND((T436+X436+Z436+AB436),0)</f>
        <v/>
      </c>
      <c r="AD436" s="16">
        <f>AG436</f>
        <v/>
      </c>
      <c r="AE436" s="16">
        <f>AI436</f>
        <v/>
      </c>
      <c r="AF436" s="16">
        <f>AC436+AD436+AE436</f>
        <v/>
      </c>
      <c r="AG436" s="16" t="n"/>
      <c r="AH436" s="17" t="n"/>
      <c r="AI436" s="17">
        <f>AH436*4</f>
        <v/>
      </c>
      <c r="AJ436" s="15">
        <f>AF436-AG436-AH436-AI436</f>
        <v/>
      </c>
      <c r="AK436" s="18" t="n">
        <v>429</v>
      </c>
      <c r="AL436" s="23" t="n"/>
    </row>
    <row r="437" ht="23.5" customHeight="1">
      <c r="A437" s="6" t="inlineStr">
        <is>
          <t>430</t>
        </is>
      </c>
      <c r="B437" s="28" t="n"/>
      <c r="C437" s="55" t="n"/>
      <c r="D437" s="19" t="n"/>
      <c r="E437" s="24" t="n"/>
      <c r="F437" s="25" t="n"/>
      <c r="G437" s="25" t="n"/>
      <c r="H437" s="24" t="n"/>
      <c r="I437" s="11" t="n"/>
      <c r="J437" s="57" t="n"/>
      <c r="K437" s="12" t="n"/>
      <c r="L437" s="13" t="n"/>
      <c r="M437" s="13" t="n"/>
      <c r="N437" s="14">
        <f>ROUND(I437*(SUM(J437:M437))*68%,0)</f>
        <v/>
      </c>
      <c r="O437" s="61" t="n"/>
      <c r="P437" s="59" t="n"/>
      <c r="Q437" s="59" t="n"/>
      <c r="R437" s="58" t="n"/>
      <c r="S437" s="15">
        <f>I437*J437</f>
        <v/>
      </c>
      <c r="T437" s="15">
        <f>SUM(S437:S437)*68%</f>
        <v/>
      </c>
      <c r="U437" s="15">
        <f>I437*K437*40%*O437</f>
        <v/>
      </c>
      <c r="V437" s="15">
        <f>IF(P437&gt;=6750,(I437*K437*40%),0)</f>
        <v/>
      </c>
      <c r="W437" s="15">
        <f>IF(P437&lt;6750,0,IF(Q437="",0,IF(OR(Q437="KURANG",Q437="SANGAT KURANG"),I437*K437*10%,I437*K437*20%)))</f>
        <v/>
      </c>
      <c r="X437" s="15">
        <f>SUM(U437:W437)*68%</f>
        <v/>
      </c>
      <c r="Y437" s="15">
        <f>I437*L437</f>
        <v/>
      </c>
      <c r="Z437" s="15">
        <f>Y437 * 68%</f>
        <v/>
      </c>
      <c r="AA437" s="15">
        <f>I437*M437</f>
        <v/>
      </c>
      <c r="AB437" s="15">
        <f>AA437*68%</f>
        <v/>
      </c>
      <c r="AC437" s="16">
        <f>ROUND((T437+X437+Z437+AB437),0)</f>
        <v/>
      </c>
      <c r="AD437" s="16">
        <f>AG437</f>
        <v/>
      </c>
      <c r="AE437" s="16">
        <f>AI437</f>
        <v/>
      </c>
      <c r="AF437" s="16">
        <f>AC437+AD437+AE437</f>
        <v/>
      </c>
      <c r="AG437" s="16" t="n"/>
      <c r="AH437" s="17" t="n"/>
      <c r="AI437" s="17">
        <f>AH437*4</f>
        <v/>
      </c>
      <c r="AJ437" s="15">
        <f>AF437-AG437-AH437-AI437</f>
        <v/>
      </c>
      <c r="AK437" s="18" t="n">
        <v>430</v>
      </c>
      <c r="AL437" s="23" t="n"/>
    </row>
    <row r="438" ht="23.5" customHeight="1">
      <c r="A438" s="6" t="inlineStr">
        <is>
          <t>431</t>
        </is>
      </c>
      <c r="B438" s="28" t="n"/>
      <c r="C438" s="55" t="n"/>
      <c r="D438" s="19" t="n"/>
      <c r="E438" s="24" t="n"/>
      <c r="F438" s="25" t="n"/>
      <c r="G438" s="25" t="n"/>
      <c r="H438" s="24" t="n"/>
      <c r="I438" s="11" t="n"/>
      <c r="J438" s="57" t="n"/>
      <c r="K438" s="12" t="n"/>
      <c r="L438" s="13" t="n"/>
      <c r="M438" s="13" t="n"/>
      <c r="N438" s="14">
        <f>ROUND(I438*(SUM(J438:M438))*68%,0)</f>
        <v/>
      </c>
      <c r="O438" s="61" t="n"/>
      <c r="P438" s="59" t="n"/>
      <c r="Q438" s="59" t="n"/>
      <c r="R438" s="58" t="n"/>
      <c r="S438" s="15">
        <f>I438*J438</f>
        <v/>
      </c>
      <c r="T438" s="15">
        <f>SUM(S438:S438)*68%</f>
        <v/>
      </c>
      <c r="U438" s="15">
        <f>I438*K438*40%*O438</f>
        <v/>
      </c>
      <c r="V438" s="15">
        <f>IF(P438&gt;=6750,(I438*K438*40%),0)</f>
        <v/>
      </c>
      <c r="W438" s="15">
        <f>IF(P438&lt;6750,0,IF(Q438="",0,IF(OR(Q438="KURANG",Q438="SANGAT KURANG"),I438*K438*10%,I438*K438*20%)))</f>
        <v/>
      </c>
      <c r="X438" s="15">
        <f>SUM(U438:W438)*68%</f>
        <v/>
      </c>
      <c r="Y438" s="15">
        <f>I438*L438</f>
        <v/>
      </c>
      <c r="Z438" s="15">
        <f>Y438 * 68%</f>
        <v/>
      </c>
      <c r="AA438" s="15">
        <f>I438*M438</f>
        <v/>
      </c>
      <c r="AB438" s="15">
        <f>AA438*68%</f>
        <v/>
      </c>
      <c r="AC438" s="16">
        <f>ROUND((T438+X438+Z438+AB438),0)</f>
        <v/>
      </c>
      <c r="AD438" s="16">
        <f>AG438</f>
        <v/>
      </c>
      <c r="AE438" s="16">
        <f>AI438</f>
        <v/>
      </c>
      <c r="AF438" s="16">
        <f>AC438+AD438+AE438</f>
        <v/>
      </c>
      <c r="AG438" s="16" t="n"/>
      <c r="AH438" s="17" t="n"/>
      <c r="AI438" s="17">
        <f>AH438*4</f>
        <v/>
      </c>
      <c r="AJ438" s="15">
        <f>AF438-AG438-AH438-AI438</f>
        <v/>
      </c>
      <c r="AK438" s="18" t="n">
        <v>431</v>
      </c>
      <c r="AL438" s="40" t="n"/>
    </row>
    <row r="439" ht="23.5" customHeight="1">
      <c r="A439" s="6" t="inlineStr">
        <is>
          <t>432</t>
        </is>
      </c>
      <c r="B439" s="28" t="n"/>
      <c r="C439" s="55" t="n"/>
      <c r="D439" s="19" t="n"/>
      <c r="E439" s="24" t="n"/>
      <c r="F439" s="25" t="n"/>
      <c r="G439" s="25" t="n"/>
      <c r="H439" s="24" t="n"/>
      <c r="I439" s="11" t="n"/>
      <c r="J439" s="57" t="n"/>
      <c r="K439" s="12" t="n"/>
      <c r="L439" s="13" t="n"/>
      <c r="M439" s="13" t="n"/>
      <c r="N439" s="14">
        <f>ROUND(I439*(SUM(J439:M439))*68%,0)</f>
        <v/>
      </c>
      <c r="O439" s="61" t="n"/>
      <c r="P439" s="59" t="n"/>
      <c r="Q439" s="59" t="n"/>
      <c r="R439" s="58" t="n"/>
      <c r="S439" s="15">
        <f>I439*J439</f>
        <v/>
      </c>
      <c r="T439" s="15">
        <f>SUM(S439:S439)*68%</f>
        <v/>
      </c>
      <c r="U439" s="15">
        <f>I439*K439*40%*O439</f>
        <v/>
      </c>
      <c r="V439" s="15">
        <f>IF(P439&gt;=6750,(I439*K439*40%),0)</f>
        <v/>
      </c>
      <c r="W439" s="15">
        <f>IF(P439&lt;6750,0,IF(Q439="",0,IF(OR(Q439="KURANG",Q439="SANGAT KURANG"),I439*K439*10%,I439*K439*20%)))</f>
        <v/>
      </c>
      <c r="X439" s="15">
        <f>SUM(U439:W439)*68%</f>
        <v/>
      </c>
      <c r="Y439" s="15">
        <f>I439*L439</f>
        <v/>
      </c>
      <c r="Z439" s="15">
        <f>Y439 * 68%</f>
        <v/>
      </c>
      <c r="AA439" s="15">
        <f>I439*M439</f>
        <v/>
      </c>
      <c r="AB439" s="15">
        <f>AA439*68%</f>
        <v/>
      </c>
      <c r="AC439" s="16">
        <f>ROUND((T439+X439+Z439+AB439),0)</f>
        <v/>
      </c>
      <c r="AD439" s="16">
        <f>AG439</f>
        <v/>
      </c>
      <c r="AE439" s="16">
        <f>AI439</f>
        <v/>
      </c>
      <c r="AF439" s="16">
        <f>AC439+AD439+AE439</f>
        <v/>
      </c>
      <c r="AG439" s="16" t="n"/>
      <c r="AH439" s="17" t="n"/>
      <c r="AI439" s="17">
        <f>AH439*4</f>
        <v/>
      </c>
      <c r="AJ439" s="15">
        <f>AF439-AG439-AH439-AI439</f>
        <v/>
      </c>
      <c r="AK439" s="18" t="n">
        <v>432</v>
      </c>
      <c r="AL439" s="23" t="n"/>
    </row>
    <row r="440" ht="23.5" customHeight="1">
      <c r="A440" s="6" t="inlineStr">
        <is>
          <t>433</t>
        </is>
      </c>
      <c r="B440" s="28" t="n"/>
      <c r="C440" s="55" t="n"/>
      <c r="D440" s="19" t="n"/>
      <c r="E440" s="24" t="n"/>
      <c r="F440" s="25" t="n"/>
      <c r="G440" s="25" t="n"/>
      <c r="H440" s="24" t="n"/>
      <c r="I440" s="11" t="n"/>
      <c r="J440" s="57" t="n"/>
      <c r="K440" s="12" t="n"/>
      <c r="L440" s="13" t="n"/>
      <c r="M440" s="13" t="n"/>
      <c r="N440" s="14">
        <f>ROUND(I440*(SUM(J440:M440))*68%,0)</f>
        <v/>
      </c>
      <c r="O440" s="61" t="n"/>
      <c r="P440" s="59" t="n"/>
      <c r="Q440" s="59" t="n"/>
      <c r="R440" s="58" t="n"/>
      <c r="S440" s="15">
        <f>I440*J440</f>
        <v/>
      </c>
      <c r="T440" s="15">
        <f>SUM(S440:S440)*68%</f>
        <v/>
      </c>
      <c r="U440" s="15">
        <f>I440*K440*40%*O440</f>
        <v/>
      </c>
      <c r="V440" s="15">
        <f>IF(P440&gt;=6750,(I440*K440*40%),0)</f>
        <v/>
      </c>
      <c r="W440" s="15">
        <f>IF(P440&lt;6750,0,IF(Q440="",0,IF(OR(Q440="KURANG",Q440="SANGAT KURANG"),I440*K440*10%,I440*K440*20%)))</f>
        <v/>
      </c>
      <c r="X440" s="15">
        <f>SUM(U440:W440)*68%</f>
        <v/>
      </c>
      <c r="Y440" s="15">
        <f>I440*L440</f>
        <v/>
      </c>
      <c r="Z440" s="15">
        <f>Y440 * 68%</f>
        <v/>
      </c>
      <c r="AA440" s="15">
        <f>I440*M440</f>
        <v/>
      </c>
      <c r="AB440" s="15">
        <f>AA440*68%</f>
        <v/>
      </c>
      <c r="AC440" s="16">
        <f>ROUND((T440+X440+Z440+AB440),0)</f>
        <v/>
      </c>
      <c r="AD440" s="16">
        <f>AG440</f>
        <v/>
      </c>
      <c r="AE440" s="16">
        <f>AI440</f>
        <v/>
      </c>
      <c r="AF440" s="16">
        <f>AC440+AD440+AE440</f>
        <v/>
      </c>
      <c r="AG440" s="16" t="n"/>
      <c r="AH440" s="17" t="n"/>
      <c r="AI440" s="17">
        <f>AH440*4</f>
        <v/>
      </c>
      <c r="AJ440" s="15">
        <f>AF440-AG440-AH440-AI440</f>
        <v/>
      </c>
      <c r="AK440" s="18" t="n">
        <v>433</v>
      </c>
      <c r="AL440" s="23" t="n"/>
    </row>
    <row r="441" ht="23.5" customHeight="1">
      <c r="A441" s="6" t="inlineStr">
        <is>
          <t>434</t>
        </is>
      </c>
      <c r="B441" s="28" t="n"/>
      <c r="C441" s="55" t="n"/>
      <c r="D441" s="19" t="n"/>
      <c r="E441" s="24" t="n"/>
      <c r="F441" s="25" t="n"/>
      <c r="G441" s="25" t="n"/>
      <c r="H441" s="24" t="n"/>
      <c r="I441" s="11" t="n"/>
      <c r="J441" s="57" t="n"/>
      <c r="K441" s="12" t="n"/>
      <c r="L441" s="13" t="n"/>
      <c r="M441" s="13" t="n"/>
      <c r="N441" s="14">
        <f>ROUND(I441*(SUM(J441:M441))*68%,0)</f>
        <v/>
      </c>
      <c r="O441" s="61" t="n"/>
      <c r="P441" s="59" t="n"/>
      <c r="Q441" s="59" t="n"/>
      <c r="R441" s="58" t="n"/>
      <c r="S441" s="15">
        <f>I441*J441</f>
        <v/>
      </c>
      <c r="T441" s="15">
        <f>SUM(S441:S441)*68%</f>
        <v/>
      </c>
      <c r="U441" s="15">
        <f>I441*K441*40%*O441</f>
        <v/>
      </c>
      <c r="V441" s="15">
        <f>IF(P441&gt;=6750,(I441*K441*40%),0)</f>
        <v/>
      </c>
      <c r="W441" s="15">
        <f>IF(P441&lt;6750,0,IF(Q441="",0,IF(OR(Q441="KURANG",Q441="SANGAT KURANG"),I441*K441*10%,I441*K441*20%)))</f>
        <v/>
      </c>
      <c r="X441" s="15">
        <f>SUM(U441:W441)*68%</f>
        <v/>
      </c>
      <c r="Y441" s="15">
        <f>I441*L441</f>
        <v/>
      </c>
      <c r="Z441" s="15">
        <f>Y441 * 68%</f>
        <v/>
      </c>
      <c r="AA441" s="15">
        <f>I441*M441</f>
        <v/>
      </c>
      <c r="AB441" s="15">
        <f>AA441*68%</f>
        <v/>
      </c>
      <c r="AC441" s="16">
        <f>ROUND((T441+X441+Z441+AB441),0)</f>
        <v/>
      </c>
      <c r="AD441" s="16">
        <f>AG441</f>
        <v/>
      </c>
      <c r="AE441" s="16">
        <f>AI441</f>
        <v/>
      </c>
      <c r="AF441" s="16">
        <f>AC441+AD441+AE441</f>
        <v/>
      </c>
      <c r="AG441" s="16" t="n"/>
      <c r="AH441" s="17" t="n"/>
      <c r="AI441" s="17">
        <f>AH441*4</f>
        <v/>
      </c>
      <c r="AJ441" s="15">
        <f>AF441-AG441-AH441-AI441</f>
        <v/>
      </c>
      <c r="AK441" s="18" t="n">
        <v>434</v>
      </c>
      <c r="AL441" s="40" t="n"/>
    </row>
    <row r="442" ht="23.5" customHeight="1">
      <c r="A442" s="6" t="inlineStr">
        <is>
          <t>435</t>
        </is>
      </c>
      <c r="B442" s="28" t="n"/>
      <c r="C442" s="55" t="n"/>
      <c r="D442" s="19" t="n"/>
      <c r="E442" s="24" t="n"/>
      <c r="F442" s="25" t="n"/>
      <c r="G442" s="25" t="n"/>
      <c r="H442" s="24" t="n"/>
      <c r="I442" s="11" t="n"/>
      <c r="J442" s="57" t="n"/>
      <c r="K442" s="12" t="n"/>
      <c r="L442" s="13" t="n"/>
      <c r="M442" s="13" t="n"/>
      <c r="N442" s="14">
        <f>ROUND(I442*(SUM(J442:M442))*68%,0)</f>
        <v/>
      </c>
      <c r="O442" s="61" t="n"/>
      <c r="P442" s="59" t="n"/>
      <c r="Q442" s="59" t="n"/>
      <c r="R442" s="58" t="n"/>
      <c r="S442" s="15">
        <f>I442*J442</f>
        <v/>
      </c>
      <c r="T442" s="15">
        <f>SUM(S442:S442)*68%</f>
        <v/>
      </c>
      <c r="U442" s="15">
        <f>I442*K442*40%*O442</f>
        <v/>
      </c>
      <c r="V442" s="15">
        <f>IF(P442&gt;=6750,(I442*K442*40%),0)</f>
        <v/>
      </c>
      <c r="W442" s="15">
        <f>IF(P442&lt;6750,0,IF(Q442="",0,IF(OR(Q442="KURANG",Q442="SANGAT KURANG"),I442*K442*10%,I442*K442*20%)))</f>
        <v/>
      </c>
      <c r="X442" s="15">
        <f>SUM(U442:W442)*68%</f>
        <v/>
      </c>
      <c r="Y442" s="15">
        <f>I442*L442</f>
        <v/>
      </c>
      <c r="Z442" s="15">
        <f>Y442 * 68%</f>
        <v/>
      </c>
      <c r="AA442" s="15">
        <f>I442*M442</f>
        <v/>
      </c>
      <c r="AB442" s="15">
        <f>AA442*68%</f>
        <v/>
      </c>
      <c r="AC442" s="16">
        <f>ROUND((T442+X442+Z442+AB442),0)</f>
        <v/>
      </c>
      <c r="AD442" s="16">
        <f>AG442</f>
        <v/>
      </c>
      <c r="AE442" s="16">
        <f>AI442</f>
        <v/>
      </c>
      <c r="AF442" s="16">
        <f>AC442+AD442+AE442</f>
        <v/>
      </c>
      <c r="AG442" s="16" t="n"/>
      <c r="AH442" s="17" t="n"/>
      <c r="AI442" s="17">
        <f>AH442*4</f>
        <v/>
      </c>
      <c r="AJ442" s="15">
        <f>AF442-AG442-AH442-AI442</f>
        <v/>
      </c>
      <c r="AK442" s="18" t="n">
        <v>435</v>
      </c>
      <c r="AL442" s="23" t="n"/>
    </row>
    <row r="443" ht="23.5" customHeight="1">
      <c r="A443" s="6" t="inlineStr">
        <is>
          <t>436</t>
        </is>
      </c>
      <c r="B443" s="28" t="n"/>
      <c r="C443" s="55" t="n"/>
      <c r="D443" s="19" t="n"/>
      <c r="E443" s="24" t="n"/>
      <c r="F443" s="25" t="n"/>
      <c r="G443" s="25" t="n"/>
      <c r="H443" s="24" t="n"/>
      <c r="I443" s="11" t="n"/>
      <c r="J443" s="57" t="n"/>
      <c r="K443" s="12" t="n"/>
      <c r="L443" s="13" t="n"/>
      <c r="M443" s="13" t="n"/>
      <c r="N443" s="14">
        <f>ROUND(I443*(SUM(J443:M443))*68%,0)</f>
        <v/>
      </c>
      <c r="O443" s="61" t="n"/>
      <c r="P443" s="59" t="n"/>
      <c r="Q443" s="59" t="n"/>
      <c r="R443" s="58" t="n"/>
      <c r="S443" s="15">
        <f>I443*J443</f>
        <v/>
      </c>
      <c r="T443" s="15">
        <f>SUM(S443:S443)*68%</f>
        <v/>
      </c>
      <c r="U443" s="15">
        <f>I443*K443*40%*O443</f>
        <v/>
      </c>
      <c r="V443" s="15">
        <f>IF(P443&gt;=6750,(I443*K443*40%),0)</f>
        <v/>
      </c>
      <c r="W443" s="15">
        <f>IF(P443&lt;6750,0,IF(Q443="",0,IF(OR(Q443="KURANG",Q443="SANGAT KURANG"),I443*K443*10%,I443*K443*20%)))</f>
        <v/>
      </c>
      <c r="X443" s="15">
        <f>SUM(U443:W443)*68%</f>
        <v/>
      </c>
      <c r="Y443" s="15">
        <f>I443*L443</f>
        <v/>
      </c>
      <c r="Z443" s="15">
        <f>Y443 * 68%</f>
        <v/>
      </c>
      <c r="AA443" s="15">
        <f>I443*M443</f>
        <v/>
      </c>
      <c r="AB443" s="15">
        <f>AA443*68%</f>
        <v/>
      </c>
      <c r="AC443" s="16">
        <f>ROUND((T443+X443+Z443+AB443),0)</f>
        <v/>
      </c>
      <c r="AD443" s="16">
        <f>AG443</f>
        <v/>
      </c>
      <c r="AE443" s="16">
        <f>AI443</f>
        <v/>
      </c>
      <c r="AF443" s="16">
        <f>AC443+AD443+AE443</f>
        <v/>
      </c>
      <c r="AG443" s="16" t="n"/>
      <c r="AH443" s="17" t="n"/>
      <c r="AI443" s="17">
        <f>AH443*4</f>
        <v/>
      </c>
      <c r="AJ443" s="15">
        <f>AF443-AG443-AH443-AI443</f>
        <v/>
      </c>
      <c r="AK443" s="18" t="n">
        <v>436</v>
      </c>
      <c r="AL443" s="23" t="n"/>
    </row>
    <row r="444" ht="23.5" customHeight="1">
      <c r="A444" s="6" t="inlineStr">
        <is>
          <t>437</t>
        </is>
      </c>
      <c r="B444" s="28" t="n"/>
      <c r="C444" s="55" t="n"/>
      <c r="D444" s="19" t="n"/>
      <c r="E444" s="24" t="n"/>
      <c r="F444" s="25" t="n"/>
      <c r="G444" s="25" t="n"/>
      <c r="H444" s="24" t="n"/>
      <c r="I444" s="11" t="n"/>
      <c r="J444" s="57" t="n"/>
      <c r="K444" s="12" t="n"/>
      <c r="L444" s="13" t="n"/>
      <c r="M444" s="13" t="n"/>
      <c r="N444" s="14">
        <f>ROUND(I444*(SUM(J444:M444))*68%,0)</f>
        <v/>
      </c>
      <c r="O444" s="61" t="n"/>
      <c r="P444" s="59" t="n"/>
      <c r="Q444" s="59" t="n"/>
      <c r="R444" s="58" t="n"/>
      <c r="S444" s="15">
        <f>I444*J444</f>
        <v/>
      </c>
      <c r="T444" s="15">
        <f>SUM(S444:S444)*68%</f>
        <v/>
      </c>
      <c r="U444" s="15">
        <f>I444*K444*40%*O444</f>
        <v/>
      </c>
      <c r="V444" s="15">
        <f>IF(P444&gt;=6750,(I444*K444*40%),0)</f>
        <v/>
      </c>
      <c r="W444" s="15">
        <f>IF(P444&lt;6750,0,IF(Q444="",0,IF(OR(Q444="KURANG",Q444="SANGAT KURANG"),I444*K444*10%,I444*K444*20%)))</f>
        <v/>
      </c>
      <c r="X444" s="15">
        <f>SUM(U444:W444)*68%</f>
        <v/>
      </c>
      <c r="Y444" s="15">
        <f>I444*L444</f>
        <v/>
      </c>
      <c r="Z444" s="15">
        <f>Y444 * 68%</f>
        <v/>
      </c>
      <c r="AA444" s="15">
        <f>I444*M444</f>
        <v/>
      </c>
      <c r="AB444" s="15">
        <f>AA444*68%</f>
        <v/>
      </c>
      <c r="AC444" s="16">
        <f>ROUND((T444+X444+Z444+AB444),0)</f>
        <v/>
      </c>
      <c r="AD444" s="16">
        <f>AG444</f>
        <v/>
      </c>
      <c r="AE444" s="16">
        <f>AI444</f>
        <v/>
      </c>
      <c r="AF444" s="16">
        <f>AC444+AD444+AE444</f>
        <v/>
      </c>
      <c r="AG444" s="16" t="n"/>
      <c r="AH444" s="17" t="n"/>
      <c r="AI444" s="17">
        <f>AH444*4</f>
        <v/>
      </c>
      <c r="AJ444" s="15">
        <f>AF444-AG444-AH444-AI444</f>
        <v/>
      </c>
      <c r="AK444" s="18" t="n">
        <v>437</v>
      </c>
      <c r="AL444" s="40" t="n"/>
    </row>
    <row r="445" ht="23.5" customHeight="1">
      <c r="A445" s="6" t="inlineStr">
        <is>
          <t>438</t>
        </is>
      </c>
      <c r="B445" s="24" t="n"/>
      <c r="C445" s="55" t="n"/>
      <c r="D445" s="19" t="n"/>
      <c r="E445" s="24" t="n"/>
      <c r="F445" s="25" t="n"/>
      <c r="G445" s="25" t="n"/>
      <c r="H445" s="24" t="n"/>
      <c r="I445" s="11" t="n"/>
      <c r="J445" s="57" t="n"/>
      <c r="K445" s="12" t="n"/>
      <c r="L445" s="13" t="n"/>
      <c r="M445" s="13" t="n"/>
      <c r="N445" s="14">
        <f>ROUND(I445*(SUM(J445:M445))*68%,0)</f>
        <v/>
      </c>
      <c r="O445" s="61" t="n"/>
      <c r="P445" s="59" t="n"/>
      <c r="Q445" s="59" t="n"/>
      <c r="R445" s="58" t="n"/>
      <c r="S445" s="15">
        <f>I445*J445</f>
        <v/>
      </c>
      <c r="T445" s="15">
        <f>SUM(S445:S445)*68%</f>
        <v/>
      </c>
      <c r="U445" s="15">
        <f>I445*K445*40%*O445</f>
        <v/>
      </c>
      <c r="V445" s="15">
        <f>IF(P445&gt;=6750,(I445*K445*40%),0)</f>
        <v/>
      </c>
      <c r="W445" s="15">
        <f>IF(P445&lt;6750,0,IF(Q445="",0,IF(OR(Q445="KURANG",Q445="SANGAT KURANG"),I445*K445*10%,I445*K445*20%)))</f>
        <v/>
      </c>
      <c r="X445" s="15">
        <f>SUM(U445:W445)*68%</f>
        <v/>
      </c>
      <c r="Y445" s="15">
        <f>I445*L445</f>
        <v/>
      </c>
      <c r="Z445" s="15">
        <f>Y445 * 68%</f>
        <v/>
      </c>
      <c r="AA445" s="15">
        <f>I445*M445</f>
        <v/>
      </c>
      <c r="AB445" s="15">
        <f>AA445*68%</f>
        <v/>
      </c>
      <c r="AC445" s="16">
        <f>ROUND((T445+X445+Z445+AB445),0)</f>
        <v/>
      </c>
      <c r="AD445" s="16">
        <f>AG445</f>
        <v/>
      </c>
      <c r="AE445" s="16">
        <f>AI445</f>
        <v/>
      </c>
      <c r="AF445" s="16">
        <f>AC445+AD445+AE445</f>
        <v/>
      </c>
      <c r="AG445" s="16" t="n"/>
      <c r="AH445" s="17" t="n"/>
      <c r="AI445" s="17">
        <f>AH445*4</f>
        <v/>
      </c>
      <c r="AJ445" s="15">
        <f>AF445-AG445-AH445-AI445</f>
        <v/>
      </c>
      <c r="AK445" s="18" t="n">
        <v>438</v>
      </c>
      <c r="AL445" s="23" t="n"/>
    </row>
    <row r="446" ht="23.5" customHeight="1">
      <c r="A446" s="6" t="inlineStr">
        <is>
          <t>439</t>
        </is>
      </c>
      <c r="B446" s="54" t="n"/>
      <c r="C446" s="55" t="n"/>
      <c r="D446" s="19" t="n"/>
      <c r="E446" s="26" t="n"/>
      <c r="F446" s="27" t="n"/>
      <c r="G446" s="25" t="n"/>
      <c r="H446" s="24" t="n"/>
      <c r="I446" s="11" t="n"/>
      <c r="J446" s="57" t="n"/>
      <c r="K446" s="12" t="n"/>
      <c r="L446" s="13" t="n"/>
      <c r="M446" s="13" t="n"/>
      <c r="N446" s="14">
        <f>ROUND(I446*(SUM(J446:M446))*68%,0)</f>
        <v/>
      </c>
      <c r="O446" s="61" t="n"/>
      <c r="P446" s="59" t="n"/>
      <c r="Q446" s="59" t="n"/>
      <c r="R446" s="58" t="n"/>
      <c r="S446" s="15">
        <f>I446*J446</f>
        <v/>
      </c>
      <c r="T446" s="15">
        <f>SUM(S446:S446)*68%</f>
        <v/>
      </c>
      <c r="U446" s="15">
        <f>I446*K446*40%*O446</f>
        <v/>
      </c>
      <c r="V446" s="15">
        <f>IF(P446&gt;=6750,(I446*K446*40%),0)</f>
        <v/>
      </c>
      <c r="W446" s="15">
        <f>IF(P446&lt;6750,0,IF(Q446="",0,IF(OR(Q446="KURANG",Q446="SANGAT KURANG"),I446*K446*10%,I446*K446*20%)))</f>
        <v/>
      </c>
      <c r="X446" s="15">
        <f>SUM(U446:W446)*68%</f>
        <v/>
      </c>
      <c r="Y446" s="15">
        <f>I446*L446</f>
        <v/>
      </c>
      <c r="Z446" s="15">
        <f>Y446 * 68%</f>
        <v/>
      </c>
      <c r="AA446" s="15">
        <f>I446*M446</f>
        <v/>
      </c>
      <c r="AB446" s="15">
        <f>AA446*68%</f>
        <v/>
      </c>
      <c r="AC446" s="16">
        <f>ROUND((T446+X446+Z446+AB446),0)</f>
        <v/>
      </c>
      <c r="AD446" s="16">
        <f>AG446</f>
        <v/>
      </c>
      <c r="AE446" s="16">
        <f>AI446</f>
        <v/>
      </c>
      <c r="AF446" s="16">
        <f>AC446+AD446+AE446</f>
        <v/>
      </c>
      <c r="AG446" s="16" t="n"/>
      <c r="AH446" s="17" t="n"/>
      <c r="AI446" s="17">
        <f>AH446*4</f>
        <v/>
      </c>
      <c r="AJ446" s="15">
        <f>AF446-AG446-AH446-AI446</f>
        <v/>
      </c>
      <c r="AK446" s="18" t="n">
        <v>439</v>
      </c>
      <c r="AL446" s="23" t="n"/>
    </row>
    <row r="447" ht="23.5" customHeight="1">
      <c r="A447" s="6" t="inlineStr">
        <is>
          <t>440</t>
        </is>
      </c>
      <c r="B447" s="28" t="n"/>
      <c r="C447" s="55" t="n"/>
      <c r="D447" s="19" t="n"/>
      <c r="E447" s="24" t="n"/>
      <c r="F447" s="27" t="n"/>
      <c r="G447" s="25" t="n"/>
      <c r="H447" s="24" t="n"/>
      <c r="I447" s="11" t="n"/>
      <c r="J447" s="57" t="n"/>
      <c r="K447" s="12" t="n"/>
      <c r="L447" s="13" t="n"/>
      <c r="M447" s="13" t="n"/>
      <c r="N447" s="14">
        <f>ROUND(I447*(SUM(J447:M447))*68%,0)</f>
        <v/>
      </c>
      <c r="O447" s="61" t="n"/>
      <c r="P447" s="59" t="n"/>
      <c r="Q447" s="59" t="n"/>
      <c r="R447" s="58" t="n"/>
      <c r="S447" s="15">
        <f>I447*J447</f>
        <v/>
      </c>
      <c r="T447" s="15">
        <f>SUM(S447:S447)*68%</f>
        <v/>
      </c>
      <c r="U447" s="15">
        <f>I447*K447*40%*O447</f>
        <v/>
      </c>
      <c r="V447" s="15">
        <f>IF(P447&gt;=6750,(I447*K447*40%),0)</f>
        <v/>
      </c>
      <c r="W447" s="15">
        <f>IF(P447&lt;6750,0,IF(Q447="",0,IF(OR(Q447="KURANG",Q447="SANGAT KURANG"),I447*K447*10%,I447*K447*20%)))</f>
        <v/>
      </c>
      <c r="X447" s="15">
        <f>SUM(U447:W447)*68%</f>
        <v/>
      </c>
      <c r="Y447" s="15">
        <f>I447*L447</f>
        <v/>
      </c>
      <c r="Z447" s="15">
        <f>Y447 * 68%</f>
        <v/>
      </c>
      <c r="AA447" s="15">
        <f>I447*M447</f>
        <v/>
      </c>
      <c r="AB447" s="15">
        <f>AA447*68%</f>
        <v/>
      </c>
      <c r="AC447" s="16">
        <f>ROUND((T447+X447+Z447+AB447),0)</f>
        <v/>
      </c>
      <c r="AD447" s="16">
        <f>AG447</f>
        <v/>
      </c>
      <c r="AE447" s="16">
        <f>AI447</f>
        <v/>
      </c>
      <c r="AF447" s="16">
        <f>AC447+AD447+AE447</f>
        <v/>
      </c>
      <c r="AG447" s="16" t="n"/>
      <c r="AH447" s="17" t="n"/>
      <c r="AI447" s="17">
        <f>AH447*4</f>
        <v/>
      </c>
      <c r="AJ447" s="15">
        <f>AF447-AG447-AH447-AI447</f>
        <v/>
      </c>
      <c r="AK447" s="18" t="n">
        <v>440</v>
      </c>
      <c r="AL447" s="40" t="n"/>
    </row>
    <row r="448" ht="23.5" customHeight="1">
      <c r="A448" s="6" t="inlineStr">
        <is>
          <t>441</t>
        </is>
      </c>
      <c r="B448" s="28" t="n"/>
      <c r="C448" s="55" t="n"/>
      <c r="D448" s="19" t="n"/>
      <c r="E448" s="24" t="n"/>
      <c r="F448" s="25" t="n"/>
      <c r="G448" s="10" t="n"/>
      <c r="H448" s="8" t="n"/>
      <c r="I448" s="11" t="n"/>
      <c r="J448" s="57" t="n"/>
      <c r="K448" s="12" t="n"/>
      <c r="L448" s="13" t="n"/>
      <c r="M448" s="13" t="n"/>
      <c r="N448" s="14">
        <f>ROUND(I448*(SUM(J448:M448))*68%,0)</f>
        <v/>
      </c>
      <c r="O448" s="61" t="n"/>
      <c r="P448" s="59" t="n"/>
      <c r="Q448" s="59" t="n"/>
      <c r="R448" s="58" t="n"/>
      <c r="S448" s="15">
        <f>I448*J448</f>
        <v/>
      </c>
      <c r="T448" s="15">
        <f>SUM(S448:S448)*68%</f>
        <v/>
      </c>
      <c r="U448" s="15">
        <f>I448*K448*40%*O448</f>
        <v/>
      </c>
      <c r="V448" s="15">
        <f>IF(P448&gt;=6750,(I448*K448*40%),0)</f>
        <v/>
      </c>
      <c r="W448" s="15">
        <f>IF(P448&lt;6750,0,IF(Q448="",0,IF(OR(Q448="KURANG",Q448="SANGAT KURANG"),I448*K448*10%,I448*K448*20%)))</f>
        <v/>
      </c>
      <c r="X448" s="15">
        <f>SUM(U448:W448)*68%</f>
        <v/>
      </c>
      <c r="Y448" s="15">
        <f>I448*L448</f>
        <v/>
      </c>
      <c r="Z448" s="15">
        <f>Y448 * 68%</f>
        <v/>
      </c>
      <c r="AA448" s="15">
        <f>I448*M448</f>
        <v/>
      </c>
      <c r="AB448" s="15">
        <f>AA448*68%</f>
        <v/>
      </c>
      <c r="AC448" s="16">
        <f>ROUND((T448+X448+Z448+AB448),0)</f>
        <v/>
      </c>
      <c r="AD448" s="16">
        <f>AG448</f>
        <v/>
      </c>
      <c r="AE448" s="16">
        <f>AI448</f>
        <v/>
      </c>
      <c r="AF448" s="16">
        <f>AC448+AD448+AE448</f>
        <v/>
      </c>
      <c r="AG448" s="16" t="n"/>
      <c r="AH448" s="17" t="n"/>
      <c r="AI448" s="17">
        <f>AH448*4</f>
        <v/>
      </c>
      <c r="AJ448" s="15">
        <f>AF448-AG448-AH448-AI448</f>
        <v/>
      </c>
      <c r="AK448" s="18" t="n">
        <v>441</v>
      </c>
      <c r="AL448" s="23" t="n"/>
    </row>
    <row r="449" ht="23.5" customHeight="1">
      <c r="A449" s="6" t="inlineStr">
        <is>
          <t>442</t>
        </is>
      </c>
      <c r="B449" s="24" t="n"/>
      <c r="C449" s="55" t="n"/>
      <c r="D449" s="19" t="n"/>
      <c r="E449" s="24" t="n"/>
      <c r="F449" s="25" t="n"/>
      <c r="G449" s="10" t="n"/>
      <c r="H449" s="8" t="n"/>
      <c r="I449" s="11" t="n"/>
      <c r="J449" s="57" t="n"/>
      <c r="K449" s="12" t="n"/>
      <c r="L449" s="13" t="n"/>
      <c r="M449" s="13" t="n"/>
      <c r="N449" s="14">
        <f>ROUND(I449*(SUM(J449:M449))*68%,0)</f>
        <v/>
      </c>
      <c r="O449" s="61" t="n"/>
      <c r="P449" s="59" t="n"/>
      <c r="Q449" s="59" t="n"/>
      <c r="R449" s="58" t="n"/>
      <c r="S449" s="15">
        <f>I449*J449</f>
        <v/>
      </c>
      <c r="T449" s="15">
        <f>SUM(S449:S449)*68%</f>
        <v/>
      </c>
      <c r="U449" s="15">
        <f>I449*K449*40%*O449</f>
        <v/>
      </c>
      <c r="V449" s="15">
        <f>IF(P449&gt;=6750,(I449*K449*40%),0)</f>
        <v/>
      </c>
      <c r="W449" s="15">
        <f>IF(P449&lt;6750,0,IF(Q449="",0,IF(OR(Q449="KURANG",Q449="SANGAT KURANG"),I449*K449*10%,I449*K449*20%)))</f>
        <v/>
      </c>
      <c r="X449" s="15">
        <f>SUM(U449:W449)*68%</f>
        <v/>
      </c>
      <c r="Y449" s="15">
        <f>I449*L449</f>
        <v/>
      </c>
      <c r="Z449" s="15">
        <f>Y449 * 68%</f>
        <v/>
      </c>
      <c r="AA449" s="15">
        <f>I449*M449</f>
        <v/>
      </c>
      <c r="AB449" s="15">
        <f>AA449*68%</f>
        <v/>
      </c>
      <c r="AC449" s="16">
        <f>ROUND((T449+X449+Z449+AB449),0)</f>
        <v/>
      </c>
      <c r="AD449" s="16">
        <f>AG449</f>
        <v/>
      </c>
      <c r="AE449" s="16">
        <f>AI449</f>
        <v/>
      </c>
      <c r="AF449" s="16">
        <f>AC449+AD449+AE449</f>
        <v/>
      </c>
      <c r="AG449" s="16" t="n"/>
      <c r="AH449" s="17" t="n"/>
      <c r="AI449" s="17">
        <f>AH449*4</f>
        <v/>
      </c>
      <c r="AJ449" s="15">
        <f>AF449-AG449-AH449-AI449</f>
        <v/>
      </c>
      <c r="AK449" s="18" t="n">
        <v>442</v>
      </c>
      <c r="AL449" s="23" t="n"/>
    </row>
    <row r="450" ht="23.5" customHeight="1">
      <c r="A450" s="6" t="inlineStr">
        <is>
          <t>443</t>
        </is>
      </c>
      <c r="B450" s="28" t="n"/>
      <c r="C450" s="55" t="n"/>
      <c r="D450" s="19" t="n"/>
      <c r="E450" s="24" t="n"/>
      <c r="F450" s="25" t="n"/>
      <c r="G450" s="10" t="n"/>
      <c r="H450" s="8" t="n"/>
      <c r="I450" s="11" t="n"/>
      <c r="J450" s="57" t="n"/>
      <c r="K450" s="12" t="n"/>
      <c r="L450" s="13" t="n"/>
      <c r="M450" s="13" t="n"/>
      <c r="N450" s="14">
        <f>ROUND(I450*(SUM(J450:M450))*68%,0)</f>
        <v/>
      </c>
      <c r="O450" s="61" t="n"/>
      <c r="P450" s="59" t="n"/>
      <c r="Q450" s="59" t="n"/>
      <c r="R450" s="58" t="n"/>
      <c r="S450" s="15">
        <f>I450*J450</f>
        <v/>
      </c>
      <c r="T450" s="15">
        <f>SUM(S450:S450)*68%</f>
        <v/>
      </c>
      <c r="U450" s="15">
        <f>I450*K450*40%*O450</f>
        <v/>
      </c>
      <c r="V450" s="15">
        <f>IF(P450&gt;=6750,(I450*K450*40%),0)</f>
        <v/>
      </c>
      <c r="W450" s="15">
        <f>IF(P450&lt;6750,0,IF(Q450="",0,IF(OR(Q450="KURANG",Q450="SANGAT KURANG"),I450*K450*10%,I450*K450*20%)))</f>
        <v/>
      </c>
      <c r="X450" s="15">
        <f>SUM(U450:W450)*68%</f>
        <v/>
      </c>
      <c r="Y450" s="15">
        <f>I450*L450</f>
        <v/>
      </c>
      <c r="Z450" s="15">
        <f>Y450 * 68%</f>
        <v/>
      </c>
      <c r="AA450" s="15">
        <f>I450*M450</f>
        <v/>
      </c>
      <c r="AB450" s="15">
        <f>AA450*68%</f>
        <v/>
      </c>
      <c r="AC450" s="16">
        <f>ROUND((T450+X450+Z450+AB450),0)</f>
        <v/>
      </c>
      <c r="AD450" s="16">
        <f>AG450</f>
        <v/>
      </c>
      <c r="AE450" s="16">
        <f>AI450</f>
        <v/>
      </c>
      <c r="AF450" s="16">
        <f>AC450+AD450+AE450</f>
        <v/>
      </c>
      <c r="AG450" s="16" t="n"/>
      <c r="AH450" s="17" t="n"/>
      <c r="AI450" s="17">
        <f>AH450*4</f>
        <v/>
      </c>
      <c r="AJ450" s="15">
        <f>AF450-AG450-AH450-AI450</f>
        <v/>
      </c>
      <c r="AK450" s="18" t="n">
        <v>443</v>
      </c>
      <c r="AL450" s="40" t="n"/>
    </row>
    <row r="451" ht="23.5" customHeight="1">
      <c r="A451" s="6" t="inlineStr">
        <is>
          <t>444</t>
        </is>
      </c>
      <c r="B451" s="28" t="n"/>
      <c r="C451" s="55" t="n"/>
      <c r="D451" s="19" t="n"/>
      <c r="E451" s="24" t="n"/>
      <c r="F451" s="25" t="n"/>
      <c r="G451" s="10" t="n"/>
      <c r="H451" s="8" t="n"/>
      <c r="I451" s="11" t="n"/>
      <c r="J451" s="57" t="n"/>
      <c r="K451" s="12" t="n"/>
      <c r="L451" s="13" t="n"/>
      <c r="M451" s="13" t="n"/>
      <c r="N451" s="14">
        <f>ROUND(I451*(SUM(J451:M451))*68%,0)</f>
        <v/>
      </c>
      <c r="O451" s="61" t="n"/>
      <c r="P451" s="59" t="n"/>
      <c r="Q451" s="59" t="n"/>
      <c r="R451" s="58" t="n"/>
      <c r="S451" s="15">
        <f>I451*J451</f>
        <v/>
      </c>
      <c r="T451" s="15">
        <f>SUM(S451:S451)*68%</f>
        <v/>
      </c>
      <c r="U451" s="15">
        <f>I451*K451*40%*O451</f>
        <v/>
      </c>
      <c r="V451" s="15">
        <f>IF(P451&gt;=6750,(I451*K451*40%),0)</f>
        <v/>
      </c>
      <c r="W451" s="15">
        <f>IF(P451&lt;6750,0,IF(Q451="",0,IF(OR(Q451="KURANG",Q451="SANGAT KURANG"),I451*K451*10%,I451*K451*20%)))</f>
        <v/>
      </c>
      <c r="X451" s="15">
        <f>SUM(U451:W451)*68%</f>
        <v/>
      </c>
      <c r="Y451" s="15">
        <f>I451*L451</f>
        <v/>
      </c>
      <c r="Z451" s="15">
        <f>Y451 * 68%</f>
        <v/>
      </c>
      <c r="AA451" s="15">
        <f>I451*M451</f>
        <v/>
      </c>
      <c r="AB451" s="15">
        <f>AA451*68%</f>
        <v/>
      </c>
      <c r="AC451" s="16">
        <f>ROUND((T451+X451+Z451+AB451),0)</f>
        <v/>
      </c>
      <c r="AD451" s="16">
        <f>AG451</f>
        <v/>
      </c>
      <c r="AE451" s="16">
        <f>AI451</f>
        <v/>
      </c>
      <c r="AF451" s="16">
        <f>AC451+AD451+AE451</f>
        <v/>
      </c>
      <c r="AG451" s="16" t="n"/>
      <c r="AH451" s="17" t="n"/>
      <c r="AI451" s="17">
        <f>AH451*4</f>
        <v/>
      </c>
      <c r="AJ451" s="15">
        <f>AF451-AG451-AH451-AI451</f>
        <v/>
      </c>
      <c r="AK451" s="18" t="n">
        <v>444</v>
      </c>
      <c r="AL451" s="23" t="n"/>
    </row>
    <row r="452" ht="23.5" customHeight="1">
      <c r="A452" s="6" t="inlineStr">
        <is>
          <t>445</t>
        </is>
      </c>
      <c r="B452" s="24" t="n"/>
      <c r="C452" s="55" t="n"/>
      <c r="D452" s="19" t="n"/>
      <c r="E452" s="24" t="n"/>
      <c r="F452" s="25" t="n"/>
      <c r="G452" s="10" t="n"/>
      <c r="H452" s="8" t="n"/>
      <c r="I452" s="11" t="n"/>
      <c r="J452" s="57" t="n"/>
      <c r="K452" s="12" t="n"/>
      <c r="L452" s="13" t="n"/>
      <c r="M452" s="13" t="n"/>
      <c r="N452" s="14">
        <f>ROUND(I452*(SUM(J452:M452))*68%,0)</f>
        <v/>
      </c>
      <c r="O452" s="61" t="n"/>
      <c r="P452" s="59" t="n"/>
      <c r="Q452" s="59" t="n"/>
      <c r="R452" s="58" t="n"/>
      <c r="S452" s="15">
        <f>I452*J452</f>
        <v/>
      </c>
      <c r="T452" s="15">
        <f>SUM(S452:S452)*68%</f>
        <v/>
      </c>
      <c r="U452" s="15">
        <f>I452*K452*40%*O452</f>
        <v/>
      </c>
      <c r="V452" s="15">
        <f>IF(P452&gt;=6750,(I452*K452*40%),0)</f>
        <v/>
      </c>
      <c r="W452" s="15">
        <f>IF(P452&lt;6750,0,IF(Q452="",0,IF(OR(Q452="KURANG",Q452="SANGAT KURANG"),I452*K452*10%,I452*K452*20%)))</f>
        <v/>
      </c>
      <c r="X452" s="15">
        <f>SUM(U452:W452)*68%</f>
        <v/>
      </c>
      <c r="Y452" s="15">
        <f>I452*L452</f>
        <v/>
      </c>
      <c r="Z452" s="15">
        <f>Y452 * 68%</f>
        <v/>
      </c>
      <c r="AA452" s="15">
        <f>I452*M452</f>
        <v/>
      </c>
      <c r="AB452" s="15">
        <f>AA452*68%</f>
        <v/>
      </c>
      <c r="AC452" s="16">
        <f>ROUND((T452+X452+Z452+AB452),0)</f>
        <v/>
      </c>
      <c r="AD452" s="16">
        <f>AG452</f>
        <v/>
      </c>
      <c r="AE452" s="16">
        <f>AI452</f>
        <v/>
      </c>
      <c r="AF452" s="16">
        <f>AC452+AD452+AE452</f>
        <v/>
      </c>
      <c r="AG452" s="16" t="n"/>
      <c r="AH452" s="17" t="n"/>
      <c r="AI452" s="17">
        <f>AH452*4</f>
        <v/>
      </c>
      <c r="AJ452" s="15">
        <f>AF452-AG452-AH452-AI452</f>
        <v/>
      </c>
      <c r="AK452" s="18" t="n">
        <v>445</v>
      </c>
      <c r="AL452" s="23" t="n"/>
    </row>
    <row r="453" ht="23.5" customHeight="1">
      <c r="A453" s="6" t="inlineStr">
        <is>
          <t>446</t>
        </is>
      </c>
      <c r="B453" s="24" t="n"/>
      <c r="C453" s="55" t="n"/>
      <c r="D453" s="19" t="n"/>
      <c r="E453" s="24" t="n"/>
      <c r="F453" s="25" t="n"/>
      <c r="G453" s="10" t="n"/>
      <c r="H453" s="8" t="n"/>
      <c r="I453" s="11" t="n"/>
      <c r="J453" s="57" t="n"/>
      <c r="K453" s="12" t="n"/>
      <c r="L453" s="13" t="n"/>
      <c r="M453" s="13" t="n"/>
      <c r="N453" s="14">
        <f>ROUND(I453*(SUM(J453:M453))*68%,0)</f>
        <v/>
      </c>
      <c r="O453" s="61" t="n"/>
      <c r="P453" s="59" t="n"/>
      <c r="Q453" s="59" t="n"/>
      <c r="R453" s="58" t="n"/>
      <c r="S453" s="15">
        <f>I453*J453</f>
        <v/>
      </c>
      <c r="T453" s="15">
        <f>SUM(S453:S453)*68%</f>
        <v/>
      </c>
      <c r="U453" s="15">
        <f>I453*K453*40%*O453</f>
        <v/>
      </c>
      <c r="V453" s="15">
        <f>IF(P453&gt;=6750,(I453*K453*40%),0)</f>
        <v/>
      </c>
      <c r="W453" s="15">
        <f>IF(P453&lt;6750,0,IF(Q453="",0,IF(OR(Q453="KURANG",Q453="SANGAT KURANG"),I453*K453*10%,I453*K453*20%)))</f>
        <v/>
      </c>
      <c r="X453" s="15">
        <f>SUM(U453:W453)*68%</f>
        <v/>
      </c>
      <c r="Y453" s="15">
        <f>I453*L453</f>
        <v/>
      </c>
      <c r="Z453" s="15">
        <f>Y453 * 68%</f>
        <v/>
      </c>
      <c r="AA453" s="15">
        <f>I453*M453</f>
        <v/>
      </c>
      <c r="AB453" s="15">
        <f>AA453*68%</f>
        <v/>
      </c>
      <c r="AC453" s="16">
        <f>ROUND((T453+X453+Z453+AB453),0)</f>
        <v/>
      </c>
      <c r="AD453" s="16">
        <f>AG453</f>
        <v/>
      </c>
      <c r="AE453" s="16">
        <f>AI453</f>
        <v/>
      </c>
      <c r="AF453" s="16">
        <f>AC453+AD453+AE453</f>
        <v/>
      </c>
      <c r="AG453" s="16" t="n"/>
      <c r="AH453" s="17" t="n"/>
      <c r="AI453" s="17">
        <f>AH453*4</f>
        <v/>
      </c>
      <c r="AJ453" s="15">
        <f>AF453-AG453-AH453-AI453</f>
        <v/>
      </c>
      <c r="AK453" s="18" t="n">
        <v>446</v>
      </c>
      <c r="AL453" s="40" t="n"/>
    </row>
    <row r="454" ht="23.5" customHeight="1">
      <c r="A454" s="6" t="inlineStr">
        <is>
          <t>447</t>
        </is>
      </c>
      <c r="B454" s="24" t="n"/>
      <c r="C454" s="55" t="n"/>
      <c r="D454" s="19" t="n"/>
      <c r="E454" s="24" t="n"/>
      <c r="F454" s="25" t="n"/>
      <c r="G454" s="10" t="n"/>
      <c r="H454" s="8" t="n"/>
      <c r="I454" s="11" t="n"/>
      <c r="J454" s="57" t="n"/>
      <c r="K454" s="12" t="n"/>
      <c r="L454" s="13" t="n"/>
      <c r="M454" s="13" t="n"/>
      <c r="N454" s="14">
        <f>ROUND(I454*(SUM(J454:M454))*68%,0)</f>
        <v/>
      </c>
      <c r="O454" s="61" t="n"/>
      <c r="P454" s="59" t="n"/>
      <c r="Q454" s="59" t="n"/>
      <c r="R454" s="58" t="n"/>
      <c r="S454" s="15">
        <f>I454*J454</f>
        <v/>
      </c>
      <c r="T454" s="15">
        <f>SUM(S454:S454)*68%</f>
        <v/>
      </c>
      <c r="U454" s="15">
        <f>I454*K454*40%*O454</f>
        <v/>
      </c>
      <c r="V454" s="15">
        <f>IF(P454&gt;=6750,(I454*K454*40%),0)</f>
        <v/>
      </c>
      <c r="W454" s="15">
        <f>IF(P454&lt;6750,0,IF(Q454="",0,IF(OR(Q454="KURANG",Q454="SANGAT KURANG"),I454*K454*10%,I454*K454*20%)))</f>
        <v/>
      </c>
      <c r="X454" s="15">
        <f>SUM(U454:W454)*68%</f>
        <v/>
      </c>
      <c r="Y454" s="15">
        <f>I454*L454</f>
        <v/>
      </c>
      <c r="Z454" s="15">
        <f>Y454 * 68%</f>
        <v/>
      </c>
      <c r="AA454" s="15">
        <f>I454*M454</f>
        <v/>
      </c>
      <c r="AB454" s="15">
        <f>AA454*68%</f>
        <v/>
      </c>
      <c r="AC454" s="16">
        <f>ROUND((T454+X454+Z454+AB454),0)</f>
        <v/>
      </c>
      <c r="AD454" s="16">
        <f>AG454</f>
        <v/>
      </c>
      <c r="AE454" s="16">
        <f>AI454</f>
        <v/>
      </c>
      <c r="AF454" s="16">
        <f>AC454+AD454+AE454</f>
        <v/>
      </c>
      <c r="AG454" s="16" t="n"/>
      <c r="AH454" s="17" t="n"/>
      <c r="AI454" s="17">
        <f>AH454*4</f>
        <v/>
      </c>
      <c r="AJ454" s="15">
        <f>AF454-AG454-AH454-AI454</f>
        <v/>
      </c>
      <c r="AK454" s="18" t="n">
        <v>447</v>
      </c>
      <c r="AL454" s="23" t="n"/>
    </row>
    <row r="455" ht="23.5" customHeight="1">
      <c r="A455" s="6" t="inlineStr">
        <is>
          <t>448</t>
        </is>
      </c>
      <c r="B455" s="28" t="n"/>
      <c r="C455" s="55" t="n"/>
      <c r="D455" s="19" t="n"/>
      <c r="E455" s="24" t="n"/>
      <c r="F455" s="25" t="n"/>
      <c r="G455" s="10" t="n"/>
      <c r="H455" s="8" t="n"/>
      <c r="I455" s="11" t="n"/>
      <c r="J455" s="57" t="n"/>
      <c r="K455" s="12" t="n"/>
      <c r="L455" s="13" t="n"/>
      <c r="M455" s="13" t="n"/>
      <c r="N455" s="14">
        <f>ROUND(I455*(SUM(J455:M455))*68%,0)</f>
        <v/>
      </c>
      <c r="O455" s="61" t="n"/>
      <c r="P455" s="59" t="n"/>
      <c r="Q455" s="59" t="n"/>
      <c r="R455" s="58" t="n"/>
      <c r="S455" s="15">
        <f>I455*J455</f>
        <v/>
      </c>
      <c r="T455" s="15">
        <f>SUM(S455:S455)*68%</f>
        <v/>
      </c>
      <c r="U455" s="15">
        <f>I455*K455*40%*O455</f>
        <v/>
      </c>
      <c r="V455" s="15">
        <f>IF(P455&gt;=6750,(I455*K455*40%),0)</f>
        <v/>
      </c>
      <c r="W455" s="15">
        <f>IF(P455&lt;6750,0,IF(Q455="",0,IF(OR(Q455="KURANG",Q455="SANGAT KURANG"),I455*K455*10%,I455*K455*20%)))</f>
        <v/>
      </c>
      <c r="X455" s="15">
        <f>SUM(U455:W455)*68%</f>
        <v/>
      </c>
      <c r="Y455" s="15">
        <f>I455*L455</f>
        <v/>
      </c>
      <c r="Z455" s="15">
        <f>Y455 * 68%</f>
        <v/>
      </c>
      <c r="AA455" s="15">
        <f>I455*M455</f>
        <v/>
      </c>
      <c r="AB455" s="15">
        <f>AA455*68%</f>
        <v/>
      </c>
      <c r="AC455" s="16">
        <f>ROUND((T455+X455+Z455+AB455),0)</f>
        <v/>
      </c>
      <c r="AD455" s="16">
        <f>AG455</f>
        <v/>
      </c>
      <c r="AE455" s="16">
        <f>AI455</f>
        <v/>
      </c>
      <c r="AF455" s="16">
        <f>AC455+AD455+AE455</f>
        <v/>
      </c>
      <c r="AG455" s="16" t="n"/>
      <c r="AH455" s="17" t="n"/>
      <c r="AI455" s="17">
        <f>AH455*4</f>
        <v/>
      </c>
      <c r="AJ455" s="15">
        <f>AF455-AG455-AH455-AI455</f>
        <v/>
      </c>
      <c r="AK455" s="18" t="n">
        <v>448</v>
      </c>
      <c r="AL455" s="23" t="n"/>
    </row>
    <row r="456" ht="23.5" customHeight="1">
      <c r="A456" s="6" t="inlineStr">
        <is>
          <t>449</t>
        </is>
      </c>
      <c r="B456" s="24" t="n"/>
      <c r="C456" s="55" t="n"/>
      <c r="D456" s="19" t="n"/>
      <c r="E456" s="24" t="n"/>
      <c r="F456" s="25" t="n"/>
      <c r="G456" s="10" t="n"/>
      <c r="H456" s="8" t="n"/>
      <c r="I456" s="11" t="n"/>
      <c r="J456" s="57" t="n"/>
      <c r="K456" s="12" t="n"/>
      <c r="L456" s="22" t="n"/>
      <c r="M456" s="13" t="n"/>
      <c r="N456" s="14">
        <f>ROUND(I456*(SUM(J456:M456))*68%,0)</f>
        <v/>
      </c>
      <c r="O456" s="61" t="n"/>
      <c r="P456" s="59" t="n"/>
      <c r="Q456" s="59" t="n"/>
      <c r="R456" s="58" t="n"/>
      <c r="S456" s="15">
        <f>I456*J456</f>
        <v/>
      </c>
      <c r="T456" s="15">
        <f>SUM(S456:S456)*68%</f>
        <v/>
      </c>
      <c r="U456" s="15">
        <f>I456*K456*40%*O456</f>
        <v/>
      </c>
      <c r="V456" s="15">
        <f>IF(P456&gt;=6750,(I456*K456*40%),0)</f>
        <v/>
      </c>
      <c r="W456" s="15">
        <f>IF(P456&lt;6750,0,IF(Q456="",0,IF(OR(Q456="KURANG",Q456="SANGAT KURANG"),I456*K456*10%,I456*K456*20%)))</f>
        <v/>
      </c>
      <c r="X456" s="15">
        <f>SUM(U456:W456)*68%</f>
        <v/>
      </c>
      <c r="Y456" s="15">
        <f>I456*L456</f>
        <v/>
      </c>
      <c r="Z456" s="15">
        <f>Y456 * 68%</f>
        <v/>
      </c>
      <c r="AA456" s="15">
        <f>I456*M456</f>
        <v/>
      </c>
      <c r="AB456" s="15">
        <f>AA456*68%</f>
        <v/>
      </c>
      <c r="AC456" s="16">
        <f>ROUND((T456+X456+Z456+AB456),0)</f>
        <v/>
      </c>
      <c r="AD456" s="16">
        <f>AG456</f>
        <v/>
      </c>
      <c r="AE456" s="16">
        <f>AI456</f>
        <v/>
      </c>
      <c r="AF456" s="16">
        <f>AC456+AD456+AE456</f>
        <v/>
      </c>
      <c r="AG456" s="16" t="n"/>
      <c r="AH456" s="17" t="n"/>
      <c r="AI456" s="17">
        <f>AH456*4</f>
        <v/>
      </c>
      <c r="AJ456" s="15">
        <f>AF456-AG456-AH456-AI456</f>
        <v/>
      </c>
      <c r="AK456" s="18" t="n">
        <v>449</v>
      </c>
      <c r="AL456" s="40" t="n"/>
    </row>
    <row r="457" ht="23.5" customHeight="1">
      <c r="A457" s="6" t="inlineStr">
        <is>
          <t>450</t>
        </is>
      </c>
      <c r="B457" s="28" t="n"/>
      <c r="C457" s="55" t="n"/>
      <c r="D457" s="19" t="n"/>
      <c r="E457" s="24" t="n"/>
      <c r="F457" s="25" t="n"/>
      <c r="G457" s="10" t="n"/>
      <c r="H457" s="8" t="n"/>
      <c r="I457" s="11" t="n"/>
      <c r="J457" s="57" t="n"/>
      <c r="K457" s="12" t="n"/>
      <c r="L457" s="22" t="n"/>
      <c r="M457" s="13" t="n"/>
      <c r="N457" s="14">
        <f>ROUND(I457*(SUM(J457:M457))*68%,0)</f>
        <v/>
      </c>
      <c r="O457" s="61" t="n"/>
      <c r="P457" s="59" t="n"/>
      <c r="Q457" s="59" t="n"/>
      <c r="R457" s="58" t="n"/>
      <c r="S457" s="15">
        <f>I457*J457</f>
        <v/>
      </c>
      <c r="T457" s="15">
        <f>SUM(S457:S457)*68%</f>
        <v/>
      </c>
      <c r="U457" s="15">
        <f>I457*K457*40%*O457</f>
        <v/>
      </c>
      <c r="V457" s="15">
        <f>IF(P457&gt;=6750,(I457*K457*40%),0)</f>
        <v/>
      </c>
      <c r="W457" s="15">
        <f>IF(P457&lt;6750,0,IF(Q457="",0,IF(OR(Q457="KURANG",Q457="SANGAT KURANG"),I457*K457*10%,I457*K457*20%)))</f>
        <v/>
      </c>
      <c r="X457" s="15">
        <f>SUM(U457:W457)*68%</f>
        <v/>
      </c>
      <c r="Y457" s="15">
        <f>I457*L457</f>
        <v/>
      </c>
      <c r="Z457" s="15">
        <f>Y457 * 68%</f>
        <v/>
      </c>
      <c r="AA457" s="15">
        <f>I457*M457</f>
        <v/>
      </c>
      <c r="AB457" s="15">
        <f>AA457*68%</f>
        <v/>
      </c>
      <c r="AC457" s="16">
        <f>ROUND((T457+X457+Z457+AB457),0)</f>
        <v/>
      </c>
      <c r="AD457" s="16">
        <f>AG457</f>
        <v/>
      </c>
      <c r="AE457" s="16">
        <f>AI457</f>
        <v/>
      </c>
      <c r="AF457" s="16">
        <f>AC457+AD457+AE457</f>
        <v/>
      </c>
      <c r="AG457" s="16" t="n"/>
      <c r="AH457" s="17" t="n"/>
      <c r="AI457" s="17">
        <f>AH457*4</f>
        <v/>
      </c>
      <c r="AJ457" s="15">
        <f>AF457-AG457-AH457-AI457</f>
        <v/>
      </c>
      <c r="AK457" s="18" t="n">
        <v>450</v>
      </c>
      <c r="AL457" s="23" t="n"/>
    </row>
    <row r="458" ht="23.5" customHeight="1">
      <c r="A458" s="6" t="inlineStr">
        <is>
          <t>451</t>
        </is>
      </c>
      <c r="B458" s="24" t="n"/>
      <c r="C458" s="55" t="n"/>
      <c r="D458" s="19" t="n"/>
      <c r="E458" s="24" t="n"/>
      <c r="F458" s="25" t="n"/>
      <c r="G458" s="10" t="n"/>
      <c r="H458" s="8" t="n"/>
      <c r="I458" s="11" t="n"/>
      <c r="J458" s="57" t="n"/>
      <c r="K458" s="12" t="n"/>
      <c r="L458" s="22" t="n"/>
      <c r="M458" s="13" t="n"/>
      <c r="N458" s="14">
        <f>ROUND(I458*(SUM(J458:M458))*68%,0)</f>
        <v/>
      </c>
      <c r="O458" s="61" t="n"/>
      <c r="P458" s="59" t="n"/>
      <c r="Q458" s="59" t="n"/>
      <c r="R458" s="58" t="n"/>
      <c r="S458" s="15">
        <f>I458*J458</f>
        <v/>
      </c>
      <c r="T458" s="15">
        <f>SUM(S458:S458)*68%</f>
        <v/>
      </c>
      <c r="U458" s="15">
        <f>I458*K458*40%*O458</f>
        <v/>
      </c>
      <c r="V458" s="15">
        <f>IF(P458&gt;=6750,(I458*K458*40%),0)</f>
        <v/>
      </c>
      <c r="W458" s="15">
        <f>IF(P458&lt;6750,0,IF(Q458="",0,IF(OR(Q458="KURANG",Q458="SANGAT KURANG"),I458*K458*10%,I458*K458*20%)))</f>
        <v/>
      </c>
      <c r="X458" s="15">
        <f>SUM(U458:W458)*68%</f>
        <v/>
      </c>
      <c r="Y458" s="15">
        <f>I458*L458</f>
        <v/>
      </c>
      <c r="Z458" s="15">
        <f>Y458 * 68%</f>
        <v/>
      </c>
      <c r="AA458" s="15">
        <f>I458*M458</f>
        <v/>
      </c>
      <c r="AB458" s="15">
        <f>AA458*68%</f>
        <v/>
      </c>
      <c r="AC458" s="16">
        <f>ROUND((T458+X458+Z458+AB458),0)</f>
        <v/>
      </c>
      <c r="AD458" s="16">
        <f>AG458</f>
        <v/>
      </c>
      <c r="AE458" s="16">
        <f>AI458</f>
        <v/>
      </c>
      <c r="AF458" s="16">
        <f>AC458+AD458+AE458</f>
        <v/>
      </c>
      <c r="AG458" s="16" t="n"/>
      <c r="AH458" s="17" t="n"/>
      <c r="AI458" s="17">
        <f>AH458*4</f>
        <v/>
      </c>
      <c r="AJ458" s="15">
        <f>AF458-AG458-AH458-AI458</f>
        <v/>
      </c>
      <c r="AK458" s="18" t="n">
        <v>451</v>
      </c>
      <c r="AL458" s="23" t="n"/>
    </row>
    <row r="459" ht="23.5" customHeight="1">
      <c r="A459" s="6" t="inlineStr">
        <is>
          <t>452</t>
        </is>
      </c>
      <c r="B459" s="24" t="n"/>
      <c r="C459" s="55" t="n"/>
      <c r="D459" s="19" t="n"/>
      <c r="E459" s="24" t="n"/>
      <c r="F459" s="25" t="n"/>
      <c r="G459" s="10" t="n"/>
      <c r="H459" s="8" t="n"/>
      <c r="I459" s="11" t="n"/>
      <c r="J459" s="57" t="n"/>
      <c r="K459" s="12" t="n"/>
      <c r="L459" s="22" t="n"/>
      <c r="M459" s="13" t="n"/>
      <c r="N459" s="14">
        <f>ROUND(I459*(SUM(J459:M459))*68%,0)</f>
        <v/>
      </c>
      <c r="O459" s="61" t="n"/>
      <c r="P459" s="59" t="n"/>
      <c r="Q459" s="59" t="n"/>
      <c r="R459" s="58" t="n"/>
      <c r="S459" s="15">
        <f>I459*J459</f>
        <v/>
      </c>
      <c r="T459" s="15">
        <f>SUM(S459:S459)*68%</f>
        <v/>
      </c>
      <c r="U459" s="15">
        <f>I459*K459*40%*O459</f>
        <v/>
      </c>
      <c r="V459" s="15">
        <f>IF(P459&gt;=6750,(I459*K459*40%),0)</f>
        <v/>
      </c>
      <c r="W459" s="15">
        <f>IF(P459&lt;6750,0,IF(Q459="",0,IF(OR(Q459="KURANG",Q459="SANGAT KURANG"),I459*K459*10%,I459*K459*20%)))</f>
        <v/>
      </c>
      <c r="X459" s="15">
        <f>SUM(U459:W459)*68%</f>
        <v/>
      </c>
      <c r="Y459" s="15">
        <f>I459*L459</f>
        <v/>
      </c>
      <c r="Z459" s="15">
        <f>Y459 * 68%</f>
        <v/>
      </c>
      <c r="AA459" s="15">
        <f>I459*M459</f>
        <v/>
      </c>
      <c r="AB459" s="15">
        <f>AA459*68%</f>
        <v/>
      </c>
      <c r="AC459" s="16">
        <f>ROUND((T459+X459+Z459+AB459),0)</f>
        <v/>
      </c>
      <c r="AD459" s="16">
        <f>AG459</f>
        <v/>
      </c>
      <c r="AE459" s="16">
        <f>AI459</f>
        <v/>
      </c>
      <c r="AF459" s="16">
        <f>AC459+AD459+AE459</f>
        <v/>
      </c>
      <c r="AG459" s="16" t="n"/>
      <c r="AH459" s="17" t="n"/>
      <c r="AI459" s="17">
        <f>AH459*4</f>
        <v/>
      </c>
      <c r="AJ459" s="15">
        <f>AF459-AG459-AH459-AI459</f>
        <v/>
      </c>
      <c r="AK459" s="18" t="n">
        <v>452</v>
      </c>
      <c r="AL459" s="40" t="n"/>
    </row>
    <row r="460" ht="23.5" customHeight="1">
      <c r="A460" s="6" t="inlineStr">
        <is>
          <t>453</t>
        </is>
      </c>
      <c r="B460" s="24" t="n"/>
      <c r="C460" s="55" t="n"/>
      <c r="D460" s="19" t="n"/>
      <c r="E460" s="24" t="n"/>
      <c r="F460" s="25" t="n"/>
      <c r="G460" s="10" t="n"/>
      <c r="H460" s="8" t="n"/>
      <c r="I460" s="11" t="n"/>
      <c r="J460" s="57" t="n"/>
      <c r="K460" s="12" t="n"/>
      <c r="L460" s="22" t="n"/>
      <c r="M460" s="13" t="n"/>
      <c r="N460" s="14">
        <f>ROUND(I460*(SUM(J460:M460))*68%,0)</f>
        <v/>
      </c>
      <c r="O460" s="61" t="n"/>
      <c r="P460" s="59" t="n"/>
      <c r="Q460" s="59" t="n"/>
      <c r="R460" s="58" t="n"/>
      <c r="S460" s="15">
        <f>I460*J460</f>
        <v/>
      </c>
      <c r="T460" s="15">
        <f>SUM(S460:S460)*68%</f>
        <v/>
      </c>
      <c r="U460" s="15">
        <f>I460*K460*40%*O460</f>
        <v/>
      </c>
      <c r="V460" s="15">
        <f>IF(P460&gt;=6750,(I460*K460*40%),0)</f>
        <v/>
      </c>
      <c r="W460" s="15">
        <f>IF(P460&lt;6750,0,IF(Q460="",0,IF(OR(Q460="KURANG",Q460="SANGAT KURANG"),I460*K460*10%,I460*K460*20%)))</f>
        <v/>
      </c>
      <c r="X460" s="15">
        <f>SUM(U460:W460)*68%</f>
        <v/>
      </c>
      <c r="Y460" s="15">
        <f>I460*L460</f>
        <v/>
      </c>
      <c r="Z460" s="15">
        <f>Y460 * 68%</f>
        <v/>
      </c>
      <c r="AA460" s="15">
        <f>I460*M460</f>
        <v/>
      </c>
      <c r="AB460" s="15">
        <f>AA460*68%</f>
        <v/>
      </c>
      <c r="AC460" s="16">
        <f>ROUND((T460+X460+Z460+AB460),0)</f>
        <v/>
      </c>
      <c r="AD460" s="16">
        <f>AG460</f>
        <v/>
      </c>
      <c r="AE460" s="16">
        <f>AI460</f>
        <v/>
      </c>
      <c r="AF460" s="16">
        <f>AC460+AD460+AE460</f>
        <v/>
      </c>
      <c r="AG460" s="16" t="n"/>
      <c r="AH460" s="17" t="n"/>
      <c r="AI460" s="17">
        <f>AH460*4</f>
        <v/>
      </c>
      <c r="AJ460" s="15">
        <f>AF460-AG460-AH460-AI460</f>
        <v/>
      </c>
      <c r="AK460" s="18" t="n">
        <v>453</v>
      </c>
      <c r="AL460" s="23" t="n"/>
    </row>
    <row r="461" ht="23.5" customHeight="1">
      <c r="A461" s="6" t="inlineStr">
        <is>
          <t>454</t>
        </is>
      </c>
      <c r="B461" s="24" t="n"/>
      <c r="C461" s="55" t="n"/>
      <c r="D461" s="19" t="n"/>
      <c r="E461" s="24" t="n"/>
      <c r="F461" s="25" t="n"/>
      <c r="G461" s="10" t="n"/>
      <c r="H461" s="8" t="n"/>
      <c r="I461" s="11" t="n"/>
      <c r="J461" s="57" t="n"/>
      <c r="K461" s="12" t="n"/>
      <c r="L461" s="22" t="n"/>
      <c r="M461" s="13" t="n"/>
      <c r="N461" s="14">
        <f>ROUND(I461*(SUM(J461:M461))*68%,0)</f>
        <v/>
      </c>
      <c r="O461" s="61" t="n"/>
      <c r="P461" s="59" t="n"/>
      <c r="Q461" s="59" t="n"/>
      <c r="R461" s="58" t="n"/>
      <c r="S461" s="15">
        <f>I461*J461</f>
        <v/>
      </c>
      <c r="T461" s="15">
        <f>SUM(S461:S461)*68%</f>
        <v/>
      </c>
      <c r="U461" s="15">
        <f>I461*K461*40%*O461</f>
        <v/>
      </c>
      <c r="V461" s="15">
        <f>IF(P461&gt;=6750,(I461*K461*40%),0)</f>
        <v/>
      </c>
      <c r="W461" s="15">
        <f>IF(P461&lt;6750,0,IF(Q461="",0,IF(OR(Q461="KURANG",Q461="SANGAT KURANG"),I461*K461*10%,I461*K461*20%)))</f>
        <v/>
      </c>
      <c r="X461" s="15">
        <f>SUM(U461:W461)*68%</f>
        <v/>
      </c>
      <c r="Y461" s="15">
        <f>I461*L461</f>
        <v/>
      </c>
      <c r="Z461" s="15">
        <f>Y461 * 68%</f>
        <v/>
      </c>
      <c r="AA461" s="15">
        <f>I461*M461</f>
        <v/>
      </c>
      <c r="AB461" s="15">
        <f>AA461*68%</f>
        <v/>
      </c>
      <c r="AC461" s="16">
        <f>ROUND((T461+X461+Z461+AB461),0)</f>
        <v/>
      </c>
      <c r="AD461" s="16">
        <f>AG461</f>
        <v/>
      </c>
      <c r="AE461" s="16">
        <f>AI461</f>
        <v/>
      </c>
      <c r="AF461" s="16">
        <f>AC461+AD461+AE461</f>
        <v/>
      </c>
      <c r="AG461" s="16" t="n"/>
      <c r="AH461" s="17" t="n"/>
      <c r="AI461" s="17">
        <f>AH461*4</f>
        <v/>
      </c>
      <c r="AJ461" s="15">
        <f>AF461-AG461-AH461-AI461</f>
        <v/>
      </c>
      <c r="AK461" s="18" t="n">
        <v>454</v>
      </c>
      <c r="AL461" s="23" t="n"/>
    </row>
    <row r="462" ht="23.5" customHeight="1">
      <c r="A462" s="6" t="inlineStr">
        <is>
          <t>455</t>
        </is>
      </c>
      <c r="B462" s="24" t="n"/>
      <c r="C462" s="55" t="n"/>
      <c r="D462" s="19" t="n"/>
      <c r="E462" s="24" t="n"/>
      <c r="F462" s="25" t="n"/>
      <c r="G462" s="10" t="n"/>
      <c r="H462" s="8" t="n"/>
      <c r="I462" s="11" t="n"/>
      <c r="J462" s="57" t="n"/>
      <c r="K462" s="12" t="n"/>
      <c r="L462" s="22" t="n"/>
      <c r="M462" s="13" t="n"/>
      <c r="N462" s="14">
        <f>ROUND(I462*(SUM(J462:M462))*68%,0)</f>
        <v/>
      </c>
      <c r="O462" s="61" t="n"/>
      <c r="P462" s="59" t="n"/>
      <c r="Q462" s="59" t="n"/>
      <c r="R462" s="58" t="n"/>
      <c r="S462" s="15">
        <f>I462*J462</f>
        <v/>
      </c>
      <c r="T462" s="15">
        <f>SUM(S462:S462)*68%</f>
        <v/>
      </c>
      <c r="U462" s="15">
        <f>I462*K462*40%*O462</f>
        <v/>
      </c>
      <c r="V462" s="15">
        <f>IF(P462&gt;=6750,(I462*K462*40%),0)</f>
        <v/>
      </c>
      <c r="W462" s="15">
        <f>IF(P462&lt;6750,0,IF(Q462="",0,IF(OR(Q462="KURANG",Q462="SANGAT KURANG"),I462*K462*10%,I462*K462*20%)))</f>
        <v/>
      </c>
      <c r="X462" s="15">
        <f>SUM(U462:W462)*68%</f>
        <v/>
      </c>
      <c r="Y462" s="15">
        <f>I462*L462</f>
        <v/>
      </c>
      <c r="Z462" s="15">
        <f>Y462 * 68%</f>
        <v/>
      </c>
      <c r="AA462" s="15">
        <f>I462*M462</f>
        <v/>
      </c>
      <c r="AB462" s="15">
        <f>AA462*68%</f>
        <v/>
      </c>
      <c r="AC462" s="16">
        <f>ROUND((T462+X462+Z462+AB462),0)</f>
        <v/>
      </c>
      <c r="AD462" s="16">
        <f>AG462</f>
        <v/>
      </c>
      <c r="AE462" s="16">
        <f>AI462</f>
        <v/>
      </c>
      <c r="AF462" s="16">
        <f>AC462+AD462+AE462</f>
        <v/>
      </c>
      <c r="AG462" s="16" t="n"/>
      <c r="AH462" s="17" t="n"/>
      <c r="AI462" s="17">
        <f>AH462*4</f>
        <v/>
      </c>
      <c r="AJ462" s="15">
        <f>AF462-AG462-AH462-AI462</f>
        <v/>
      </c>
      <c r="AK462" s="18" t="n">
        <v>455</v>
      </c>
      <c r="AL462" s="40" t="n"/>
    </row>
    <row r="463" ht="23.5" customHeight="1">
      <c r="A463" s="6" t="inlineStr">
        <is>
          <t>456</t>
        </is>
      </c>
      <c r="B463" s="28" t="n"/>
      <c r="C463" s="55" t="n"/>
      <c r="D463" s="19" t="n"/>
      <c r="E463" s="24" t="n"/>
      <c r="F463" s="25" t="n"/>
      <c r="G463" s="10" t="n"/>
      <c r="H463" s="8" t="n"/>
      <c r="I463" s="11" t="n"/>
      <c r="J463" s="57" t="n"/>
      <c r="K463" s="12" t="n"/>
      <c r="L463" s="22" t="n"/>
      <c r="M463" s="13" t="n"/>
      <c r="N463" s="14">
        <f>ROUND(I463*(SUM(J463:M463))*68%,0)</f>
        <v/>
      </c>
      <c r="O463" s="61" t="n"/>
      <c r="P463" s="59" t="n"/>
      <c r="Q463" s="59" t="n"/>
      <c r="R463" s="58" t="n"/>
      <c r="S463" s="15">
        <f>I463*J463</f>
        <v/>
      </c>
      <c r="T463" s="15">
        <f>SUM(S463:S463)*68%</f>
        <v/>
      </c>
      <c r="U463" s="15">
        <f>I463*K463*40%*O463</f>
        <v/>
      </c>
      <c r="V463" s="15">
        <f>IF(P463&gt;=6750,(I463*K463*40%),0)</f>
        <v/>
      </c>
      <c r="W463" s="15">
        <f>IF(P463&lt;6750,0,IF(Q463="",0,IF(OR(Q463="KURANG",Q463="SANGAT KURANG"),I463*K463*10%,I463*K463*20%)))</f>
        <v/>
      </c>
      <c r="X463" s="15">
        <f>SUM(U463:W463)*68%</f>
        <v/>
      </c>
      <c r="Y463" s="15">
        <f>I463*L463</f>
        <v/>
      </c>
      <c r="Z463" s="15">
        <f>Y463 * 68%</f>
        <v/>
      </c>
      <c r="AA463" s="15">
        <f>I463*M463</f>
        <v/>
      </c>
      <c r="AB463" s="15">
        <f>AA463*68%</f>
        <v/>
      </c>
      <c r="AC463" s="16">
        <f>ROUND((T463+X463+Z463+AB463),0)</f>
        <v/>
      </c>
      <c r="AD463" s="16">
        <f>AG463</f>
        <v/>
      </c>
      <c r="AE463" s="16">
        <f>AI463</f>
        <v/>
      </c>
      <c r="AF463" s="16">
        <f>AC463+AD463+AE463</f>
        <v/>
      </c>
      <c r="AG463" s="16" t="n"/>
      <c r="AH463" s="17" t="n"/>
      <c r="AI463" s="17">
        <f>AH463*4</f>
        <v/>
      </c>
      <c r="AJ463" s="15">
        <f>AF463-AG463-AH463-AI463</f>
        <v/>
      </c>
      <c r="AK463" s="18" t="n">
        <v>456</v>
      </c>
      <c r="AL463" s="23" t="n"/>
    </row>
    <row r="464" ht="23.5" customHeight="1">
      <c r="A464" s="6" t="inlineStr">
        <is>
          <t>457</t>
        </is>
      </c>
      <c r="B464" s="30" t="n"/>
      <c r="C464" s="55" t="n"/>
      <c r="D464" s="29" t="n"/>
      <c r="E464" s="30" t="n"/>
      <c r="F464" s="31" t="n"/>
      <c r="G464" s="32" t="n"/>
      <c r="H464" s="33" t="n"/>
      <c r="I464" s="11" t="n"/>
      <c r="J464" s="57" t="n"/>
      <c r="K464" s="12" t="n"/>
      <c r="L464" s="22" t="n"/>
      <c r="M464" s="13" t="n"/>
      <c r="N464" s="14">
        <f>ROUND(I464*(SUM(J464:M464))*68%,0)</f>
        <v/>
      </c>
      <c r="O464" s="61" t="n"/>
      <c r="P464" s="59" t="n"/>
      <c r="Q464" s="59" t="n"/>
      <c r="R464" s="58" t="n"/>
      <c r="S464" s="15">
        <f>I464*J464</f>
        <v/>
      </c>
      <c r="T464" s="15">
        <f>SUM(S464:S464)*68%</f>
        <v/>
      </c>
      <c r="U464" s="15">
        <f>I464*K464*40%*O464</f>
        <v/>
      </c>
      <c r="V464" s="15">
        <f>IF(P464&gt;=6750,(I464*K464*40%),0)</f>
        <v/>
      </c>
      <c r="W464" s="15">
        <f>IF(P464&lt;6750,0,IF(Q464="",0,IF(OR(Q464="KURANG",Q464="SANGAT KURANG"),I464*K464*10%,I464*K464*20%)))</f>
        <v/>
      </c>
      <c r="X464" s="15">
        <f>SUM(U464:W464)*68%</f>
        <v/>
      </c>
      <c r="Y464" s="15">
        <f>I464*L464</f>
        <v/>
      </c>
      <c r="Z464" s="15">
        <f>Y464 * 68%</f>
        <v/>
      </c>
      <c r="AA464" s="15">
        <f>I464*M464</f>
        <v/>
      </c>
      <c r="AB464" s="15">
        <f>AA464*68%</f>
        <v/>
      </c>
      <c r="AC464" s="16">
        <f>ROUND((T464+X464+Z464+AB464),0)</f>
        <v/>
      </c>
      <c r="AD464" s="16">
        <f>AG464</f>
        <v/>
      </c>
      <c r="AE464" s="16">
        <f>AI464</f>
        <v/>
      </c>
      <c r="AF464" s="16">
        <f>AC464+AD464+AE464</f>
        <v/>
      </c>
      <c r="AG464" s="16" t="n"/>
      <c r="AH464" s="17" t="n"/>
      <c r="AI464" s="17">
        <f>AH464*4</f>
        <v/>
      </c>
      <c r="AJ464" s="15">
        <f>AF464-AG464-AH464-AI464</f>
        <v/>
      </c>
      <c r="AK464" s="18" t="n">
        <v>457</v>
      </c>
      <c r="AL464" s="23" t="n"/>
    </row>
    <row r="465" ht="23.5" customHeight="1">
      <c r="A465" s="6" t="inlineStr">
        <is>
          <t>458</t>
        </is>
      </c>
      <c r="B465" s="24" t="n"/>
      <c r="C465" s="55" t="n"/>
      <c r="D465" s="19" t="n"/>
      <c r="E465" s="24" t="n"/>
      <c r="F465" s="25" t="n"/>
      <c r="G465" s="25" t="n"/>
      <c r="H465" s="24" t="n"/>
      <c r="I465" s="11" t="n"/>
      <c r="J465" s="57" t="n"/>
      <c r="K465" s="12" t="n"/>
      <c r="L465" s="22" t="n"/>
      <c r="M465" s="13" t="n"/>
      <c r="N465" s="14">
        <f>ROUND(I465*(SUM(J465:M465))*68%,0)</f>
        <v/>
      </c>
      <c r="O465" s="61" t="n"/>
      <c r="P465" s="59" t="n"/>
      <c r="Q465" s="59" t="n"/>
      <c r="R465" s="58" t="n"/>
      <c r="S465" s="15">
        <f>I465*J465</f>
        <v/>
      </c>
      <c r="T465" s="15">
        <f>SUM(S465:S465)*68%</f>
        <v/>
      </c>
      <c r="U465" s="15">
        <f>I465*K465*40%*O465</f>
        <v/>
      </c>
      <c r="V465" s="15">
        <f>IF(P465&gt;=6750,(I465*K465*40%),0)</f>
        <v/>
      </c>
      <c r="W465" s="15">
        <f>IF(P465&lt;6750,0,IF(Q465="",0,IF(OR(Q465="KURANG",Q465="SANGAT KURANG"),I465*K465*10%,I465*K465*20%)))</f>
        <v/>
      </c>
      <c r="X465" s="15">
        <f>SUM(U465:W465)*68%</f>
        <v/>
      </c>
      <c r="Y465" s="15">
        <f>I465*L465</f>
        <v/>
      </c>
      <c r="Z465" s="15">
        <f>Y465 * 68%</f>
        <v/>
      </c>
      <c r="AA465" s="15">
        <f>I465*M465</f>
        <v/>
      </c>
      <c r="AB465" s="15">
        <f>AA465*68%</f>
        <v/>
      </c>
      <c r="AC465" s="16">
        <f>ROUND((T465+X465+Z465+AB465),0)</f>
        <v/>
      </c>
      <c r="AD465" s="16">
        <f>AG465</f>
        <v/>
      </c>
      <c r="AE465" s="16">
        <f>AI465</f>
        <v/>
      </c>
      <c r="AF465" s="16">
        <f>AC465+AD465+AE465</f>
        <v/>
      </c>
      <c r="AG465" s="16" t="n"/>
      <c r="AH465" s="17" t="n"/>
      <c r="AI465" s="17">
        <f>AH465*4</f>
        <v/>
      </c>
      <c r="AJ465" s="15">
        <f>AF465-AG465-AH465-AI465</f>
        <v/>
      </c>
      <c r="AK465" s="18" t="n">
        <v>458</v>
      </c>
      <c r="AL465" s="40" t="n"/>
    </row>
    <row r="466" ht="23.5" customHeight="1">
      <c r="A466" s="6" t="inlineStr">
        <is>
          <t>459</t>
        </is>
      </c>
      <c r="B466" s="24" t="n"/>
      <c r="C466" s="55" t="n"/>
      <c r="D466" s="19" t="n"/>
      <c r="E466" s="24" t="n"/>
      <c r="F466" s="25" t="n"/>
      <c r="G466" s="25" t="n"/>
      <c r="H466" s="24" t="n"/>
      <c r="I466" s="11" t="n"/>
      <c r="J466" s="57" t="n"/>
      <c r="K466" s="12" t="n"/>
      <c r="L466" s="22" t="n"/>
      <c r="M466" s="13" t="n"/>
      <c r="N466" s="14">
        <f>ROUND(I466*(SUM(J466:M466))*68%,0)</f>
        <v/>
      </c>
      <c r="O466" s="61" t="n"/>
      <c r="P466" s="59" t="n"/>
      <c r="Q466" s="59" t="n"/>
      <c r="R466" s="58" t="n"/>
      <c r="S466" s="15">
        <f>I466*J466</f>
        <v/>
      </c>
      <c r="T466" s="15">
        <f>SUM(S466:S466)*68%</f>
        <v/>
      </c>
      <c r="U466" s="15">
        <f>I466*K466*40%*O466</f>
        <v/>
      </c>
      <c r="V466" s="15">
        <f>IF(P466&gt;=6750,(I466*K466*40%),0)</f>
        <v/>
      </c>
      <c r="W466" s="15">
        <f>IF(P466&lt;6750,0,IF(Q466="",0,IF(OR(Q466="KURANG",Q466="SANGAT KURANG"),I466*K466*10%,I466*K466*20%)))</f>
        <v/>
      </c>
      <c r="X466" s="15">
        <f>SUM(U466:W466)*68%</f>
        <v/>
      </c>
      <c r="Y466" s="15">
        <f>I466*L466</f>
        <v/>
      </c>
      <c r="Z466" s="15">
        <f>Y466 * 68%</f>
        <v/>
      </c>
      <c r="AA466" s="15">
        <f>I466*M466</f>
        <v/>
      </c>
      <c r="AB466" s="15">
        <f>AA466*68%</f>
        <v/>
      </c>
      <c r="AC466" s="16">
        <f>ROUND((T466+X466+Z466+AB466),0)</f>
        <v/>
      </c>
      <c r="AD466" s="16">
        <f>AG466</f>
        <v/>
      </c>
      <c r="AE466" s="16">
        <f>AI466</f>
        <v/>
      </c>
      <c r="AF466" s="16">
        <f>AC466+AD466+AE466</f>
        <v/>
      </c>
      <c r="AG466" s="16" t="n"/>
      <c r="AH466" s="17" t="n"/>
      <c r="AI466" s="17">
        <f>AH466*4</f>
        <v/>
      </c>
      <c r="AJ466" s="15">
        <f>AF466-AG466-AH466-AI466</f>
        <v/>
      </c>
      <c r="AK466" s="18" t="n">
        <v>459</v>
      </c>
      <c r="AL466" s="23" t="n"/>
    </row>
    <row r="467" ht="23.5" customHeight="1">
      <c r="A467" s="6" t="inlineStr">
        <is>
          <t>460</t>
        </is>
      </c>
      <c r="B467" s="24" t="n"/>
      <c r="C467" s="55" t="n"/>
      <c r="D467" s="19" t="n"/>
      <c r="E467" s="24" t="n"/>
      <c r="F467" s="25" t="n"/>
      <c r="G467" s="25" t="n"/>
      <c r="H467" s="24" t="n"/>
      <c r="I467" s="11" t="n"/>
      <c r="J467" s="57" t="n"/>
      <c r="K467" s="12" t="n"/>
      <c r="L467" s="22" t="n"/>
      <c r="M467" s="13" t="n"/>
      <c r="N467" s="14">
        <f>ROUND(I467*(SUM(J467:M467))*68%,0)</f>
        <v/>
      </c>
      <c r="O467" s="61" t="n"/>
      <c r="P467" s="59" t="n"/>
      <c r="Q467" s="59" t="n"/>
      <c r="R467" s="58" t="n"/>
      <c r="S467" s="15">
        <f>I467*J467</f>
        <v/>
      </c>
      <c r="T467" s="15">
        <f>SUM(S467:S467)*68%</f>
        <v/>
      </c>
      <c r="U467" s="15">
        <f>I467*K467*40%*O467</f>
        <v/>
      </c>
      <c r="V467" s="15">
        <f>IF(P467&gt;=6750,(I467*K467*40%),0)</f>
        <v/>
      </c>
      <c r="W467" s="15">
        <f>IF(P467&lt;6750,0,IF(Q467="",0,IF(OR(Q467="KURANG",Q467="SANGAT KURANG"),I467*K467*10%,I467*K467*20%)))</f>
        <v/>
      </c>
      <c r="X467" s="15">
        <f>SUM(U467:W467)*68%</f>
        <v/>
      </c>
      <c r="Y467" s="15">
        <f>I467*L467</f>
        <v/>
      </c>
      <c r="Z467" s="15">
        <f>Y467 * 68%</f>
        <v/>
      </c>
      <c r="AA467" s="15">
        <f>I467*M467</f>
        <v/>
      </c>
      <c r="AB467" s="15">
        <f>AA467*68%</f>
        <v/>
      </c>
      <c r="AC467" s="16">
        <f>ROUND((T467+X467+Z467+AB467),0)</f>
        <v/>
      </c>
      <c r="AD467" s="16">
        <f>AG467</f>
        <v/>
      </c>
      <c r="AE467" s="16">
        <f>AI467</f>
        <v/>
      </c>
      <c r="AF467" s="16">
        <f>AC467+AD467+AE467</f>
        <v/>
      </c>
      <c r="AG467" s="16" t="n"/>
      <c r="AH467" s="17" t="n"/>
      <c r="AI467" s="17">
        <f>AH467*4</f>
        <v/>
      </c>
      <c r="AJ467" s="15">
        <f>AF467-AG467-AH467-AI467</f>
        <v/>
      </c>
      <c r="AK467" s="18" t="n">
        <v>460</v>
      </c>
      <c r="AL467" s="23" t="n"/>
    </row>
    <row r="468" ht="23.5" customHeight="1">
      <c r="A468" s="6" t="inlineStr">
        <is>
          <t>461</t>
        </is>
      </c>
      <c r="B468" s="28" t="n"/>
      <c r="C468" s="55" t="n"/>
      <c r="D468" s="19" t="n"/>
      <c r="E468" s="24" t="n"/>
      <c r="F468" s="25" t="n"/>
      <c r="G468" s="25" t="n"/>
      <c r="H468" s="25" t="n"/>
      <c r="I468" s="11" t="n"/>
      <c r="J468" s="57" t="n"/>
      <c r="K468" s="12" t="n"/>
      <c r="L468" s="22" t="n"/>
      <c r="M468" s="13" t="n"/>
      <c r="N468" s="14">
        <f>ROUND(I468*(SUM(J468:M468))*68%,0)</f>
        <v/>
      </c>
      <c r="O468" s="61" t="n"/>
      <c r="P468" s="59" t="n"/>
      <c r="Q468" s="59" t="n"/>
      <c r="R468" s="58" t="n"/>
      <c r="S468" s="15">
        <f>I468*J468</f>
        <v/>
      </c>
      <c r="T468" s="15">
        <f>SUM(S468:S468)*68%</f>
        <v/>
      </c>
      <c r="U468" s="15">
        <f>I468*K468*40%*O468</f>
        <v/>
      </c>
      <c r="V468" s="15">
        <f>IF(P468&gt;=6750,(I468*K468*40%),0)</f>
        <v/>
      </c>
      <c r="W468" s="15">
        <f>IF(P468&lt;6750,0,IF(Q468="",0,IF(OR(Q468="KURANG",Q468="SANGAT KURANG"),I468*K468*10%,I468*K468*20%)))</f>
        <v/>
      </c>
      <c r="X468" s="15">
        <f>SUM(U468:W468)*68%</f>
        <v/>
      </c>
      <c r="Y468" s="15">
        <f>I468*L468</f>
        <v/>
      </c>
      <c r="Z468" s="15">
        <f>Y468 * 68%</f>
        <v/>
      </c>
      <c r="AA468" s="15">
        <f>I468*M468</f>
        <v/>
      </c>
      <c r="AB468" s="15">
        <f>AA468*68%</f>
        <v/>
      </c>
      <c r="AC468" s="16">
        <f>ROUND((T468+X468+Z468+AB468),0)</f>
        <v/>
      </c>
      <c r="AD468" s="16">
        <f>AG468</f>
        <v/>
      </c>
      <c r="AE468" s="16">
        <f>AI468</f>
        <v/>
      </c>
      <c r="AF468" s="16">
        <f>AC468+AD468+AE468</f>
        <v/>
      </c>
      <c r="AG468" s="16" t="n"/>
      <c r="AH468" s="17" t="n"/>
      <c r="AI468" s="17">
        <f>AH468*4</f>
        <v/>
      </c>
      <c r="AJ468" s="15">
        <f>AF468-AG468-AH468-AI468</f>
        <v/>
      </c>
      <c r="AK468" s="18" t="n">
        <v>461</v>
      </c>
      <c r="AL468" s="40" t="n"/>
    </row>
    <row r="469" ht="23.5" customHeight="1">
      <c r="A469" s="6" t="inlineStr">
        <is>
          <t>462</t>
        </is>
      </c>
      <c r="B469" s="28" t="n"/>
      <c r="C469" s="55" t="n"/>
      <c r="D469" s="19" t="n"/>
      <c r="E469" s="24" t="n"/>
      <c r="F469" s="25" t="n"/>
      <c r="G469" s="25" t="n"/>
      <c r="H469" s="25" t="n"/>
      <c r="I469" s="11" t="n"/>
      <c r="J469" s="57" t="n"/>
      <c r="K469" s="12" t="n"/>
      <c r="L469" s="22" t="n"/>
      <c r="M469" s="13" t="n"/>
      <c r="N469" s="14">
        <f>ROUND(I469*(SUM(J469:M469))*68%,0)</f>
        <v/>
      </c>
      <c r="O469" s="61" t="n"/>
      <c r="P469" s="59" t="n"/>
      <c r="Q469" s="59" t="n"/>
      <c r="R469" s="58" t="n"/>
      <c r="S469" s="15">
        <f>I469*J469</f>
        <v/>
      </c>
      <c r="T469" s="15">
        <f>SUM(S469:S469)*68%</f>
        <v/>
      </c>
      <c r="U469" s="15">
        <f>I469*K469*40%*O469</f>
        <v/>
      </c>
      <c r="V469" s="15">
        <f>IF(P469&gt;=6750,(I469*K469*40%),0)</f>
        <v/>
      </c>
      <c r="W469" s="15">
        <f>IF(P469&lt;6750,0,IF(Q469="",0,IF(OR(Q469="KURANG",Q469="SANGAT KURANG"),I469*K469*10%,I469*K469*20%)))</f>
        <v/>
      </c>
      <c r="X469" s="15">
        <f>SUM(U469:W469)*68%</f>
        <v/>
      </c>
      <c r="Y469" s="15">
        <f>I469*L469</f>
        <v/>
      </c>
      <c r="Z469" s="15">
        <f>Y469 * 68%</f>
        <v/>
      </c>
      <c r="AA469" s="15">
        <f>I469*M469</f>
        <v/>
      </c>
      <c r="AB469" s="15">
        <f>AA469*68%</f>
        <v/>
      </c>
      <c r="AC469" s="16">
        <f>ROUND((T469+X469+Z469+AB469),0)</f>
        <v/>
      </c>
      <c r="AD469" s="16">
        <f>AG469</f>
        <v/>
      </c>
      <c r="AE469" s="16">
        <f>AI469</f>
        <v/>
      </c>
      <c r="AF469" s="16">
        <f>AC469+AD469+AE469</f>
        <v/>
      </c>
      <c r="AG469" s="16" t="n"/>
      <c r="AH469" s="17" t="n"/>
      <c r="AI469" s="17">
        <f>AH469*4</f>
        <v/>
      </c>
      <c r="AJ469" s="15">
        <f>AF469-AG469-AH469-AI469</f>
        <v/>
      </c>
      <c r="AK469" s="18" t="n">
        <v>462</v>
      </c>
      <c r="AL469" s="23" t="n"/>
    </row>
    <row r="470" ht="23.5" customHeight="1">
      <c r="A470" s="6" t="inlineStr">
        <is>
          <t>463</t>
        </is>
      </c>
      <c r="B470" s="28" t="n"/>
      <c r="C470" s="55" t="n"/>
      <c r="D470" s="19" t="n"/>
      <c r="E470" s="24" t="n"/>
      <c r="F470" s="25" t="n"/>
      <c r="G470" s="25" t="n"/>
      <c r="H470" s="25" t="n"/>
      <c r="I470" s="11" t="n"/>
      <c r="J470" s="57" t="n"/>
      <c r="K470" s="12" t="n"/>
      <c r="L470" s="22" t="n"/>
      <c r="M470" s="13" t="n"/>
      <c r="N470" s="14">
        <f>ROUND(I470*(SUM(J470:M470))*68%,0)</f>
        <v/>
      </c>
      <c r="O470" s="61" t="n"/>
      <c r="P470" s="59" t="n"/>
      <c r="Q470" s="59" t="n"/>
      <c r="R470" s="58" t="n"/>
      <c r="S470" s="15">
        <f>I470*J470</f>
        <v/>
      </c>
      <c r="T470" s="15">
        <f>SUM(S470:S470)*68%</f>
        <v/>
      </c>
      <c r="U470" s="15">
        <f>I470*K470*40%*O470</f>
        <v/>
      </c>
      <c r="V470" s="15">
        <f>IF(P470&gt;=6750,(I470*K470*40%),0)</f>
        <v/>
      </c>
      <c r="W470" s="15">
        <f>IF(P470&lt;6750,0,IF(Q470="",0,IF(OR(Q470="KURANG",Q470="SANGAT KURANG"),I470*K470*10%,I470*K470*20%)))</f>
        <v/>
      </c>
      <c r="X470" s="15">
        <f>SUM(U470:W470)*68%</f>
        <v/>
      </c>
      <c r="Y470" s="15">
        <f>I470*L470</f>
        <v/>
      </c>
      <c r="Z470" s="15">
        <f>Y470 * 68%</f>
        <v/>
      </c>
      <c r="AA470" s="15">
        <f>I470*M470</f>
        <v/>
      </c>
      <c r="AB470" s="15">
        <f>AA470*68%</f>
        <v/>
      </c>
      <c r="AC470" s="16">
        <f>ROUND((T470+X470+Z470+AB470),0)</f>
        <v/>
      </c>
      <c r="AD470" s="16">
        <f>AG470</f>
        <v/>
      </c>
      <c r="AE470" s="16">
        <f>AI470</f>
        <v/>
      </c>
      <c r="AF470" s="16">
        <f>AC470+AD470+AE470</f>
        <v/>
      </c>
      <c r="AG470" s="16" t="n"/>
      <c r="AH470" s="17" t="n"/>
      <c r="AI470" s="17">
        <f>AH470*4</f>
        <v/>
      </c>
      <c r="AJ470" s="15">
        <f>AF470-AG470-AH470-AI470</f>
        <v/>
      </c>
      <c r="AK470" s="18" t="n">
        <v>463</v>
      </c>
      <c r="AL470" s="23" t="n"/>
    </row>
    <row r="471" ht="23.5" customHeight="1">
      <c r="A471" s="6" t="inlineStr">
        <is>
          <t>464</t>
        </is>
      </c>
      <c r="B471" s="24" t="n"/>
      <c r="C471" s="55" t="n"/>
      <c r="D471" s="19" t="n"/>
      <c r="E471" s="24" t="n"/>
      <c r="F471" s="25" t="n"/>
      <c r="G471" s="25" t="n"/>
      <c r="H471" s="25" t="n"/>
      <c r="I471" s="11" t="n"/>
      <c r="J471" s="57" t="n"/>
      <c r="K471" s="12" t="n"/>
      <c r="L471" s="22" t="n"/>
      <c r="M471" s="13" t="n"/>
      <c r="N471" s="14">
        <f>ROUND(I471*(SUM(J471:M471))*68%,0)</f>
        <v/>
      </c>
      <c r="O471" s="61" t="n"/>
      <c r="P471" s="59" t="n"/>
      <c r="Q471" s="59" t="n"/>
      <c r="R471" s="58" t="n"/>
      <c r="S471" s="15">
        <f>I471*J471</f>
        <v/>
      </c>
      <c r="T471" s="15">
        <f>SUM(S471:S471)*68%</f>
        <v/>
      </c>
      <c r="U471" s="15">
        <f>I471*K471*40%*O471</f>
        <v/>
      </c>
      <c r="V471" s="15">
        <f>IF(P471&gt;=6750,(I471*K471*40%),0)</f>
        <v/>
      </c>
      <c r="W471" s="15">
        <f>IF(P471&lt;6750,0,IF(Q471="",0,IF(OR(Q471="KURANG",Q471="SANGAT KURANG"),I471*K471*10%,I471*K471*20%)))</f>
        <v/>
      </c>
      <c r="X471" s="15">
        <f>SUM(U471:W471)*68%</f>
        <v/>
      </c>
      <c r="Y471" s="15">
        <f>I471*L471</f>
        <v/>
      </c>
      <c r="Z471" s="15">
        <f>Y471 * 68%</f>
        <v/>
      </c>
      <c r="AA471" s="15">
        <f>I471*M471</f>
        <v/>
      </c>
      <c r="AB471" s="15">
        <f>AA471*68%</f>
        <v/>
      </c>
      <c r="AC471" s="16">
        <f>ROUND((T471+X471+Z471+AB471),0)</f>
        <v/>
      </c>
      <c r="AD471" s="16">
        <f>AG471</f>
        <v/>
      </c>
      <c r="AE471" s="16">
        <f>AI471</f>
        <v/>
      </c>
      <c r="AF471" s="16">
        <f>AC471+AD471+AE471</f>
        <v/>
      </c>
      <c r="AG471" s="16" t="n"/>
      <c r="AH471" s="17" t="n"/>
      <c r="AI471" s="17">
        <f>AH471*4</f>
        <v/>
      </c>
      <c r="AJ471" s="15">
        <f>AF471-AG471-AH471-AI471</f>
        <v/>
      </c>
      <c r="AK471" s="18" t="n">
        <v>464</v>
      </c>
      <c r="AL471" s="40" t="n"/>
    </row>
    <row r="472" ht="23.5" customHeight="1">
      <c r="A472" s="6" t="inlineStr">
        <is>
          <t>465</t>
        </is>
      </c>
      <c r="B472" s="24" t="n"/>
      <c r="C472" s="55" t="n"/>
      <c r="D472" s="19" t="n"/>
      <c r="E472" s="24" t="n"/>
      <c r="F472" s="25" t="n"/>
      <c r="G472" s="25" t="n"/>
      <c r="H472" s="25" t="n"/>
      <c r="I472" s="11" t="n"/>
      <c r="J472" s="57" t="n"/>
      <c r="K472" s="12" t="n"/>
      <c r="L472" s="22" t="n"/>
      <c r="M472" s="13" t="n"/>
      <c r="N472" s="14">
        <f>ROUND(I472*(SUM(J472:M472))*68%,0)</f>
        <v/>
      </c>
      <c r="O472" s="61" t="n"/>
      <c r="P472" s="59" t="n"/>
      <c r="Q472" s="59" t="n"/>
      <c r="R472" s="58" t="n"/>
      <c r="S472" s="15">
        <f>I472*J472</f>
        <v/>
      </c>
      <c r="T472" s="15">
        <f>SUM(S472:S472)*68%</f>
        <v/>
      </c>
      <c r="U472" s="15">
        <f>I472*K472*40%*O472</f>
        <v/>
      </c>
      <c r="V472" s="15">
        <f>IF(P472&gt;=6750,(I472*K472*40%),0)</f>
        <v/>
      </c>
      <c r="W472" s="15">
        <f>IF(P472&lt;6750,0,IF(Q472="",0,IF(OR(Q472="KURANG",Q472="SANGAT KURANG"),I472*K472*10%,I472*K472*20%)))</f>
        <v/>
      </c>
      <c r="X472" s="15">
        <f>SUM(U472:W472)*68%</f>
        <v/>
      </c>
      <c r="Y472" s="15">
        <f>I472*L472</f>
        <v/>
      </c>
      <c r="Z472" s="15">
        <f>Y472 * 68%</f>
        <v/>
      </c>
      <c r="AA472" s="15">
        <f>I472*M472</f>
        <v/>
      </c>
      <c r="AB472" s="15">
        <f>AA472*68%</f>
        <v/>
      </c>
      <c r="AC472" s="16">
        <f>ROUND((T472+X472+Z472+AB472),0)</f>
        <v/>
      </c>
      <c r="AD472" s="16">
        <f>AG472</f>
        <v/>
      </c>
      <c r="AE472" s="16">
        <f>AI472</f>
        <v/>
      </c>
      <c r="AF472" s="16">
        <f>AC472+AD472+AE472</f>
        <v/>
      </c>
      <c r="AG472" s="16" t="n"/>
      <c r="AH472" s="17" t="n"/>
      <c r="AI472" s="17">
        <f>AH472*4</f>
        <v/>
      </c>
      <c r="AJ472" s="15">
        <f>AF472-AG472-AH472-AI472</f>
        <v/>
      </c>
      <c r="AK472" s="18" t="n">
        <v>465</v>
      </c>
      <c r="AL472" s="23" t="n"/>
    </row>
    <row r="473" ht="23.5" customHeight="1">
      <c r="A473" s="6" t="inlineStr">
        <is>
          <t>466</t>
        </is>
      </c>
      <c r="B473" s="28" t="n"/>
      <c r="C473" s="55" t="n"/>
      <c r="D473" s="19" t="n"/>
      <c r="E473" s="24" t="n"/>
      <c r="F473" s="25" t="n"/>
      <c r="G473" s="25" t="n"/>
      <c r="H473" s="25" t="n"/>
      <c r="I473" s="11" t="n"/>
      <c r="J473" s="57" t="n"/>
      <c r="K473" s="12" t="n"/>
      <c r="L473" s="22" t="n"/>
      <c r="M473" s="13" t="n"/>
      <c r="N473" s="14">
        <f>ROUND(I473*(SUM(J473:M473))*68%,0)</f>
        <v/>
      </c>
      <c r="O473" s="61" t="n"/>
      <c r="P473" s="59" t="n"/>
      <c r="Q473" s="59" t="n"/>
      <c r="R473" s="58" t="n"/>
      <c r="S473" s="15">
        <f>I473*J473</f>
        <v/>
      </c>
      <c r="T473" s="15">
        <f>SUM(S473:S473)*68%</f>
        <v/>
      </c>
      <c r="U473" s="15">
        <f>I473*K473*40%*O473</f>
        <v/>
      </c>
      <c r="V473" s="15">
        <f>IF(P473&gt;=6750,(I473*K473*40%),0)</f>
        <v/>
      </c>
      <c r="W473" s="15">
        <f>IF(P473&lt;6750,0,IF(Q473="",0,IF(OR(Q473="KURANG",Q473="SANGAT KURANG"),I473*K473*10%,I473*K473*20%)))</f>
        <v/>
      </c>
      <c r="X473" s="15">
        <f>SUM(U473:W473)*68%</f>
        <v/>
      </c>
      <c r="Y473" s="15">
        <f>I473*L473</f>
        <v/>
      </c>
      <c r="Z473" s="15">
        <f>Y473 * 68%</f>
        <v/>
      </c>
      <c r="AA473" s="15">
        <f>I473*M473</f>
        <v/>
      </c>
      <c r="AB473" s="15">
        <f>AA473*68%</f>
        <v/>
      </c>
      <c r="AC473" s="16">
        <f>ROUND((T473+X473+Z473+AB473),0)</f>
        <v/>
      </c>
      <c r="AD473" s="16">
        <f>AG473</f>
        <v/>
      </c>
      <c r="AE473" s="16">
        <f>AI473</f>
        <v/>
      </c>
      <c r="AF473" s="16">
        <f>AC473+AD473+AE473</f>
        <v/>
      </c>
      <c r="AG473" s="16" t="n"/>
      <c r="AH473" s="17" t="n"/>
      <c r="AI473" s="17">
        <f>AH473*4</f>
        <v/>
      </c>
      <c r="AJ473" s="15">
        <f>AF473-AG473-AH473-AI473</f>
        <v/>
      </c>
      <c r="AK473" s="18" t="n">
        <v>466</v>
      </c>
      <c r="AL473" s="23" t="n"/>
    </row>
    <row r="474" ht="23.5" customHeight="1">
      <c r="A474" s="6" t="inlineStr">
        <is>
          <t>467</t>
        </is>
      </c>
      <c r="B474" s="28" t="n"/>
      <c r="C474" s="55" t="n"/>
      <c r="D474" s="19" t="n"/>
      <c r="E474" s="24" t="n"/>
      <c r="F474" s="25" t="n"/>
      <c r="G474" s="25" t="n"/>
      <c r="H474" s="25" t="n"/>
      <c r="I474" s="11" t="n"/>
      <c r="J474" s="57" t="n"/>
      <c r="K474" s="12" t="n"/>
      <c r="L474" s="22" t="n"/>
      <c r="M474" s="13" t="n"/>
      <c r="N474" s="14">
        <f>ROUND(I474*(SUM(J474:M474))*68%,0)</f>
        <v/>
      </c>
      <c r="O474" s="61" t="n"/>
      <c r="P474" s="59" t="n"/>
      <c r="Q474" s="59" t="n"/>
      <c r="R474" s="58" t="n"/>
      <c r="S474" s="15">
        <f>I474*J474</f>
        <v/>
      </c>
      <c r="T474" s="15">
        <f>SUM(S474:S474)*68%</f>
        <v/>
      </c>
      <c r="U474" s="15">
        <f>I474*K474*40%*O474</f>
        <v/>
      </c>
      <c r="V474" s="15">
        <f>IF(P474&gt;=6750,(I474*K474*40%),0)</f>
        <v/>
      </c>
      <c r="W474" s="15">
        <f>IF(P474&lt;6750,0,IF(Q474="",0,IF(OR(Q474="KURANG",Q474="SANGAT KURANG"),I474*K474*10%,I474*K474*20%)))</f>
        <v/>
      </c>
      <c r="X474" s="15">
        <f>SUM(U474:W474)*68%</f>
        <v/>
      </c>
      <c r="Y474" s="15">
        <f>I474*L474</f>
        <v/>
      </c>
      <c r="Z474" s="15">
        <f>Y474 * 68%</f>
        <v/>
      </c>
      <c r="AA474" s="15">
        <f>I474*M474</f>
        <v/>
      </c>
      <c r="AB474" s="15">
        <f>AA474*68%</f>
        <v/>
      </c>
      <c r="AC474" s="16">
        <f>ROUND((T474+X474+Z474+AB474),0)</f>
        <v/>
      </c>
      <c r="AD474" s="16">
        <f>AG474</f>
        <v/>
      </c>
      <c r="AE474" s="16">
        <f>AI474</f>
        <v/>
      </c>
      <c r="AF474" s="16">
        <f>AC474+AD474+AE474</f>
        <v/>
      </c>
      <c r="AG474" s="16" t="n"/>
      <c r="AH474" s="17" t="n"/>
      <c r="AI474" s="17">
        <f>AH474*4</f>
        <v/>
      </c>
      <c r="AJ474" s="15">
        <f>AF474-AG474-AH474-AI474</f>
        <v/>
      </c>
      <c r="AK474" s="18" t="n">
        <v>467</v>
      </c>
      <c r="AL474" s="40" t="n"/>
    </row>
    <row r="475" ht="23.5" customHeight="1">
      <c r="A475" s="6" t="inlineStr">
        <is>
          <t>468</t>
        </is>
      </c>
      <c r="B475" s="24" t="n"/>
      <c r="C475" s="55" t="n"/>
      <c r="D475" s="19" t="n"/>
      <c r="E475" s="24" t="n"/>
      <c r="F475" s="25" t="n"/>
      <c r="G475" s="25" t="n"/>
      <c r="H475" s="25" t="n"/>
      <c r="I475" s="11" t="n"/>
      <c r="J475" s="57" t="n"/>
      <c r="K475" s="12" t="n"/>
      <c r="L475" s="22" t="n"/>
      <c r="M475" s="13" t="n"/>
      <c r="N475" s="14">
        <f>ROUND(I475*(SUM(J475:M475))*68%,0)</f>
        <v/>
      </c>
      <c r="O475" s="61" t="n"/>
      <c r="P475" s="59" t="n"/>
      <c r="Q475" s="59" t="n"/>
      <c r="R475" s="58" t="n"/>
      <c r="S475" s="15">
        <f>I475*J475</f>
        <v/>
      </c>
      <c r="T475" s="15">
        <f>SUM(S475:S475)*68%</f>
        <v/>
      </c>
      <c r="U475" s="15">
        <f>I475*K475*40%*O475</f>
        <v/>
      </c>
      <c r="V475" s="15">
        <f>IF(P475&gt;=6750,(I475*K475*40%),0)</f>
        <v/>
      </c>
      <c r="W475" s="15">
        <f>IF(P475&lt;6750,0,IF(Q475="",0,IF(OR(Q475="KURANG",Q475="SANGAT KURANG"),I475*K475*10%,I475*K475*20%)))</f>
        <v/>
      </c>
      <c r="X475" s="15">
        <f>SUM(U475:W475)*68%</f>
        <v/>
      </c>
      <c r="Y475" s="15">
        <f>I475*L475</f>
        <v/>
      </c>
      <c r="Z475" s="15">
        <f>Y475 * 68%</f>
        <v/>
      </c>
      <c r="AA475" s="15">
        <f>I475*M475</f>
        <v/>
      </c>
      <c r="AB475" s="15">
        <f>AA475*68%</f>
        <v/>
      </c>
      <c r="AC475" s="16">
        <f>ROUND((T475+X475+Z475+AB475),0)</f>
        <v/>
      </c>
      <c r="AD475" s="16">
        <f>AG475</f>
        <v/>
      </c>
      <c r="AE475" s="16">
        <f>AI475</f>
        <v/>
      </c>
      <c r="AF475" s="16">
        <f>AC475+AD475+AE475</f>
        <v/>
      </c>
      <c r="AG475" s="16" t="n"/>
      <c r="AH475" s="17" t="n"/>
      <c r="AI475" s="17">
        <f>AH475*4</f>
        <v/>
      </c>
      <c r="AJ475" s="15">
        <f>AF475-AG475-AH475-AI475</f>
        <v/>
      </c>
      <c r="AK475" s="18" t="n">
        <v>468</v>
      </c>
      <c r="AL475" s="23" t="n"/>
    </row>
    <row r="476" ht="23.5" customHeight="1">
      <c r="A476" s="6" t="inlineStr">
        <is>
          <t>469</t>
        </is>
      </c>
      <c r="B476" s="24" t="n"/>
      <c r="C476" s="55" t="n"/>
      <c r="D476" s="19" t="n"/>
      <c r="E476" s="24" t="n"/>
      <c r="F476" s="25" t="n"/>
      <c r="G476" s="25" t="n"/>
      <c r="H476" s="25" t="n"/>
      <c r="I476" s="11" t="n"/>
      <c r="J476" s="57" t="n"/>
      <c r="K476" s="12" t="n"/>
      <c r="L476" s="22" t="n"/>
      <c r="M476" s="13" t="n"/>
      <c r="N476" s="14">
        <f>ROUND(I476*(SUM(J476:M476))*68%,0)</f>
        <v/>
      </c>
      <c r="O476" s="61" t="n"/>
      <c r="P476" s="59" t="n"/>
      <c r="Q476" s="59" t="n"/>
      <c r="R476" s="58" t="n"/>
      <c r="S476" s="15">
        <f>I476*J476</f>
        <v/>
      </c>
      <c r="T476" s="15">
        <f>SUM(S476:S476)*68%</f>
        <v/>
      </c>
      <c r="U476" s="15">
        <f>I476*K476*40%*O476</f>
        <v/>
      </c>
      <c r="V476" s="15">
        <f>IF(P476&gt;=6750,(I476*K476*40%),0)</f>
        <v/>
      </c>
      <c r="W476" s="15">
        <f>IF(P476&lt;6750,0,IF(Q476="",0,IF(OR(Q476="KURANG",Q476="SANGAT KURANG"),I476*K476*10%,I476*K476*20%)))</f>
        <v/>
      </c>
      <c r="X476" s="15">
        <f>SUM(U476:W476)*68%</f>
        <v/>
      </c>
      <c r="Y476" s="15">
        <f>I476*L476</f>
        <v/>
      </c>
      <c r="Z476" s="15">
        <f>Y476 * 68%</f>
        <v/>
      </c>
      <c r="AA476" s="15">
        <f>I476*M476</f>
        <v/>
      </c>
      <c r="AB476" s="15">
        <f>AA476*68%</f>
        <v/>
      </c>
      <c r="AC476" s="16">
        <f>ROUND((T476+X476+Z476+AB476),0)</f>
        <v/>
      </c>
      <c r="AD476" s="16">
        <f>AG476</f>
        <v/>
      </c>
      <c r="AE476" s="16">
        <f>AI476</f>
        <v/>
      </c>
      <c r="AF476" s="16">
        <f>AC476+AD476+AE476</f>
        <v/>
      </c>
      <c r="AG476" s="16" t="n"/>
      <c r="AH476" s="17" t="n"/>
      <c r="AI476" s="17">
        <f>AH476*4</f>
        <v/>
      </c>
      <c r="AJ476" s="15">
        <f>AF476-AG476-AH476-AI476</f>
        <v/>
      </c>
      <c r="AK476" s="18" t="n">
        <v>469</v>
      </c>
      <c r="AL476" s="23" t="n"/>
    </row>
    <row r="477" ht="23.5" customHeight="1">
      <c r="A477" s="6" t="inlineStr">
        <is>
          <t>470</t>
        </is>
      </c>
      <c r="B477" s="24" t="n"/>
      <c r="C477" s="55" t="n"/>
      <c r="D477" s="19" t="n"/>
      <c r="E477" s="24" t="n"/>
      <c r="F477" s="25" t="n"/>
      <c r="G477" s="25" t="n"/>
      <c r="H477" s="25" t="n"/>
      <c r="I477" s="11" t="n"/>
      <c r="J477" s="57" t="n"/>
      <c r="K477" s="12" t="n"/>
      <c r="L477" s="22" t="n"/>
      <c r="M477" s="13" t="n"/>
      <c r="N477" s="14">
        <f>ROUND(I477*(SUM(J477:M477))*68%,0)</f>
        <v/>
      </c>
      <c r="O477" s="61" t="n"/>
      <c r="P477" s="59" t="n"/>
      <c r="Q477" s="59" t="n"/>
      <c r="R477" s="58" t="n"/>
      <c r="S477" s="15">
        <f>I477*J477</f>
        <v/>
      </c>
      <c r="T477" s="15">
        <f>SUM(S477:S477)*68%</f>
        <v/>
      </c>
      <c r="U477" s="15">
        <f>I477*K477*40%*O477</f>
        <v/>
      </c>
      <c r="V477" s="15">
        <f>IF(P477&gt;=6750,(I477*K477*40%),0)</f>
        <v/>
      </c>
      <c r="W477" s="15">
        <f>IF(P477&lt;6750,0,IF(Q477="",0,IF(OR(Q477="KURANG",Q477="SANGAT KURANG"),I477*K477*10%,I477*K477*20%)))</f>
        <v/>
      </c>
      <c r="X477" s="15">
        <f>SUM(U477:W477)*68%</f>
        <v/>
      </c>
      <c r="Y477" s="15">
        <f>I477*L477</f>
        <v/>
      </c>
      <c r="Z477" s="15">
        <f>Y477 * 68%</f>
        <v/>
      </c>
      <c r="AA477" s="15">
        <f>I477*M477</f>
        <v/>
      </c>
      <c r="AB477" s="15">
        <f>AA477*68%</f>
        <v/>
      </c>
      <c r="AC477" s="16">
        <f>ROUND((T477+X477+Z477+AB477),0)</f>
        <v/>
      </c>
      <c r="AD477" s="16">
        <f>AG477</f>
        <v/>
      </c>
      <c r="AE477" s="16">
        <f>AI477</f>
        <v/>
      </c>
      <c r="AF477" s="16">
        <f>AC477+AD477+AE477</f>
        <v/>
      </c>
      <c r="AG477" s="16" t="n"/>
      <c r="AH477" s="17" t="n"/>
      <c r="AI477" s="17">
        <f>AH477*4</f>
        <v/>
      </c>
      <c r="AJ477" s="15">
        <f>AF477-AG477-AH477-AI477</f>
        <v/>
      </c>
      <c r="AK477" s="18" t="n">
        <v>470</v>
      </c>
      <c r="AL477" s="40" t="n"/>
    </row>
    <row r="478" ht="23.5" customHeight="1">
      <c r="A478" s="6" t="inlineStr">
        <is>
          <t>471</t>
        </is>
      </c>
      <c r="B478" s="24" t="n"/>
      <c r="C478" s="55" t="n"/>
      <c r="D478" s="19" t="n"/>
      <c r="E478" s="24" t="n"/>
      <c r="F478" s="25" t="n"/>
      <c r="G478" s="25" t="n"/>
      <c r="H478" s="25" t="n"/>
      <c r="I478" s="11" t="n"/>
      <c r="J478" s="57" t="n"/>
      <c r="K478" s="12" t="n"/>
      <c r="L478" s="22" t="n"/>
      <c r="M478" s="13" t="n"/>
      <c r="N478" s="14">
        <f>ROUND(I478*(SUM(J478:M478))*68%,0)</f>
        <v/>
      </c>
      <c r="O478" s="61" t="n"/>
      <c r="P478" s="59" t="n"/>
      <c r="Q478" s="59" t="n"/>
      <c r="R478" s="58" t="n"/>
      <c r="S478" s="15">
        <f>I478*J478</f>
        <v/>
      </c>
      <c r="T478" s="15">
        <f>SUM(S478:S478)*68%</f>
        <v/>
      </c>
      <c r="U478" s="15">
        <f>I478*K478*40%*O478</f>
        <v/>
      </c>
      <c r="V478" s="15">
        <f>IF(P478&gt;=6750,(I478*K478*40%),0)</f>
        <v/>
      </c>
      <c r="W478" s="15">
        <f>IF(P478&lt;6750,0,IF(Q478="",0,IF(OR(Q478="KURANG",Q478="SANGAT KURANG"),I478*K478*10%,I478*K478*20%)))</f>
        <v/>
      </c>
      <c r="X478" s="15">
        <f>SUM(U478:W478)*68%</f>
        <v/>
      </c>
      <c r="Y478" s="15">
        <f>I478*L478</f>
        <v/>
      </c>
      <c r="Z478" s="15">
        <f>Y478 * 68%</f>
        <v/>
      </c>
      <c r="AA478" s="15">
        <f>I478*M478</f>
        <v/>
      </c>
      <c r="AB478" s="15">
        <f>AA478*68%</f>
        <v/>
      </c>
      <c r="AC478" s="16">
        <f>ROUND((T478+X478+Z478+AB478),0)</f>
        <v/>
      </c>
      <c r="AD478" s="16">
        <f>AG478</f>
        <v/>
      </c>
      <c r="AE478" s="16">
        <f>AI478</f>
        <v/>
      </c>
      <c r="AF478" s="16">
        <f>AC478+AD478+AE478</f>
        <v/>
      </c>
      <c r="AG478" s="16" t="n"/>
      <c r="AH478" s="17" t="n"/>
      <c r="AI478" s="17">
        <f>AH478*4</f>
        <v/>
      </c>
      <c r="AJ478" s="15">
        <f>AF478-AG478-AH478-AI478</f>
        <v/>
      </c>
      <c r="AK478" s="18" t="n">
        <v>471</v>
      </c>
      <c r="AL478" s="23" t="n"/>
    </row>
    <row r="479" ht="23.5" customHeight="1">
      <c r="A479" s="6" t="inlineStr">
        <is>
          <t>472</t>
        </is>
      </c>
      <c r="B479" s="24" t="n"/>
      <c r="C479" s="55" t="n"/>
      <c r="D479" s="19" t="n"/>
      <c r="E479" s="24" t="n"/>
      <c r="F479" s="25" t="n"/>
      <c r="G479" s="25" t="n"/>
      <c r="H479" s="25" t="n"/>
      <c r="I479" s="11" t="n"/>
      <c r="J479" s="57" t="n"/>
      <c r="K479" s="12" t="n"/>
      <c r="L479" s="22" t="n"/>
      <c r="M479" s="13" t="n"/>
      <c r="N479" s="14">
        <f>ROUND(I479*(SUM(J479:M479))*68%,0)</f>
        <v/>
      </c>
      <c r="O479" s="61" t="n"/>
      <c r="P479" s="59" t="n"/>
      <c r="Q479" s="59" t="n"/>
      <c r="R479" s="58" t="n"/>
      <c r="S479" s="15">
        <f>I479*J479</f>
        <v/>
      </c>
      <c r="T479" s="15">
        <f>SUM(S479:S479)*68%</f>
        <v/>
      </c>
      <c r="U479" s="15">
        <f>I479*K479*40%*O479</f>
        <v/>
      </c>
      <c r="V479" s="15">
        <f>IF(P479&gt;=6750,(I479*K479*40%),0)</f>
        <v/>
      </c>
      <c r="W479" s="15">
        <f>IF(P479&lt;6750,0,IF(Q479="",0,IF(OR(Q479="KURANG",Q479="SANGAT KURANG"),I479*K479*10%,I479*K479*20%)))</f>
        <v/>
      </c>
      <c r="X479" s="15">
        <f>SUM(U479:W479)*68%</f>
        <v/>
      </c>
      <c r="Y479" s="15">
        <f>I479*L479</f>
        <v/>
      </c>
      <c r="Z479" s="15">
        <f>Y479 * 68%</f>
        <v/>
      </c>
      <c r="AA479" s="15">
        <f>I479*M479</f>
        <v/>
      </c>
      <c r="AB479" s="15">
        <f>AA479*68%</f>
        <v/>
      </c>
      <c r="AC479" s="16">
        <f>ROUND((T479+X479+Z479+AB479),0)</f>
        <v/>
      </c>
      <c r="AD479" s="16">
        <f>AG479</f>
        <v/>
      </c>
      <c r="AE479" s="16">
        <f>AI479</f>
        <v/>
      </c>
      <c r="AF479" s="16">
        <f>AC479+AD479+AE479</f>
        <v/>
      </c>
      <c r="AG479" s="16" t="n"/>
      <c r="AH479" s="17" t="n"/>
      <c r="AI479" s="17">
        <f>AH479*4</f>
        <v/>
      </c>
      <c r="AJ479" s="15">
        <f>AF479-AG479-AH479-AI479</f>
        <v/>
      </c>
      <c r="AK479" s="18" t="n">
        <v>472</v>
      </c>
      <c r="AL479" s="23" t="n"/>
    </row>
    <row r="480" ht="23.5" customHeight="1">
      <c r="A480" s="6" t="inlineStr">
        <is>
          <t>473</t>
        </is>
      </c>
      <c r="B480" s="24" t="n"/>
      <c r="C480" s="55" t="n"/>
      <c r="D480" s="19" t="n"/>
      <c r="E480" s="24" t="n"/>
      <c r="F480" s="25" t="n"/>
      <c r="G480" s="25" t="n"/>
      <c r="H480" s="25" t="n"/>
      <c r="I480" s="11" t="n"/>
      <c r="J480" s="57" t="n"/>
      <c r="K480" s="12" t="n"/>
      <c r="L480" s="22" t="n"/>
      <c r="M480" s="13" t="n"/>
      <c r="N480" s="14">
        <f>ROUND(I480*(SUM(J480:M480))*68%,0)</f>
        <v/>
      </c>
      <c r="O480" s="61" t="n"/>
      <c r="P480" s="59" t="n"/>
      <c r="Q480" s="59" t="n"/>
      <c r="R480" s="58" t="n"/>
      <c r="S480" s="15">
        <f>I480*J480</f>
        <v/>
      </c>
      <c r="T480" s="15">
        <f>SUM(S480:S480)*68%</f>
        <v/>
      </c>
      <c r="U480" s="15">
        <f>I480*K480*40%*O480</f>
        <v/>
      </c>
      <c r="V480" s="15">
        <f>IF(P480&gt;=6750,(I480*K480*40%),0)</f>
        <v/>
      </c>
      <c r="W480" s="15">
        <f>IF(P480&lt;6750,0,IF(Q480="",0,IF(OR(Q480="KURANG",Q480="SANGAT KURANG"),I480*K480*10%,I480*K480*20%)))</f>
        <v/>
      </c>
      <c r="X480" s="15">
        <f>SUM(U480:W480)*68%</f>
        <v/>
      </c>
      <c r="Y480" s="15">
        <f>I480*L480</f>
        <v/>
      </c>
      <c r="Z480" s="15">
        <f>Y480 * 68%</f>
        <v/>
      </c>
      <c r="AA480" s="15">
        <f>I480*M480</f>
        <v/>
      </c>
      <c r="AB480" s="15">
        <f>AA480*68%</f>
        <v/>
      </c>
      <c r="AC480" s="16">
        <f>ROUND((T480+X480+Z480+AB480),0)</f>
        <v/>
      </c>
      <c r="AD480" s="16">
        <f>AG480</f>
        <v/>
      </c>
      <c r="AE480" s="16">
        <f>AI480</f>
        <v/>
      </c>
      <c r="AF480" s="16">
        <f>AC480+AD480+AE480</f>
        <v/>
      </c>
      <c r="AG480" s="16" t="n"/>
      <c r="AH480" s="17" t="n"/>
      <c r="AI480" s="17">
        <f>AH480*4</f>
        <v/>
      </c>
      <c r="AJ480" s="15">
        <f>AF480-AG480-AH480-AI480</f>
        <v/>
      </c>
      <c r="AK480" s="18" t="n">
        <v>473</v>
      </c>
      <c r="AL480" s="40" t="n"/>
    </row>
    <row r="481" ht="23.5" customHeight="1">
      <c r="A481" s="6" t="inlineStr">
        <is>
          <t>474</t>
        </is>
      </c>
      <c r="B481" s="28" t="n"/>
      <c r="C481" s="55" t="n"/>
      <c r="D481" s="19" t="n"/>
      <c r="E481" s="24" t="n"/>
      <c r="F481" s="25" t="n"/>
      <c r="G481" s="25" t="n"/>
      <c r="H481" s="25" t="n"/>
      <c r="I481" s="11" t="n"/>
      <c r="J481" s="57" t="n"/>
      <c r="K481" s="12" t="n"/>
      <c r="L481" s="22" t="n"/>
      <c r="M481" s="13" t="n"/>
      <c r="N481" s="14">
        <f>ROUND(I481*(SUM(J481:M481))*68%,0)</f>
        <v/>
      </c>
      <c r="O481" s="61" t="n"/>
      <c r="P481" s="59" t="n"/>
      <c r="Q481" s="59" t="n"/>
      <c r="R481" s="58" t="n"/>
      <c r="S481" s="15">
        <f>I481*J481</f>
        <v/>
      </c>
      <c r="T481" s="15">
        <f>SUM(S481:S481)*68%</f>
        <v/>
      </c>
      <c r="U481" s="15">
        <f>I481*K481*40%*O481</f>
        <v/>
      </c>
      <c r="V481" s="15">
        <f>IF(P481&gt;=6750,(I481*K481*40%),0)</f>
        <v/>
      </c>
      <c r="W481" s="15">
        <f>IF(P481&lt;6750,0,IF(Q481="",0,IF(OR(Q481="KURANG",Q481="SANGAT KURANG"),I481*K481*10%,I481*K481*20%)))</f>
        <v/>
      </c>
      <c r="X481" s="15">
        <f>SUM(U481:W481)*68%</f>
        <v/>
      </c>
      <c r="Y481" s="15">
        <f>I481*L481</f>
        <v/>
      </c>
      <c r="Z481" s="15">
        <f>Y481 * 68%</f>
        <v/>
      </c>
      <c r="AA481" s="15">
        <f>I481*M481</f>
        <v/>
      </c>
      <c r="AB481" s="15">
        <f>AA481*68%</f>
        <v/>
      </c>
      <c r="AC481" s="16">
        <f>ROUND((T481+X481+Z481+AB481),0)</f>
        <v/>
      </c>
      <c r="AD481" s="16">
        <f>AG481</f>
        <v/>
      </c>
      <c r="AE481" s="16">
        <f>AI481</f>
        <v/>
      </c>
      <c r="AF481" s="16">
        <f>AC481+AD481+AE481</f>
        <v/>
      </c>
      <c r="AG481" s="16" t="n"/>
      <c r="AH481" s="17" t="n"/>
      <c r="AI481" s="17">
        <f>AH481*4</f>
        <v/>
      </c>
      <c r="AJ481" s="15">
        <f>AF481-AG481-AH481-AI481</f>
        <v/>
      </c>
      <c r="AK481" s="18" t="n">
        <v>474</v>
      </c>
      <c r="AL481" s="23" t="n"/>
    </row>
    <row r="482" ht="23.5" customHeight="1">
      <c r="A482" s="6" t="inlineStr">
        <is>
          <t>475</t>
        </is>
      </c>
      <c r="B482" s="28" t="n"/>
      <c r="C482" s="55" t="n"/>
      <c r="D482" s="19" t="n"/>
      <c r="E482" s="24" t="n"/>
      <c r="F482" s="25" t="n"/>
      <c r="G482" s="25" t="n"/>
      <c r="H482" s="25" t="n"/>
      <c r="I482" s="11" t="n"/>
      <c r="J482" s="57" t="n"/>
      <c r="K482" s="12" t="n"/>
      <c r="L482" s="22" t="n"/>
      <c r="M482" s="13" t="n"/>
      <c r="N482" s="14">
        <f>ROUND(I482*(SUM(J482:M482))*68%,0)</f>
        <v/>
      </c>
      <c r="O482" s="61" t="n"/>
      <c r="P482" s="59" t="n"/>
      <c r="Q482" s="59" t="n"/>
      <c r="R482" s="58" t="n"/>
      <c r="S482" s="15">
        <f>I482*J482</f>
        <v/>
      </c>
      <c r="T482" s="15">
        <f>SUM(S482:S482)*68%</f>
        <v/>
      </c>
      <c r="U482" s="15">
        <f>I482*K482*40%*O482</f>
        <v/>
      </c>
      <c r="V482" s="15">
        <f>IF(P482&gt;=6750,(I482*K482*40%),0)</f>
        <v/>
      </c>
      <c r="W482" s="15">
        <f>IF(P482&lt;6750,0,IF(Q482="",0,IF(OR(Q482="KURANG",Q482="SANGAT KURANG"),I482*K482*10%,I482*K482*20%)))</f>
        <v/>
      </c>
      <c r="X482" s="15">
        <f>SUM(U482:W482)*68%</f>
        <v/>
      </c>
      <c r="Y482" s="15">
        <f>I482*L482</f>
        <v/>
      </c>
      <c r="Z482" s="15">
        <f>Y482 * 68%</f>
        <v/>
      </c>
      <c r="AA482" s="15">
        <f>I482*M482</f>
        <v/>
      </c>
      <c r="AB482" s="15">
        <f>AA482*68%</f>
        <v/>
      </c>
      <c r="AC482" s="16">
        <f>ROUND((T482+X482+Z482+AB482),0)</f>
        <v/>
      </c>
      <c r="AD482" s="16">
        <f>AG482</f>
        <v/>
      </c>
      <c r="AE482" s="16">
        <f>AI482</f>
        <v/>
      </c>
      <c r="AF482" s="16">
        <f>AC482+AD482+AE482</f>
        <v/>
      </c>
      <c r="AG482" s="16" t="n"/>
      <c r="AH482" s="17" t="n"/>
      <c r="AI482" s="17">
        <f>AH482*4</f>
        <v/>
      </c>
      <c r="AJ482" s="15">
        <f>AF482-AG482-AH482-AI482</f>
        <v/>
      </c>
      <c r="AK482" s="18" t="n">
        <v>475</v>
      </c>
      <c r="AL482" s="23" t="n"/>
    </row>
    <row r="483" ht="23.5" customHeight="1">
      <c r="A483" s="6" t="inlineStr">
        <is>
          <t>476</t>
        </is>
      </c>
      <c r="B483" s="24" t="n"/>
      <c r="C483" s="55" t="n"/>
      <c r="D483" s="19" t="n"/>
      <c r="E483" s="24" t="n"/>
      <c r="F483" s="25" t="n"/>
      <c r="G483" s="25" t="n"/>
      <c r="H483" s="25" t="n"/>
      <c r="I483" s="11" t="n"/>
      <c r="J483" s="57" t="n"/>
      <c r="K483" s="12" t="n"/>
      <c r="L483" s="22" t="n"/>
      <c r="M483" s="13" t="n"/>
      <c r="N483" s="14">
        <f>ROUND(I483*(SUM(J483:M483))*68%,0)</f>
        <v/>
      </c>
      <c r="O483" s="61" t="n"/>
      <c r="P483" s="59" t="n"/>
      <c r="Q483" s="59" t="n"/>
      <c r="R483" s="58" t="n"/>
      <c r="S483" s="15">
        <f>I483*J483</f>
        <v/>
      </c>
      <c r="T483" s="15">
        <f>SUM(S483:S483)*68%</f>
        <v/>
      </c>
      <c r="U483" s="15">
        <f>I483*K483*40%*O483</f>
        <v/>
      </c>
      <c r="V483" s="15">
        <f>IF(P483&gt;=6750,(I483*K483*40%),0)</f>
        <v/>
      </c>
      <c r="W483" s="15">
        <f>IF(P483&lt;6750,0,IF(Q483="",0,IF(OR(Q483="KURANG",Q483="SANGAT KURANG"),I483*K483*10%,I483*K483*20%)))</f>
        <v/>
      </c>
      <c r="X483" s="15">
        <f>SUM(U483:W483)*68%</f>
        <v/>
      </c>
      <c r="Y483" s="15">
        <f>I483*L483</f>
        <v/>
      </c>
      <c r="Z483" s="15">
        <f>Y483 * 68%</f>
        <v/>
      </c>
      <c r="AA483" s="15">
        <f>I483*M483</f>
        <v/>
      </c>
      <c r="AB483" s="15">
        <f>AA483*68%</f>
        <v/>
      </c>
      <c r="AC483" s="16">
        <f>ROUND((T483+X483+Z483+AB483),0)</f>
        <v/>
      </c>
      <c r="AD483" s="16">
        <f>AG483</f>
        <v/>
      </c>
      <c r="AE483" s="16">
        <f>AI483</f>
        <v/>
      </c>
      <c r="AF483" s="16">
        <f>AC483+AD483+AE483</f>
        <v/>
      </c>
      <c r="AG483" s="16" t="n"/>
      <c r="AH483" s="17" t="n"/>
      <c r="AI483" s="17">
        <f>AH483*4</f>
        <v/>
      </c>
      <c r="AJ483" s="15">
        <f>AF483-AG483-AH483-AI483</f>
        <v/>
      </c>
      <c r="AK483" s="18" t="n">
        <v>476</v>
      </c>
      <c r="AL483" s="40" t="n"/>
    </row>
    <row r="484" ht="23.5" customHeight="1">
      <c r="A484" s="6" t="inlineStr">
        <is>
          <t>477</t>
        </is>
      </c>
      <c r="B484" s="24" t="n"/>
      <c r="C484" s="55" t="n"/>
      <c r="D484" s="19" t="n"/>
      <c r="E484" s="24" t="n"/>
      <c r="F484" s="25" t="n"/>
      <c r="G484" s="25" t="n"/>
      <c r="H484" s="25" t="n"/>
      <c r="I484" s="11" t="n"/>
      <c r="J484" s="57" t="n"/>
      <c r="K484" s="12" t="n"/>
      <c r="L484" s="22" t="n"/>
      <c r="M484" s="13" t="n"/>
      <c r="N484" s="14">
        <f>ROUND(I484*(SUM(J484:M484))*68%,0)</f>
        <v/>
      </c>
      <c r="O484" s="61" t="n"/>
      <c r="P484" s="59" t="n"/>
      <c r="Q484" s="59" t="n"/>
      <c r="R484" s="58" t="n"/>
      <c r="S484" s="15">
        <f>I484*J484</f>
        <v/>
      </c>
      <c r="T484" s="15">
        <f>SUM(S484:S484)*68%</f>
        <v/>
      </c>
      <c r="U484" s="15">
        <f>I484*K484*40%*O484</f>
        <v/>
      </c>
      <c r="V484" s="15">
        <f>IF(P484&gt;=6750,(I484*K484*40%),0)</f>
        <v/>
      </c>
      <c r="W484" s="15">
        <f>IF(P484&lt;6750,0,IF(Q484="",0,IF(OR(Q484="KURANG",Q484="SANGAT KURANG"),I484*K484*10%,I484*K484*20%)))</f>
        <v/>
      </c>
      <c r="X484" s="15">
        <f>SUM(U484:W484)*68%</f>
        <v/>
      </c>
      <c r="Y484" s="15">
        <f>I484*L484</f>
        <v/>
      </c>
      <c r="Z484" s="15">
        <f>Y484 * 68%</f>
        <v/>
      </c>
      <c r="AA484" s="15">
        <f>I484*M484</f>
        <v/>
      </c>
      <c r="AB484" s="15">
        <f>AA484*68%</f>
        <v/>
      </c>
      <c r="AC484" s="16">
        <f>ROUND((T484+X484+Z484+AB484),0)</f>
        <v/>
      </c>
      <c r="AD484" s="16">
        <f>AG484</f>
        <v/>
      </c>
      <c r="AE484" s="16">
        <f>AI484</f>
        <v/>
      </c>
      <c r="AF484" s="16">
        <f>AC484+AD484+AE484</f>
        <v/>
      </c>
      <c r="AG484" s="16" t="n"/>
      <c r="AH484" s="17" t="n"/>
      <c r="AI484" s="17">
        <f>AH484*4</f>
        <v/>
      </c>
      <c r="AJ484" s="15">
        <f>AF484-AG484-AH484-AI484</f>
        <v/>
      </c>
      <c r="AK484" s="18" t="n">
        <v>477</v>
      </c>
      <c r="AL484" s="23" t="n"/>
    </row>
    <row r="485" ht="23.5" customHeight="1">
      <c r="A485" s="6" t="inlineStr">
        <is>
          <t>478</t>
        </is>
      </c>
      <c r="B485" s="24" t="n"/>
      <c r="C485" s="55" t="n"/>
      <c r="D485" s="19" t="n"/>
      <c r="E485" s="24" t="n"/>
      <c r="F485" s="25" t="n"/>
      <c r="G485" s="25" t="n"/>
      <c r="H485" s="25" t="n"/>
      <c r="I485" s="11" t="n"/>
      <c r="J485" s="57" t="n"/>
      <c r="K485" s="12" t="n"/>
      <c r="L485" s="22" t="n"/>
      <c r="M485" s="13" t="n"/>
      <c r="N485" s="14">
        <f>ROUND(I485*(SUM(J485:M485))*68%,0)</f>
        <v/>
      </c>
      <c r="O485" s="61" t="n"/>
      <c r="P485" s="59" t="n"/>
      <c r="Q485" s="59" t="n"/>
      <c r="R485" s="58" t="n"/>
      <c r="S485" s="15">
        <f>I485*J485</f>
        <v/>
      </c>
      <c r="T485" s="15">
        <f>SUM(S485:S485)*68%</f>
        <v/>
      </c>
      <c r="U485" s="15">
        <f>I485*K485*40%*O485</f>
        <v/>
      </c>
      <c r="V485" s="15">
        <f>IF(P485&gt;=6750,(I485*K485*40%),0)</f>
        <v/>
      </c>
      <c r="W485" s="15">
        <f>IF(P485&lt;6750,0,IF(Q485="",0,IF(OR(Q485="KURANG",Q485="SANGAT KURANG"),I485*K485*10%,I485*K485*20%)))</f>
        <v/>
      </c>
      <c r="X485" s="15">
        <f>SUM(U485:W485)*68%</f>
        <v/>
      </c>
      <c r="Y485" s="15">
        <f>I485*L485</f>
        <v/>
      </c>
      <c r="Z485" s="15">
        <f>Y485 * 68%</f>
        <v/>
      </c>
      <c r="AA485" s="15">
        <f>I485*M485</f>
        <v/>
      </c>
      <c r="AB485" s="15">
        <f>AA485*68%</f>
        <v/>
      </c>
      <c r="AC485" s="16">
        <f>ROUND((T485+X485+Z485+AB485),0)</f>
        <v/>
      </c>
      <c r="AD485" s="16">
        <f>AG485</f>
        <v/>
      </c>
      <c r="AE485" s="16">
        <f>AI485</f>
        <v/>
      </c>
      <c r="AF485" s="16">
        <f>AC485+AD485+AE485</f>
        <v/>
      </c>
      <c r="AG485" s="16" t="n"/>
      <c r="AH485" s="17" t="n"/>
      <c r="AI485" s="17">
        <f>AH485*4</f>
        <v/>
      </c>
      <c r="AJ485" s="15">
        <f>AF485-AG485-AH485-AI485</f>
        <v/>
      </c>
      <c r="AK485" s="18" t="n">
        <v>478</v>
      </c>
      <c r="AL485" s="23" t="n"/>
    </row>
    <row r="486" ht="23.5" customHeight="1">
      <c r="A486" s="6" t="inlineStr">
        <is>
          <t>479</t>
        </is>
      </c>
      <c r="B486" s="24" t="n"/>
      <c r="C486" s="55" t="n"/>
      <c r="D486" s="19" t="n"/>
      <c r="E486" s="24" t="n"/>
      <c r="F486" s="25" t="n"/>
      <c r="G486" s="25" t="n"/>
      <c r="H486" s="25" t="n"/>
      <c r="I486" s="11" t="n"/>
      <c r="J486" s="57" t="n"/>
      <c r="K486" s="12" t="n"/>
      <c r="L486" s="22" t="n"/>
      <c r="M486" s="13" t="n"/>
      <c r="N486" s="14">
        <f>ROUND(I486*(SUM(J486:M486))*68%,0)</f>
        <v/>
      </c>
      <c r="O486" s="61" t="n"/>
      <c r="P486" s="59" t="n"/>
      <c r="Q486" s="59" t="n"/>
      <c r="R486" s="58" t="n"/>
      <c r="S486" s="15">
        <f>I486*J486</f>
        <v/>
      </c>
      <c r="T486" s="15">
        <f>SUM(S486:S486)*68%</f>
        <v/>
      </c>
      <c r="U486" s="15">
        <f>I486*K486*40%*O486</f>
        <v/>
      </c>
      <c r="V486" s="15">
        <f>IF(P486&gt;=6750,(I486*K486*40%),0)</f>
        <v/>
      </c>
      <c r="W486" s="15">
        <f>IF(P486&lt;6750,0,IF(Q486="",0,IF(OR(Q486="KURANG",Q486="SANGAT KURANG"),I486*K486*10%,I486*K486*20%)))</f>
        <v/>
      </c>
      <c r="X486" s="15">
        <f>SUM(U486:W486)*68%</f>
        <v/>
      </c>
      <c r="Y486" s="15">
        <f>I486*L486</f>
        <v/>
      </c>
      <c r="Z486" s="15">
        <f>Y486 * 68%</f>
        <v/>
      </c>
      <c r="AA486" s="15">
        <f>I486*M486</f>
        <v/>
      </c>
      <c r="AB486" s="15">
        <f>AA486*68%</f>
        <v/>
      </c>
      <c r="AC486" s="16">
        <f>ROUND((T486+X486+Z486+AB486),0)</f>
        <v/>
      </c>
      <c r="AD486" s="16">
        <f>AG486</f>
        <v/>
      </c>
      <c r="AE486" s="16">
        <f>AI486</f>
        <v/>
      </c>
      <c r="AF486" s="16">
        <f>AC486+AD486+AE486</f>
        <v/>
      </c>
      <c r="AG486" s="16" t="n"/>
      <c r="AH486" s="17" t="n"/>
      <c r="AI486" s="17">
        <f>AH486*4</f>
        <v/>
      </c>
      <c r="AJ486" s="15">
        <f>AF486-AG486-AH486-AI486</f>
        <v/>
      </c>
      <c r="AK486" s="18" t="n">
        <v>479</v>
      </c>
      <c r="AL486" s="40" t="n"/>
    </row>
    <row r="487" ht="23.5" customHeight="1">
      <c r="A487" s="6" t="inlineStr">
        <is>
          <t>480</t>
        </is>
      </c>
      <c r="B487" s="24" t="n"/>
      <c r="C487" s="55" t="n"/>
      <c r="D487" s="19" t="n"/>
      <c r="E487" s="24" t="n"/>
      <c r="F487" s="25" t="n"/>
      <c r="G487" s="25" t="n"/>
      <c r="H487" s="25" t="n"/>
      <c r="I487" s="11" t="n"/>
      <c r="J487" s="57" t="n"/>
      <c r="K487" s="12" t="n"/>
      <c r="L487" s="22" t="n"/>
      <c r="M487" s="13" t="n"/>
      <c r="N487" s="14">
        <f>ROUND(I487*(SUM(J487:M487))*68%,0)</f>
        <v/>
      </c>
      <c r="O487" s="61" t="n"/>
      <c r="P487" s="59" t="n"/>
      <c r="Q487" s="59" t="n"/>
      <c r="R487" s="58" t="n"/>
      <c r="S487" s="15">
        <f>I487*J487</f>
        <v/>
      </c>
      <c r="T487" s="15">
        <f>SUM(S487:S487)*68%</f>
        <v/>
      </c>
      <c r="U487" s="15">
        <f>I487*K487*40%*O487</f>
        <v/>
      </c>
      <c r="V487" s="15">
        <f>IF(P487&gt;=6750,(I487*K487*40%),0)</f>
        <v/>
      </c>
      <c r="W487" s="15">
        <f>IF(P487&lt;6750,0,IF(Q487="",0,IF(OR(Q487="KURANG",Q487="SANGAT KURANG"),I487*K487*10%,I487*K487*20%)))</f>
        <v/>
      </c>
      <c r="X487" s="15">
        <f>SUM(U487:W487)*68%</f>
        <v/>
      </c>
      <c r="Y487" s="15">
        <f>I487*L487</f>
        <v/>
      </c>
      <c r="Z487" s="15">
        <f>Y487 * 68%</f>
        <v/>
      </c>
      <c r="AA487" s="15">
        <f>I487*M487</f>
        <v/>
      </c>
      <c r="AB487" s="15">
        <f>AA487*68%</f>
        <v/>
      </c>
      <c r="AC487" s="16">
        <f>ROUND((T487+X487+Z487+AB487),0)</f>
        <v/>
      </c>
      <c r="AD487" s="16">
        <f>AG487</f>
        <v/>
      </c>
      <c r="AE487" s="16">
        <f>AI487</f>
        <v/>
      </c>
      <c r="AF487" s="16">
        <f>AC487+AD487+AE487</f>
        <v/>
      </c>
      <c r="AG487" s="16" t="n"/>
      <c r="AH487" s="17" t="n"/>
      <c r="AI487" s="17">
        <f>AH487*4</f>
        <v/>
      </c>
      <c r="AJ487" s="15">
        <f>AF487-AG487-AH487-AI487</f>
        <v/>
      </c>
      <c r="AK487" s="18" t="n">
        <v>480</v>
      </c>
      <c r="AL487" s="23" t="n"/>
    </row>
    <row r="488" ht="23.5" customHeight="1">
      <c r="A488" s="6" t="inlineStr">
        <is>
          <t>481</t>
        </is>
      </c>
      <c r="B488" s="24" t="n"/>
      <c r="C488" s="55" t="n"/>
      <c r="D488" s="19" t="n"/>
      <c r="E488" s="24" t="n"/>
      <c r="F488" s="25" t="n"/>
      <c r="G488" s="25" t="n"/>
      <c r="H488" s="25" t="n"/>
      <c r="I488" s="11" t="n"/>
      <c r="J488" s="57" t="n"/>
      <c r="K488" s="12" t="n"/>
      <c r="L488" s="22" t="n"/>
      <c r="M488" s="13" t="n"/>
      <c r="N488" s="14">
        <f>ROUND(I488*(SUM(J488:M488))*68%,0)</f>
        <v/>
      </c>
      <c r="O488" s="61" t="n"/>
      <c r="P488" s="59" t="n"/>
      <c r="Q488" s="59" t="n"/>
      <c r="R488" s="58" t="n"/>
      <c r="S488" s="15">
        <f>I488*J488</f>
        <v/>
      </c>
      <c r="T488" s="15">
        <f>SUM(S488:S488)*68%</f>
        <v/>
      </c>
      <c r="U488" s="15">
        <f>I488*K488*40%*O488</f>
        <v/>
      </c>
      <c r="V488" s="15">
        <f>IF(P488&gt;=6750,(I488*K488*40%),0)</f>
        <v/>
      </c>
      <c r="W488" s="15">
        <f>IF(P488&lt;6750,0,IF(Q488="",0,IF(OR(Q488="KURANG",Q488="SANGAT KURANG"),I488*K488*10%,I488*K488*20%)))</f>
        <v/>
      </c>
      <c r="X488" s="15">
        <f>SUM(U488:W488)*68%</f>
        <v/>
      </c>
      <c r="Y488" s="15">
        <f>I488*L488</f>
        <v/>
      </c>
      <c r="Z488" s="15">
        <f>Y488 * 68%</f>
        <v/>
      </c>
      <c r="AA488" s="15">
        <f>I488*M488</f>
        <v/>
      </c>
      <c r="AB488" s="15">
        <f>AA488*68%</f>
        <v/>
      </c>
      <c r="AC488" s="16">
        <f>ROUND((T488+X488+Z488+AB488),0)</f>
        <v/>
      </c>
      <c r="AD488" s="16">
        <f>AG488</f>
        <v/>
      </c>
      <c r="AE488" s="16">
        <f>AI488</f>
        <v/>
      </c>
      <c r="AF488" s="16">
        <f>AC488+AD488+AE488</f>
        <v/>
      </c>
      <c r="AG488" s="16" t="n"/>
      <c r="AH488" s="17" t="n"/>
      <c r="AI488" s="17">
        <f>AH488*4</f>
        <v/>
      </c>
      <c r="AJ488" s="15">
        <f>AF488-AG488-AH488-AI488</f>
        <v/>
      </c>
      <c r="AK488" s="18" t="n">
        <v>481</v>
      </c>
      <c r="AL488" s="23" t="n"/>
    </row>
    <row r="489" ht="23.5" customHeight="1">
      <c r="A489" s="6" t="inlineStr">
        <is>
          <t>482</t>
        </is>
      </c>
      <c r="B489" s="28" t="n"/>
      <c r="C489" s="55" t="n"/>
      <c r="D489" s="19" t="n"/>
      <c r="E489" s="24" t="n"/>
      <c r="F489" s="25" t="n"/>
      <c r="G489" s="25" t="n"/>
      <c r="H489" s="25" t="n"/>
      <c r="I489" s="11" t="n"/>
      <c r="J489" s="57" t="n"/>
      <c r="K489" s="12" t="n"/>
      <c r="L489" s="22" t="n"/>
      <c r="M489" s="13" t="n"/>
      <c r="N489" s="14">
        <f>ROUND(I489*(SUM(J489:M489))*68%,0)</f>
        <v/>
      </c>
      <c r="O489" s="61" t="n"/>
      <c r="P489" s="59" t="n"/>
      <c r="Q489" s="59" t="n"/>
      <c r="R489" s="58" t="n"/>
      <c r="S489" s="15">
        <f>I489*J489</f>
        <v/>
      </c>
      <c r="T489" s="15">
        <f>SUM(S489:S489)*68%</f>
        <v/>
      </c>
      <c r="U489" s="15">
        <f>I489*K489*40%*O489</f>
        <v/>
      </c>
      <c r="V489" s="15">
        <f>IF(P489&gt;=6750,(I489*K489*40%),0)</f>
        <v/>
      </c>
      <c r="W489" s="15">
        <f>IF(P489&lt;6750,0,IF(Q489="",0,IF(OR(Q489="KURANG",Q489="SANGAT KURANG"),I489*K489*10%,I489*K489*20%)))</f>
        <v/>
      </c>
      <c r="X489" s="15">
        <f>SUM(U489:W489)*68%</f>
        <v/>
      </c>
      <c r="Y489" s="15">
        <f>I489*L489</f>
        <v/>
      </c>
      <c r="Z489" s="15">
        <f>Y489 * 68%</f>
        <v/>
      </c>
      <c r="AA489" s="15">
        <f>I489*M489</f>
        <v/>
      </c>
      <c r="AB489" s="15">
        <f>AA489*68%</f>
        <v/>
      </c>
      <c r="AC489" s="16">
        <f>ROUND((T489+X489+Z489+AB489),0)</f>
        <v/>
      </c>
      <c r="AD489" s="16">
        <f>AG489</f>
        <v/>
      </c>
      <c r="AE489" s="16">
        <f>AI489</f>
        <v/>
      </c>
      <c r="AF489" s="16">
        <f>AC489+AD489+AE489</f>
        <v/>
      </c>
      <c r="AG489" s="16" t="n"/>
      <c r="AH489" s="17" t="n"/>
      <c r="AI489" s="17">
        <f>AH489*4</f>
        <v/>
      </c>
      <c r="AJ489" s="15">
        <f>AF489-AG489-AH489-AI489</f>
        <v/>
      </c>
      <c r="AK489" s="18" t="n">
        <v>482</v>
      </c>
      <c r="AL489" s="40" t="n"/>
    </row>
    <row r="490" ht="23.5" customHeight="1">
      <c r="A490" s="6" t="inlineStr">
        <is>
          <t>483</t>
        </is>
      </c>
      <c r="B490" s="28" t="n"/>
      <c r="C490" s="55" t="n"/>
      <c r="D490" s="19" t="n"/>
      <c r="E490" s="24" t="n"/>
      <c r="F490" s="25" t="n"/>
      <c r="G490" s="25" t="n"/>
      <c r="H490" s="25" t="n"/>
      <c r="I490" s="11" t="n"/>
      <c r="J490" s="57" t="n"/>
      <c r="K490" s="12" t="n"/>
      <c r="L490" s="22" t="n"/>
      <c r="M490" s="13" t="n"/>
      <c r="N490" s="14">
        <f>ROUND(I490*(SUM(J490:M490))*68%,0)</f>
        <v/>
      </c>
      <c r="O490" s="61" t="n"/>
      <c r="P490" s="59" t="n"/>
      <c r="Q490" s="59" t="n"/>
      <c r="R490" s="58" t="n"/>
      <c r="S490" s="15">
        <f>I490*J490</f>
        <v/>
      </c>
      <c r="T490" s="15">
        <f>SUM(S490:S490)*68%</f>
        <v/>
      </c>
      <c r="U490" s="15">
        <f>I490*K490*40%*O490</f>
        <v/>
      </c>
      <c r="V490" s="15">
        <f>IF(P490&gt;=6750,(I490*K490*40%),0)</f>
        <v/>
      </c>
      <c r="W490" s="15">
        <f>IF(P490&lt;6750,0,IF(Q490="",0,IF(OR(Q490="KURANG",Q490="SANGAT KURANG"),I490*K490*10%,I490*K490*20%)))</f>
        <v/>
      </c>
      <c r="X490" s="15">
        <f>SUM(U490:W490)*68%</f>
        <v/>
      </c>
      <c r="Y490" s="15">
        <f>I490*L490</f>
        <v/>
      </c>
      <c r="Z490" s="15">
        <f>Y490 * 68%</f>
        <v/>
      </c>
      <c r="AA490" s="15">
        <f>I490*M490</f>
        <v/>
      </c>
      <c r="AB490" s="15">
        <f>AA490*68%</f>
        <v/>
      </c>
      <c r="AC490" s="16">
        <f>ROUND((T490+X490+Z490+AB490),0)</f>
        <v/>
      </c>
      <c r="AD490" s="16">
        <f>AG490</f>
        <v/>
      </c>
      <c r="AE490" s="16">
        <f>AI490</f>
        <v/>
      </c>
      <c r="AF490" s="16">
        <f>AC490+AD490+AE490</f>
        <v/>
      </c>
      <c r="AG490" s="16" t="n"/>
      <c r="AH490" s="17" t="n"/>
      <c r="AI490" s="17">
        <f>AH490*4</f>
        <v/>
      </c>
      <c r="AJ490" s="15">
        <f>AF490-AG490-AH490-AI490</f>
        <v/>
      </c>
      <c r="AK490" s="18" t="n">
        <v>483</v>
      </c>
      <c r="AL490" s="23" t="n"/>
    </row>
    <row r="491" ht="23.5" customHeight="1">
      <c r="A491" s="6" t="inlineStr">
        <is>
          <t>484</t>
        </is>
      </c>
      <c r="B491" s="24" t="n"/>
      <c r="C491" s="55" t="n"/>
      <c r="D491" s="19" t="n"/>
      <c r="E491" s="24" t="n"/>
      <c r="F491" s="25" t="n"/>
      <c r="G491" s="25" t="n"/>
      <c r="H491" s="25" t="n"/>
      <c r="I491" s="11" t="n"/>
      <c r="J491" s="57" t="n"/>
      <c r="K491" s="12" t="n"/>
      <c r="L491" s="22" t="n"/>
      <c r="M491" s="13" t="n"/>
      <c r="N491" s="14">
        <f>ROUND(I491*(SUM(J491:M491))*68%,0)</f>
        <v/>
      </c>
      <c r="O491" s="61" t="n"/>
      <c r="P491" s="59" t="n"/>
      <c r="Q491" s="59" t="n"/>
      <c r="R491" s="58" t="n"/>
      <c r="S491" s="15">
        <f>I491*J491</f>
        <v/>
      </c>
      <c r="T491" s="15">
        <f>SUM(S491:S491)*68%</f>
        <v/>
      </c>
      <c r="U491" s="15">
        <f>I491*K491*40%*O491</f>
        <v/>
      </c>
      <c r="V491" s="15">
        <f>IF(P491&gt;=6750,(I491*K491*40%),0)</f>
        <v/>
      </c>
      <c r="W491" s="15">
        <f>IF(P491&lt;6750,0,IF(Q491="",0,IF(OR(Q491="KURANG",Q491="SANGAT KURANG"),I491*K491*10%,I491*K491*20%)))</f>
        <v/>
      </c>
      <c r="X491" s="15">
        <f>SUM(U491:W491)*68%</f>
        <v/>
      </c>
      <c r="Y491" s="15">
        <f>I491*L491</f>
        <v/>
      </c>
      <c r="Z491" s="15">
        <f>Y491 * 68%</f>
        <v/>
      </c>
      <c r="AA491" s="15">
        <f>I491*M491</f>
        <v/>
      </c>
      <c r="AB491" s="15">
        <f>AA491*68%</f>
        <v/>
      </c>
      <c r="AC491" s="16">
        <f>ROUND((T491+X491+Z491+AB491),0)</f>
        <v/>
      </c>
      <c r="AD491" s="16">
        <f>AG491</f>
        <v/>
      </c>
      <c r="AE491" s="16">
        <f>AI491</f>
        <v/>
      </c>
      <c r="AF491" s="16">
        <f>AC491+AD491+AE491</f>
        <v/>
      </c>
      <c r="AG491" s="16" t="n"/>
      <c r="AH491" s="17" t="n"/>
      <c r="AI491" s="17">
        <f>AH491*4</f>
        <v/>
      </c>
      <c r="AJ491" s="15">
        <f>AF491-AG491-AH491-AI491</f>
        <v/>
      </c>
      <c r="AK491" s="18" t="n">
        <v>484</v>
      </c>
      <c r="AL491" s="23" t="n"/>
    </row>
    <row r="492" ht="23.5" customHeight="1">
      <c r="A492" s="6" t="inlineStr">
        <is>
          <t>485</t>
        </is>
      </c>
      <c r="B492" s="24" t="n"/>
      <c r="C492" s="55" t="n"/>
      <c r="D492" s="19" t="n"/>
      <c r="E492" s="24" t="n"/>
      <c r="F492" s="25" t="n"/>
      <c r="G492" s="25" t="n"/>
      <c r="H492" s="25" t="n"/>
      <c r="I492" s="11" t="n"/>
      <c r="J492" s="57" t="n"/>
      <c r="K492" s="12" t="n"/>
      <c r="L492" s="22" t="n"/>
      <c r="M492" s="13" t="n"/>
      <c r="N492" s="14">
        <f>ROUND(I492*(SUM(J492:M492))*68%,0)</f>
        <v/>
      </c>
      <c r="O492" s="61" t="n"/>
      <c r="P492" s="59" t="n"/>
      <c r="Q492" s="59" t="n"/>
      <c r="R492" s="58" t="n"/>
      <c r="S492" s="15">
        <f>I492*J492</f>
        <v/>
      </c>
      <c r="T492" s="15">
        <f>SUM(S492:S492)*68%</f>
        <v/>
      </c>
      <c r="U492" s="15">
        <f>I492*K492*40%*O492</f>
        <v/>
      </c>
      <c r="V492" s="15">
        <f>IF(P492&gt;=6750,(I492*K492*40%),0)</f>
        <v/>
      </c>
      <c r="W492" s="15">
        <f>IF(P492&lt;6750,0,IF(Q492="",0,IF(OR(Q492="KURANG",Q492="SANGAT KURANG"),I492*K492*10%,I492*K492*20%)))</f>
        <v/>
      </c>
      <c r="X492" s="15">
        <f>SUM(U492:W492)*68%</f>
        <v/>
      </c>
      <c r="Y492" s="15">
        <f>I492*L492</f>
        <v/>
      </c>
      <c r="Z492" s="15">
        <f>Y492 * 68%</f>
        <v/>
      </c>
      <c r="AA492" s="15">
        <f>I492*M492</f>
        <v/>
      </c>
      <c r="AB492" s="15">
        <f>AA492*68%</f>
        <v/>
      </c>
      <c r="AC492" s="16">
        <f>ROUND((T492+X492+Z492+AB492),0)</f>
        <v/>
      </c>
      <c r="AD492" s="16">
        <f>AG492</f>
        <v/>
      </c>
      <c r="AE492" s="16">
        <f>AI492</f>
        <v/>
      </c>
      <c r="AF492" s="16">
        <f>AC492+AD492+AE492</f>
        <v/>
      </c>
      <c r="AG492" s="16" t="n"/>
      <c r="AH492" s="17" t="n"/>
      <c r="AI492" s="17">
        <f>AH492*4</f>
        <v/>
      </c>
      <c r="AJ492" s="15">
        <f>AF492-AG492-AH492-AI492</f>
        <v/>
      </c>
      <c r="AK492" s="18" t="n">
        <v>485</v>
      </c>
      <c r="AL492" s="40" t="n"/>
    </row>
    <row r="493" ht="23.5" customHeight="1">
      <c r="A493" s="6" t="inlineStr">
        <is>
          <t>486</t>
        </is>
      </c>
      <c r="B493" s="24" t="n"/>
      <c r="C493" s="55" t="n"/>
      <c r="D493" s="19" t="n"/>
      <c r="E493" s="24" t="n"/>
      <c r="F493" s="25" t="n"/>
      <c r="G493" s="25" t="n"/>
      <c r="H493" s="25" t="n"/>
      <c r="I493" s="11" t="n"/>
      <c r="J493" s="57" t="n"/>
      <c r="K493" s="12" t="n"/>
      <c r="L493" s="22" t="n"/>
      <c r="M493" s="13" t="n"/>
      <c r="N493" s="14">
        <f>ROUND(I493*(SUM(J493:M493))*68%,0)</f>
        <v/>
      </c>
      <c r="O493" s="61" t="n"/>
      <c r="P493" s="59" t="n"/>
      <c r="Q493" s="59" t="n"/>
      <c r="R493" s="58" t="n"/>
      <c r="S493" s="15">
        <f>I493*J493</f>
        <v/>
      </c>
      <c r="T493" s="15">
        <f>SUM(S493:S493)*68%</f>
        <v/>
      </c>
      <c r="U493" s="15">
        <f>I493*K493*40%*O493</f>
        <v/>
      </c>
      <c r="V493" s="15">
        <f>IF(P493&gt;=6750,(I493*K493*40%),0)</f>
        <v/>
      </c>
      <c r="W493" s="15">
        <f>IF(P493&lt;6750,0,IF(Q493="",0,IF(OR(Q493="KURANG",Q493="SANGAT KURANG"),I493*K493*10%,I493*K493*20%)))</f>
        <v/>
      </c>
      <c r="X493" s="15">
        <f>SUM(U493:W493)*68%</f>
        <v/>
      </c>
      <c r="Y493" s="15">
        <f>I493*L493</f>
        <v/>
      </c>
      <c r="Z493" s="15">
        <f>Y493 * 68%</f>
        <v/>
      </c>
      <c r="AA493" s="15">
        <f>I493*M493</f>
        <v/>
      </c>
      <c r="AB493" s="15">
        <f>AA493*68%</f>
        <v/>
      </c>
      <c r="AC493" s="16">
        <f>ROUND((T493+X493+Z493+AB493),0)</f>
        <v/>
      </c>
      <c r="AD493" s="16">
        <f>AG493</f>
        <v/>
      </c>
      <c r="AE493" s="16">
        <f>AI493</f>
        <v/>
      </c>
      <c r="AF493" s="16">
        <f>AC493+AD493+AE493</f>
        <v/>
      </c>
      <c r="AG493" s="16" t="n"/>
      <c r="AH493" s="17" t="n"/>
      <c r="AI493" s="17">
        <f>AH493*4</f>
        <v/>
      </c>
      <c r="AJ493" s="15">
        <f>AF493-AG493-AH493-AI493</f>
        <v/>
      </c>
      <c r="AK493" s="18" t="n">
        <v>486</v>
      </c>
      <c r="AL493" s="23" t="n"/>
    </row>
    <row r="494" ht="23.5" customHeight="1">
      <c r="A494" s="6" t="inlineStr">
        <is>
          <t>487</t>
        </is>
      </c>
      <c r="B494" s="24" t="n"/>
      <c r="C494" s="55" t="n"/>
      <c r="D494" s="19" t="n"/>
      <c r="E494" s="24" t="n"/>
      <c r="F494" s="25" t="n"/>
      <c r="G494" s="25" t="n"/>
      <c r="H494" s="25" t="n"/>
      <c r="I494" s="11" t="n"/>
      <c r="J494" s="57" t="n"/>
      <c r="K494" s="12" t="n"/>
      <c r="L494" s="22" t="n"/>
      <c r="M494" s="13" t="n"/>
      <c r="N494" s="14">
        <f>ROUND(I494*(SUM(J494:M494))*68%,0)</f>
        <v/>
      </c>
      <c r="O494" s="61" t="n"/>
      <c r="P494" s="59" t="n"/>
      <c r="Q494" s="59" t="n"/>
      <c r="R494" s="58" t="n"/>
      <c r="S494" s="15">
        <f>I494*J494</f>
        <v/>
      </c>
      <c r="T494" s="15">
        <f>SUM(S494:S494)*68%</f>
        <v/>
      </c>
      <c r="U494" s="15">
        <f>I494*K494*40%*O494</f>
        <v/>
      </c>
      <c r="V494" s="15">
        <f>IF(P494&gt;=6750,(I494*K494*40%),0)</f>
        <v/>
      </c>
      <c r="W494" s="15">
        <f>IF(P494&lt;6750,0,IF(Q494="",0,IF(OR(Q494="KURANG",Q494="SANGAT KURANG"),I494*K494*10%,I494*K494*20%)))</f>
        <v/>
      </c>
      <c r="X494" s="15">
        <f>SUM(U494:W494)*68%</f>
        <v/>
      </c>
      <c r="Y494" s="15">
        <f>I494*L494</f>
        <v/>
      </c>
      <c r="Z494" s="15">
        <f>Y494 * 68%</f>
        <v/>
      </c>
      <c r="AA494" s="15">
        <f>I494*M494</f>
        <v/>
      </c>
      <c r="AB494" s="15">
        <f>AA494*68%</f>
        <v/>
      </c>
      <c r="AC494" s="16">
        <f>ROUND((T494+X494+Z494+AB494),0)</f>
        <v/>
      </c>
      <c r="AD494" s="16">
        <f>AG494</f>
        <v/>
      </c>
      <c r="AE494" s="16">
        <f>AI494</f>
        <v/>
      </c>
      <c r="AF494" s="16">
        <f>AC494+AD494+AE494</f>
        <v/>
      </c>
      <c r="AG494" s="16" t="n"/>
      <c r="AH494" s="17" t="n"/>
      <c r="AI494" s="17">
        <f>AH494*4</f>
        <v/>
      </c>
      <c r="AJ494" s="15">
        <f>AF494-AG494-AH494-AI494</f>
        <v/>
      </c>
      <c r="AK494" s="18" t="n">
        <v>487</v>
      </c>
      <c r="AL494" s="23" t="n"/>
    </row>
    <row r="495" ht="23.5" customHeight="1">
      <c r="A495" s="6" t="inlineStr">
        <is>
          <t>488</t>
        </is>
      </c>
      <c r="B495" s="24" t="n"/>
      <c r="C495" s="55" t="n"/>
      <c r="D495" s="19" t="n"/>
      <c r="E495" s="24" t="n"/>
      <c r="F495" s="25" t="n"/>
      <c r="G495" s="25" t="n"/>
      <c r="H495" s="25" t="n"/>
      <c r="I495" s="11" t="n"/>
      <c r="J495" s="57" t="n"/>
      <c r="K495" s="12" t="n"/>
      <c r="L495" s="22" t="n"/>
      <c r="M495" s="13" t="n"/>
      <c r="N495" s="14">
        <f>ROUND(I495*(SUM(J495:M495))*68%,0)</f>
        <v/>
      </c>
      <c r="O495" s="61" t="n"/>
      <c r="P495" s="59" t="n"/>
      <c r="Q495" s="59" t="n"/>
      <c r="R495" s="58" t="n"/>
      <c r="S495" s="15">
        <f>I495*J495</f>
        <v/>
      </c>
      <c r="T495" s="15">
        <f>SUM(S495:S495)*68%</f>
        <v/>
      </c>
      <c r="U495" s="15">
        <f>I495*K495*40%*O495</f>
        <v/>
      </c>
      <c r="V495" s="15">
        <f>IF(P495&gt;=6750,(I495*K495*40%),0)</f>
        <v/>
      </c>
      <c r="W495" s="15">
        <f>IF(P495&lt;6750,0,IF(Q495="",0,IF(OR(Q495="KURANG",Q495="SANGAT KURANG"),I495*K495*10%,I495*K495*20%)))</f>
        <v/>
      </c>
      <c r="X495" s="15">
        <f>SUM(U495:W495)*68%</f>
        <v/>
      </c>
      <c r="Y495" s="15">
        <f>I495*L495</f>
        <v/>
      </c>
      <c r="Z495" s="15">
        <f>Y495 * 68%</f>
        <v/>
      </c>
      <c r="AA495" s="15">
        <f>I495*M495</f>
        <v/>
      </c>
      <c r="AB495" s="15">
        <f>AA495*68%</f>
        <v/>
      </c>
      <c r="AC495" s="16">
        <f>ROUND((T495+X495+Z495+AB495),0)</f>
        <v/>
      </c>
      <c r="AD495" s="16">
        <f>AG495</f>
        <v/>
      </c>
      <c r="AE495" s="16">
        <f>AI495</f>
        <v/>
      </c>
      <c r="AF495" s="16">
        <f>AC495+AD495+AE495</f>
        <v/>
      </c>
      <c r="AG495" s="16" t="n"/>
      <c r="AH495" s="17" t="n"/>
      <c r="AI495" s="17">
        <f>AH495*4</f>
        <v/>
      </c>
      <c r="AJ495" s="15">
        <f>AF495-AG495-AH495-AI495</f>
        <v/>
      </c>
      <c r="AK495" s="18" t="n">
        <v>488</v>
      </c>
      <c r="AL495" s="40" t="n"/>
    </row>
    <row r="496" ht="23.5" customHeight="1">
      <c r="A496" s="6" t="inlineStr">
        <is>
          <t>489</t>
        </is>
      </c>
      <c r="B496" s="24" t="n"/>
      <c r="C496" s="55" t="n"/>
      <c r="D496" s="19" t="n"/>
      <c r="E496" s="24" t="n"/>
      <c r="F496" s="25" t="n"/>
      <c r="G496" s="25" t="n"/>
      <c r="H496" s="25" t="n"/>
      <c r="I496" s="11" t="n"/>
      <c r="J496" s="57" t="n"/>
      <c r="K496" s="12" t="n"/>
      <c r="L496" s="22" t="n"/>
      <c r="M496" s="13" t="n"/>
      <c r="N496" s="14">
        <f>ROUND(I496*(SUM(J496:M496))*68%,0)</f>
        <v/>
      </c>
      <c r="O496" s="61" t="n"/>
      <c r="P496" s="59" t="n"/>
      <c r="Q496" s="59" t="n"/>
      <c r="R496" s="58" t="n"/>
      <c r="S496" s="15">
        <f>I496*J496</f>
        <v/>
      </c>
      <c r="T496" s="15">
        <f>SUM(S496:S496)*68%</f>
        <v/>
      </c>
      <c r="U496" s="15">
        <f>I496*K496*40%*O496</f>
        <v/>
      </c>
      <c r="V496" s="15">
        <f>IF(P496&gt;=6750,(I496*K496*40%),0)</f>
        <v/>
      </c>
      <c r="W496" s="15">
        <f>IF(P496&lt;6750,0,IF(Q496="",0,IF(OR(Q496="KURANG",Q496="SANGAT KURANG"),I496*K496*10%,I496*K496*20%)))</f>
        <v/>
      </c>
      <c r="X496" s="15">
        <f>SUM(U496:W496)*68%</f>
        <v/>
      </c>
      <c r="Y496" s="15">
        <f>I496*L496</f>
        <v/>
      </c>
      <c r="Z496" s="15">
        <f>Y496 * 68%</f>
        <v/>
      </c>
      <c r="AA496" s="15">
        <f>I496*M496</f>
        <v/>
      </c>
      <c r="AB496" s="15">
        <f>AA496*68%</f>
        <v/>
      </c>
      <c r="AC496" s="16">
        <f>ROUND((T496+X496+Z496+AB496),0)</f>
        <v/>
      </c>
      <c r="AD496" s="16">
        <f>AG496</f>
        <v/>
      </c>
      <c r="AE496" s="16">
        <f>AI496</f>
        <v/>
      </c>
      <c r="AF496" s="16">
        <f>AC496+AD496+AE496</f>
        <v/>
      </c>
      <c r="AG496" s="16" t="n"/>
      <c r="AH496" s="17" t="n"/>
      <c r="AI496" s="17">
        <f>AH496*4</f>
        <v/>
      </c>
      <c r="AJ496" s="15">
        <f>AF496-AG496-AH496-AI496</f>
        <v/>
      </c>
      <c r="AK496" s="18" t="n">
        <v>489</v>
      </c>
      <c r="AL496" s="23" t="n"/>
    </row>
    <row r="497" ht="23.5" customHeight="1">
      <c r="A497" s="6" t="inlineStr">
        <is>
          <t>490</t>
        </is>
      </c>
      <c r="B497" s="24" t="n"/>
      <c r="C497" s="55" t="n"/>
      <c r="D497" s="19" t="n"/>
      <c r="E497" s="24" t="n"/>
      <c r="F497" s="25" t="n"/>
      <c r="G497" s="25" t="n"/>
      <c r="H497" s="25" t="n"/>
      <c r="I497" s="11" t="n"/>
      <c r="J497" s="57" t="n"/>
      <c r="K497" s="12" t="n"/>
      <c r="L497" s="22" t="n"/>
      <c r="M497" s="13" t="n"/>
      <c r="N497" s="14">
        <f>ROUND(I497*(SUM(J497:M497))*68%,0)</f>
        <v/>
      </c>
      <c r="O497" s="61" t="n"/>
      <c r="P497" s="59" t="n"/>
      <c r="Q497" s="59" t="n"/>
      <c r="R497" s="58" t="n"/>
      <c r="S497" s="15">
        <f>I497*J497</f>
        <v/>
      </c>
      <c r="T497" s="15">
        <f>SUM(S497:S497)*68%</f>
        <v/>
      </c>
      <c r="U497" s="15">
        <f>I497*K497*40%*O497</f>
        <v/>
      </c>
      <c r="V497" s="15">
        <f>IF(P497&gt;=6750,(I497*K497*40%),0)</f>
        <v/>
      </c>
      <c r="W497" s="15">
        <f>IF(P497&lt;6750,0,IF(Q497="",0,IF(OR(Q497="KURANG",Q497="SANGAT KURANG"),I497*K497*10%,I497*K497*20%)))</f>
        <v/>
      </c>
      <c r="X497" s="15">
        <f>SUM(U497:W497)*68%</f>
        <v/>
      </c>
      <c r="Y497" s="15">
        <f>I497*L497</f>
        <v/>
      </c>
      <c r="Z497" s="15">
        <f>Y497 * 68%</f>
        <v/>
      </c>
      <c r="AA497" s="15">
        <f>I497*M497</f>
        <v/>
      </c>
      <c r="AB497" s="15">
        <f>AA497*68%</f>
        <v/>
      </c>
      <c r="AC497" s="16">
        <f>ROUND((T497+X497+Z497+AB497),0)</f>
        <v/>
      </c>
      <c r="AD497" s="16">
        <f>AG497</f>
        <v/>
      </c>
      <c r="AE497" s="16">
        <f>AI497</f>
        <v/>
      </c>
      <c r="AF497" s="16">
        <f>AC497+AD497+AE497</f>
        <v/>
      </c>
      <c r="AG497" s="16" t="n"/>
      <c r="AH497" s="17" t="n"/>
      <c r="AI497" s="17">
        <f>AH497*4</f>
        <v/>
      </c>
      <c r="AJ497" s="15">
        <f>AF497-AG497-AH497-AI497</f>
        <v/>
      </c>
      <c r="AK497" s="18" t="n">
        <v>490</v>
      </c>
      <c r="AL497" s="23" t="n"/>
    </row>
    <row r="498" ht="23.5" customHeight="1">
      <c r="A498" s="6" t="inlineStr">
        <is>
          <t>491</t>
        </is>
      </c>
      <c r="B498" s="24" t="n"/>
      <c r="C498" s="55" t="n"/>
      <c r="D498" s="19" t="n"/>
      <c r="E498" s="24" t="n"/>
      <c r="F498" s="25" t="n"/>
      <c r="G498" s="25" t="n"/>
      <c r="H498" s="25" t="n"/>
      <c r="I498" s="11" t="n"/>
      <c r="J498" s="57" t="n"/>
      <c r="K498" s="12" t="n"/>
      <c r="L498" s="22" t="n"/>
      <c r="M498" s="13" t="n"/>
      <c r="N498" s="14">
        <f>ROUND(I498*(SUM(J498:M498))*68%,0)</f>
        <v/>
      </c>
      <c r="O498" s="61" t="n"/>
      <c r="P498" s="59" t="n"/>
      <c r="Q498" s="59" t="n"/>
      <c r="R498" s="58" t="n"/>
      <c r="S498" s="15">
        <f>I498*J498</f>
        <v/>
      </c>
      <c r="T498" s="15">
        <f>SUM(S498:S498)*68%</f>
        <v/>
      </c>
      <c r="U498" s="15">
        <f>I498*K498*40%*O498</f>
        <v/>
      </c>
      <c r="V498" s="15">
        <f>IF(P498&gt;=6750,(I498*K498*40%),0)</f>
        <v/>
      </c>
      <c r="W498" s="15">
        <f>IF(P498&lt;6750,0,IF(Q498="",0,IF(OR(Q498="KURANG",Q498="SANGAT KURANG"),I498*K498*10%,I498*K498*20%)))</f>
        <v/>
      </c>
      <c r="X498" s="15">
        <f>SUM(U498:W498)*68%</f>
        <v/>
      </c>
      <c r="Y498" s="15">
        <f>I498*L498</f>
        <v/>
      </c>
      <c r="Z498" s="15">
        <f>Y498 * 68%</f>
        <v/>
      </c>
      <c r="AA498" s="15">
        <f>I498*M498</f>
        <v/>
      </c>
      <c r="AB498" s="15">
        <f>AA498*68%</f>
        <v/>
      </c>
      <c r="AC498" s="16">
        <f>ROUND((T498+X498+Z498+AB498),0)</f>
        <v/>
      </c>
      <c r="AD498" s="16">
        <f>AG498</f>
        <v/>
      </c>
      <c r="AE498" s="16">
        <f>AI498</f>
        <v/>
      </c>
      <c r="AF498" s="16">
        <f>AC498+AD498+AE498</f>
        <v/>
      </c>
      <c r="AG498" s="16" t="n"/>
      <c r="AH498" s="17" t="n"/>
      <c r="AI498" s="17">
        <f>AH498*4</f>
        <v/>
      </c>
      <c r="AJ498" s="15">
        <f>AF498-AG498-AH498-AI498</f>
        <v/>
      </c>
      <c r="AK498" s="18" t="n">
        <v>491</v>
      </c>
      <c r="AL498" s="40" t="n"/>
    </row>
    <row r="499" ht="23.5" customHeight="1">
      <c r="A499" s="6" t="inlineStr">
        <is>
          <t>492</t>
        </is>
      </c>
      <c r="B499" s="24" t="n"/>
      <c r="C499" s="55" t="n"/>
      <c r="D499" s="19" t="n"/>
      <c r="E499" s="24" t="n"/>
      <c r="F499" s="25" t="n"/>
      <c r="G499" s="25" t="n"/>
      <c r="H499" s="25" t="n"/>
      <c r="I499" s="11" t="n"/>
      <c r="J499" s="57" t="n"/>
      <c r="K499" s="12" t="n"/>
      <c r="L499" s="22" t="n"/>
      <c r="M499" s="13" t="n"/>
      <c r="N499" s="14">
        <f>ROUND(I499*(SUM(J499:M499))*68%,0)</f>
        <v/>
      </c>
      <c r="O499" s="61" t="n"/>
      <c r="P499" s="59" t="n"/>
      <c r="Q499" s="59" t="n"/>
      <c r="R499" s="58" t="n"/>
      <c r="S499" s="15">
        <f>I499*J499</f>
        <v/>
      </c>
      <c r="T499" s="15">
        <f>SUM(S499:S499)*68%</f>
        <v/>
      </c>
      <c r="U499" s="15">
        <f>I499*K499*40%*O499</f>
        <v/>
      </c>
      <c r="V499" s="15">
        <f>IF(P499&gt;=6750,(I499*K499*40%),0)</f>
        <v/>
      </c>
      <c r="W499" s="15">
        <f>IF(P499&lt;6750,0,IF(Q499="",0,IF(OR(Q499="KURANG",Q499="SANGAT KURANG"),I499*K499*10%,I499*K499*20%)))</f>
        <v/>
      </c>
      <c r="X499" s="15">
        <f>SUM(U499:W499)*68%</f>
        <v/>
      </c>
      <c r="Y499" s="15">
        <f>I499*L499</f>
        <v/>
      </c>
      <c r="Z499" s="15">
        <f>Y499 * 68%</f>
        <v/>
      </c>
      <c r="AA499" s="15">
        <f>I499*M499</f>
        <v/>
      </c>
      <c r="AB499" s="15">
        <f>AA499*68%</f>
        <v/>
      </c>
      <c r="AC499" s="16">
        <f>ROUND((T499+X499+Z499+AB499),0)</f>
        <v/>
      </c>
      <c r="AD499" s="16">
        <f>AG499</f>
        <v/>
      </c>
      <c r="AE499" s="16">
        <f>AI499</f>
        <v/>
      </c>
      <c r="AF499" s="16">
        <f>AC499+AD499+AE499</f>
        <v/>
      </c>
      <c r="AG499" s="16" t="n"/>
      <c r="AH499" s="17" t="n"/>
      <c r="AI499" s="17">
        <f>AH499*4</f>
        <v/>
      </c>
      <c r="AJ499" s="15">
        <f>AF499-AG499-AH499-AI499</f>
        <v/>
      </c>
      <c r="AK499" s="18" t="n">
        <v>492</v>
      </c>
      <c r="AL499" s="23" t="n"/>
    </row>
    <row r="500" ht="23.5" customHeight="1">
      <c r="A500" s="6" t="inlineStr">
        <is>
          <t>493</t>
        </is>
      </c>
      <c r="B500" s="24" t="n"/>
      <c r="C500" s="55" t="n"/>
      <c r="D500" s="19" t="n"/>
      <c r="E500" s="24" t="n"/>
      <c r="F500" s="25" t="n"/>
      <c r="G500" s="25" t="n"/>
      <c r="H500" s="25" t="n"/>
      <c r="I500" s="11" t="n"/>
      <c r="J500" s="57" t="n"/>
      <c r="K500" s="12" t="n"/>
      <c r="L500" s="22" t="n"/>
      <c r="M500" s="13" t="n"/>
      <c r="N500" s="14">
        <f>ROUND(I500*(SUM(J500:M500))*68%,0)</f>
        <v/>
      </c>
      <c r="O500" s="61" t="n"/>
      <c r="P500" s="59" t="n"/>
      <c r="Q500" s="59" t="n"/>
      <c r="R500" s="58" t="n"/>
      <c r="S500" s="15">
        <f>I500*J500</f>
        <v/>
      </c>
      <c r="T500" s="15">
        <f>SUM(S500:S500)*68%</f>
        <v/>
      </c>
      <c r="U500" s="15">
        <f>I500*K500*40%*O500</f>
        <v/>
      </c>
      <c r="V500" s="15">
        <f>IF(P500&gt;=6750,(I500*K500*40%),0)</f>
        <v/>
      </c>
      <c r="W500" s="15">
        <f>IF(P500&lt;6750,0,IF(Q500="",0,IF(OR(Q500="KURANG",Q500="SANGAT KURANG"),I500*K500*10%,I500*K500*20%)))</f>
        <v/>
      </c>
      <c r="X500" s="15">
        <f>SUM(U500:W500)*68%</f>
        <v/>
      </c>
      <c r="Y500" s="15">
        <f>I500*L500</f>
        <v/>
      </c>
      <c r="Z500" s="15">
        <f>Y500 * 68%</f>
        <v/>
      </c>
      <c r="AA500" s="15">
        <f>I500*M500</f>
        <v/>
      </c>
      <c r="AB500" s="15">
        <f>AA500*68%</f>
        <v/>
      </c>
      <c r="AC500" s="16">
        <f>ROUND((T500+X500+Z500+AB500),0)</f>
        <v/>
      </c>
      <c r="AD500" s="16">
        <f>AG500</f>
        <v/>
      </c>
      <c r="AE500" s="16">
        <f>AI500</f>
        <v/>
      </c>
      <c r="AF500" s="16">
        <f>AC500+AD500+AE500</f>
        <v/>
      </c>
      <c r="AG500" s="16" t="n"/>
      <c r="AH500" s="17" t="n"/>
      <c r="AI500" s="17">
        <f>AH500*4</f>
        <v/>
      </c>
      <c r="AJ500" s="15">
        <f>AF500-AG500-AH500-AI500</f>
        <v/>
      </c>
      <c r="AK500" s="18" t="n">
        <v>493</v>
      </c>
      <c r="AL500" s="23" t="n"/>
    </row>
    <row r="501" ht="23.5" customHeight="1">
      <c r="A501" s="6" t="inlineStr">
        <is>
          <t>494</t>
        </is>
      </c>
      <c r="B501" s="24" t="n"/>
      <c r="C501" s="55" t="n"/>
      <c r="D501" s="19" t="n"/>
      <c r="E501" s="24" t="n"/>
      <c r="F501" s="25" t="n"/>
      <c r="G501" s="10" t="n"/>
      <c r="H501" s="8" t="n"/>
      <c r="I501" s="11" t="n"/>
      <c r="J501" s="57" t="n"/>
      <c r="K501" s="12" t="n"/>
      <c r="L501" s="13" t="n"/>
      <c r="M501" s="13" t="n"/>
      <c r="N501" s="14">
        <f>ROUND(I501*(SUM(J501:M501))*68%,0)</f>
        <v/>
      </c>
      <c r="O501" s="61" t="n"/>
      <c r="P501" s="59" t="n"/>
      <c r="Q501" s="59" t="n"/>
      <c r="R501" s="58" t="n"/>
      <c r="S501" s="15">
        <f>I501*J501</f>
        <v/>
      </c>
      <c r="T501" s="15">
        <f>SUM(S501:S501)*68%</f>
        <v/>
      </c>
      <c r="U501" s="15">
        <f>I501*K501*40%*O501</f>
        <v/>
      </c>
      <c r="V501" s="15">
        <f>IF(P501&gt;=6750,(I501*K501*40%),0)</f>
        <v/>
      </c>
      <c r="W501" s="15">
        <f>IF(P501&lt;6750,0,IF(Q501="",0,IF(OR(Q501="KURANG",Q501="SANGAT KURANG"),I501*K501*10%,I501*K501*20%)))</f>
        <v/>
      </c>
      <c r="X501" s="15">
        <f>SUM(U501:W501)*68%</f>
        <v/>
      </c>
      <c r="Y501" s="15">
        <f>I501*L501</f>
        <v/>
      </c>
      <c r="Z501" s="15">
        <f>Y501 * 68%</f>
        <v/>
      </c>
      <c r="AA501" s="15">
        <f>I501*M501</f>
        <v/>
      </c>
      <c r="AB501" s="15">
        <f>AA501*68%</f>
        <v/>
      </c>
      <c r="AC501" s="16">
        <f>ROUND((T501+X501+Z501+AB501),0)</f>
        <v/>
      </c>
      <c r="AD501" s="16">
        <f>AG501</f>
        <v/>
      </c>
      <c r="AE501" s="16">
        <f>AI501</f>
        <v/>
      </c>
      <c r="AF501" s="16">
        <f>AC501+AD501+AE501</f>
        <v/>
      </c>
      <c r="AG501" s="16" t="n"/>
      <c r="AH501" s="17" t="n"/>
      <c r="AI501" s="17">
        <f>AH501*4</f>
        <v/>
      </c>
      <c r="AJ501" s="15">
        <f>AF501-AG501-AH501-AI501</f>
        <v/>
      </c>
      <c r="AK501" s="18" t="n">
        <v>494</v>
      </c>
      <c r="AL501" s="40" t="n"/>
    </row>
    <row r="502" ht="23.5" customHeight="1">
      <c r="A502" s="6" t="inlineStr">
        <is>
          <t>495</t>
        </is>
      </c>
      <c r="B502" s="24" t="n"/>
      <c r="C502" s="55" t="n"/>
      <c r="D502" s="19" t="n"/>
      <c r="E502" s="24" t="n"/>
      <c r="F502" s="25" t="n"/>
      <c r="G502" s="10" t="n"/>
      <c r="H502" s="8" t="n"/>
      <c r="I502" s="11" t="n"/>
      <c r="J502" s="57" t="n"/>
      <c r="K502" s="12" t="n"/>
      <c r="L502" s="22" t="n"/>
      <c r="M502" s="13" t="n"/>
      <c r="N502" s="14">
        <f>ROUND(I502*(SUM(J502:M502))*68%,0)</f>
        <v/>
      </c>
      <c r="O502" s="61" t="n"/>
      <c r="P502" s="59" t="n"/>
      <c r="Q502" s="59" t="n"/>
      <c r="R502" s="58" t="n"/>
      <c r="S502" s="15">
        <f>I502*J502</f>
        <v/>
      </c>
      <c r="T502" s="15">
        <f>SUM(S502:S502)*68%</f>
        <v/>
      </c>
      <c r="U502" s="15">
        <f>I502*K502*40%*O502</f>
        <v/>
      </c>
      <c r="V502" s="15">
        <f>IF(P502&gt;=6750,(I502*K502*40%),0)</f>
        <v/>
      </c>
      <c r="W502" s="15">
        <f>IF(P502&lt;6750,0,IF(Q502="",0,IF(OR(Q502="KURANG",Q502="SANGAT KURANG"),I502*K502*10%,I502*K502*20%)))</f>
        <v/>
      </c>
      <c r="X502" s="15">
        <f>SUM(U502:W502)*68%</f>
        <v/>
      </c>
      <c r="Y502" s="15">
        <f>I502*L502</f>
        <v/>
      </c>
      <c r="Z502" s="15">
        <f>Y502 * 68%</f>
        <v/>
      </c>
      <c r="AA502" s="15">
        <f>I502*M502</f>
        <v/>
      </c>
      <c r="AB502" s="15">
        <f>AA502*68%</f>
        <v/>
      </c>
      <c r="AC502" s="16">
        <f>ROUND((T502+X502+Z502+AB502),0)</f>
        <v/>
      </c>
      <c r="AD502" s="16">
        <f>AG502</f>
        <v/>
      </c>
      <c r="AE502" s="16">
        <f>AI502</f>
        <v/>
      </c>
      <c r="AF502" s="16">
        <f>AC502+AD502+AE502</f>
        <v/>
      </c>
      <c r="AG502" s="16" t="n"/>
      <c r="AH502" s="17" t="n"/>
      <c r="AI502" s="17">
        <f>AH502*4</f>
        <v/>
      </c>
      <c r="AJ502" s="15">
        <f>AF502-AG502-AH502-AI502</f>
        <v/>
      </c>
      <c r="AK502" s="18" t="n">
        <v>495</v>
      </c>
      <c r="AL502" s="23" t="n"/>
    </row>
    <row r="503" ht="23.5" customHeight="1">
      <c r="A503" s="6" t="inlineStr">
        <is>
          <t>496</t>
        </is>
      </c>
      <c r="B503" s="28" t="n"/>
      <c r="C503" s="55" t="n"/>
      <c r="D503" s="19" t="n"/>
      <c r="E503" s="24" t="n"/>
      <c r="F503" s="25" t="n"/>
      <c r="G503" s="10" t="n"/>
      <c r="H503" s="8" t="n"/>
      <c r="I503" s="11" t="n"/>
      <c r="J503" s="57" t="n"/>
      <c r="K503" s="12" t="n"/>
      <c r="L503" s="22" t="n"/>
      <c r="M503" s="13" t="n"/>
      <c r="N503" s="14">
        <f>ROUND(I503*(SUM(J503:M503))*68%,0)</f>
        <v/>
      </c>
      <c r="O503" s="61" t="n"/>
      <c r="P503" s="59" t="n"/>
      <c r="Q503" s="59" t="n"/>
      <c r="R503" s="58" t="n"/>
      <c r="S503" s="15">
        <f>I503*J503</f>
        <v/>
      </c>
      <c r="T503" s="15">
        <f>SUM(S503:S503)*68%</f>
        <v/>
      </c>
      <c r="U503" s="15">
        <f>I503*K503*40%*O503</f>
        <v/>
      </c>
      <c r="V503" s="15">
        <f>IF(P503&gt;=6750,(I503*K503*40%),0)</f>
        <v/>
      </c>
      <c r="W503" s="15">
        <f>IF(P503&lt;6750,0,IF(Q503="",0,IF(OR(Q503="KURANG",Q503="SANGAT KURANG"),I503*K503*10%,I503*K503*20%)))</f>
        <v/>
      </c>
      <c r="X503" s="15">
        <f>SUM(U503:W503)*68%</f>
        <v/>
      </c>
      <c r="Y503" s="15">
        <f>I503*L503</f>
        <v/>
      </c>
      <c r="Z503" s="15">
        <f>Y503 * 68%</f>
        <v/>
      </c>
      <c r="AA503" s="15">
        <f>I503*M503</f>
        <v/>
      </c>
      <c r="AB503" s="15">
        <f>AA503*68%</f>
        <v/>
      </c>
      <c r="AC503" s="16">
        <f>ROUND((T503+X503+Z503+AB503),0)</f>
        <v/>
      </c>
      <c r="AD503" s="16">
        <f>AG503</f>
        <v/>
      </c>
      <c r="AE503" s="16">
        <f>AI503</f>
        <v/>
      </c>
      <c r="AF503" s="16">
        <f>AC503+AD503+AE503</f>
        <v/>
      </c>
      <c r="AG503" s="16" t="n"/>
      <c r="AH503" s="17" t="n"/>
      <c r="AI503" s="17">
        <f>AH503*4</f>
        <v/>
      </c>
      <c r="AJ503" s="15">
        <f>AF503-AG503-AH503-AI503</f>
        <v/>
      </c>
      <c r="AK503" s="18" t="n">
        <v>496</v>
      </c>
      <c r="AL503" s="23" t="n"/>
    </row>
    <row r="504" ht="23.5" customHeight="1">
      <c r="A504" s="6" t="inlineStr">
        <is>
          <t>497</t>
        </is>
      </c>
      <c r="B504" s="24" t="n"/>
      <c r="C504" s="55" t="n"/>
      <c r="D504" s="19" t="n"/>
      <c r="E504" s="24" t="n"/>
      <c r="F504" s="25" t="n"/>
      <c r="G504" s="10" t="n"/>
      <c r="H504" s="8" t="n"/>
      <c r="I504" s="11" t="n"/>
      <c r="J504" s="57" t="n"/>
      <c r="K504" s="12" t="n"/>
      <c r="L504" s="22" t="n"/>
      <c r="M504" s="13" t="n"/>
      <c r="N504" s="14">
        <f>ROUND(I504*(SUM(J504:M504))*68%,0)</f>
        <v/>
      </c>
      <c r="O504" s="61" t="n"/>
      <c r="P504" s="59" t="n"/>
      <c r="Q504" s="59" t="n"/>
      <c r="R504" s="58" t="n"/>
      <c r="S504" s="15">
        <f>I504*J504</f>
        <v/>
      </c>
      <c r="T504" s="15">
        <f>SUM(S504:S504)*68%</f>
        <v/>
      </c>
      <c r="U504" s="15">
        <f>I504*K504*40%*O504</f>
        <v/>
      </c>
      <c r="V504" s="15">
        <f>IF(P504&gt;=6750,(I504*K504*40%),0)</f>
        <v/>
      </c>
      <c r="W504" s="15">
        <f>IF(P504&lt;6750,0,IF(Q504="",0,IF(OR(Q504="KURANG",Q504="SANGAT KURANG"),I504*K504*10%,I504*K504*20%)))</f>
        <v/>
      </c>
      <c r="X504" s="15">
        <f>SUM(U504:W504)*68%</f>
        <v/>
      </c>
      <c r="Y504" s="15">
        <f>I504*L504</f>
        <v/>
      </c>
      <c r="Z504" s="15">
        <f>Y504 * 68%</f>
        <v/>
      </c>
      <c r="AA504" s="15">
        <f>I504*M504</f>
        <v/>
      </c>
      <c r="AB504" s="15">
        <f>AA504*68%</f>
        <v/>
      </c>
      <c r="AC504" s="16">
        <f>ROUND((T504+X504+Z504+AB504),0)</f>
        <v/>
      </c>
      <c r="AD504" s="16">
        <f>AG504</f>
        <v/>
      </c>
      <c r="AE504" s="16">
        <f>AI504</f>
        <v/>
      </c>
      <c r="AF504" s="16">
        <f>AC504+AD504+AE504</f>
        <v/>
      </c>
      <c r="AG504" s="16" t="n"/>
      <c r="AH504" s="17" t="n"/>
      <c r="AI504" s="17">
        <f>AH504*4</f>
        <v/>
      </c>
      <c r="AJ504" s="15">
        <f>AF504-AG504-AH504-AI504</f>
        <v/>
      </c>
      <c r="AK504" s="18" t="n">
        <v>497</v>
      </c>
      <c r="AL504" s="40" t="n"/>
    </row>
    <row r="505" ht="23.5" customHeight="1">
      <c r="A505" s="6" t="inlineStr">
        <is>
          <t>498</t>
        </is>
      </c>
      <c r="B505" s="24" t="n"/>
      <c r="C505" s="55" t="n"/>
      <c r="D505" s="19" t="n"/>
      <c r="E505" s="24" t="n"/>
      <c r="F505" s="25" t="n"/>
      <c r="G505" s="10" t="n"/>
      <c r="H505" s="8" t="n"/>
      <c r="I505" s="11" t="n"/>
      <c r="J505" s="57" t="n"/>
      <c r="K505" s="12" t="n"/>
      <c r="L505" s="22" t="n"/>
      <c r="M505" s="13" t="n"/>
      <c r="N505" s="14">
        <f>ROUND(I505*(SUM(J505:M505))*68%,0)</f>
        <v/>
      </c>
      <c r="O505" s="61" t="n"/>
      <c r="P505" s="59" t="n"/>
      <c r="Q505" s="59" t="n"/>
      <c r="R505" s="58" t="n"/>
      <c r="S505" s="15">
        <f>I505*J505</f>
        <v/>
      </c>
      <c r="T505" s="15">
        <f>SUM(S505:S505)*68%</f>
        <v/>
      </c>
      <c r="U505" s="15">
        <f>I505*K505*40%*O505</f>
        <v/>
      </c>
      <c r="V505" s="15">
        <f>IF(P505&gt;=6750,(I505*K505*40%),0)</f>
        <v/>
      </c>
      <c r="W505" s="15">
        <f>IF(P505&lt;6750,0,IF(Q505="",0,IF(OR(Q505="KURANG",Q505="SANGAT KURANG"),I505*K505*10%,I505*K505*20%)))</f>
        <v/>
      </c>
      <c r="X505" s="15">
        <f>SUM(U505:W505)*68%</f>
        <v/>
      </c>
      <c r="Y505" s="15">
        <f>I505*L505</f>
        <v/>
      </c>
      <c r="Z505" s="15">
        <f>Y505 * 68%</f>
        <v/>
      </c>
      <c r="AA505" s="15">
        <f>I505*M505</f>
        <v/>
      </c>
      <c r="AB505" s="15">
        <f>AA505*68%</f>
        <v/>
      </c>
      <c r="AC505" s="16">
        <f>ROUND((T505+X505+Z505+AB505),0)</f>
        <v/>
      </c>
      <c r="AD505" s="16">
        <f>AG505</f>
        <v/>
      </c>
      <c r="AE505" s="16">
        <f>AI505</f>
        <v/>
      </c>
      <c r="AF505" s="16">
        <f>AC505+AD505+AE505</f>
        <v/>
      </c>
      <c r="AG505" s="16" t="n"/>
      <c r="AH505" s="17" t="n"/>
      <c r="AI505" s="17">
        <f>AH505*4</f>
        <v/>
      </c>
      <c r="AJ505" s="15">
        <f>AF505-AG505-AH505-AI505</f>
        <v/>
      </c>
      <c r="AK505" s="18" t="n">
        <v>498</v>
      </c>
      <c r="AL505" s="23" t="n"/>
    </row>
    <row r="506" ht="23.5" customHeight="1">
      <c r="A506" s="6" t="inlineStr">
        <is>
          <t>499</t>
        </is>
      </c>
      <c r="B506" s="24" t="n"/>
      <c r="C506" s="55" t="n"/>
      <c r="D506" s="19" t="n"/>
      <c r="E506" s="24" t="n"/>
      <c r="F506" s="25" t="n"/>
      <c r="G506" s="10" t="n"/>
      <c r="H506" s="8" t="n"/>
      <c r="I506" s="11" t="n"/>
      <c r="J506" s="57" t="n"/>
      <c r="K506" s="12" t="n"/>
      <c r="L506" s="22" t="n"/>
      <c r="M506" s="13" t="n"/>
      <c r="N506" s="14">
        <f>ROUND(I506*(SUM(J506:M506))*68%,0)</f>
        <v/>
      </c>
      <c r="O506" s="61" t="n"/>
      <c r="P506" s="59" t="n"/>
      <c r="Q506" s="59" t="n"/>
      <c r="R506" s="58" t="n"/>
      <c r="S506" s="15">
        <f>I506*J506</f>
        <v/>
      </c>
      <c r="T506" s="15">
        <f>SUM(S506:S506)*68%</f>
        <v/>
      </c>
      <c r="U506" s="15">
        <f>I506*K506*40%*O506</f>
        <v/>
      </c>
      <c r="V506" s="15">
        <f>IF(P506&gt;=6750,(I506*K506*40%),0)</f>
        <v/>
      </c>
      <c r="W506" s="15">
        <f>IF(P506&lt;6750,0,IF(Q506="",0,IF(OR(Q506="KURANG",Q506="SANGAT KURANG"),I506*K506*10%,I506*K506*20%)))</f>
        <v/>
      </c>
      <c r="X506" s="15">
        <f>SUM(U506:W506)*68%</f>
        <v/>
      </c>
      <c r="Y506" s="15">
        <f>I506*L506</f>
        <v/>
      </c>
      <c r="Z506" s="15">
        <f>Y506 * 68%</f>
        <v/>
      </c>
      <c r="AA506" s="15">
        <f>I506*M506</f>
        <v/>
      </c>
      <c r="AB506" s="15">
        <f>AA506*68%</f>
        <v/>
      </c>
      <c r="AC506" s="16">
        <f>ROUND((T506+X506+Z506+AB506),0)</f>
        <v/>
      </c>
      <c r="AD506" s="16">
        <f>AG506</f>
        <v/>
      </c>
      <c r="AE506" s="16">
        <f>AI506</f>
        <v/>
      </c>
      <c r="AF506" s="16">
        <f>AC506+AD506+AE506</f>
        <v/>
      </c>
      <c r="AG506" s="16" t="n"/>
      <c r="AH506" s="17" t="n"/>
      <c r="AI506" s="17">
        <f>AH506*4</f>
        <v/>
      </c>
      <c r="AJ506" s="15">
        <f>AF506-AG506-AH506-AI506</f>
        <v/>
      </c>
      <c r="AK506" s="18" t="n">
        <v>499</v>
      </c>
      <c r="AL506" s="23" t="n"/>
    </row>
    <row r="507" ht="23.5" customHeight="1">
      <c r="A507" s="6" t="inlineStr">
        <is>
          <t>500</t>
        </is>
      </c>
      <c r="B507" s="24" t="n"/>
      <c r="C507" s="55" t="n"/>
      <c r="D507" s="19" t="n"/>
      <c r="E507" s="24" t="n"/>
      <c r="F507" s="25" t="n"/>
      <c r="G507" s="10" t="n"/>
      <c r="H507" s="8" t="n"/>
      <c r="I507" s="11" t="n"/>
      <c r="J507" s="57" t="n"/>
      <c r="K507" s="12" t="n"/>
      <c r="L507" s="22" t="n"/>
      <c r="M507" s="13" t="n"/>
      <c r="N507" s="14">
        <f>ROUND(I507*(SUM(J507:M507))*68%,0)</f>
        <v/>
      </c>
      <c r="O507" s="61" t="n"/>
      <c r="P507" s="59" t="n"/>
      <c r="Q507" s="59" t="n"/>
      <c r="R507" s="58" t="n"/>
      <c r="S507" s="15">
        <f>I507*J507</f>
        <v/>
      </c>
      <c r="T507" s="15">
        <f>SUM(S507:S507)*68%</f>
        <v/>
      </c>
      <c r="U507" s="15">
        <f>I507*K507*40%*O507</f>
        <v/>
      </c>
      <c r="V507" s="15">
        <f>IF(P507&gt;=6750,(I507*K507*40%),0)</f>
        <v/>
      </c>
      <c r="W507" s="15">
        <f>IF(P507&lt;6750,0,IF(Q507="",0,IF(OR(Q507="KURANG",Q507="SANGAT KURANG"),I507*K507*10%,I507*K507*20%)))</f>
        <v/>
      </c>
      <c r="X507" s="15">
        <f>SUM(U507:W507)*68%</f>
        <v/>
      </c>
      <c r="Y507" s="15">
        <f>I507*L507</f>
        <v/>
      </c>
      <c r="Z507" s="15">
        <f>Y507 * 68%</f>
        <v/>
      </c>
      <c r="AA507" s="15">
        <f>I507*M507</f>
        <v/>
      </c>
      <c r="AB507" s="15">
        <f>AA507*68%</f>
        <v/>
      </c>
      <c r="AC507" s="16">
        <f>ROUND((T507+X507+Z507+AB507),0)</f>
        <v/>
      </c>
      <c r="AD507" s="16">
        <f>AG507</f>
        <v/>
      </c>
      <c r="AE507" s="16">
        <f>AI507</f>
        <v/>
      </c>
      <c r="AF507" s="16">
        <f>AC507+AD507+AE507</f>
        <v/>
      </c>
      <c r="AG507" s="16" t="n"/>
      <c r="AH507" s="17" t="n"/>
      <c r="AI507" s="17">
        <f>AH507*4</f>
        <v/>
      </c>
      <c r="AJ507" s="15">
        <f>AF507-AG507-AH507-AI507</f>
        <v/>
      </c>
      <c r="AK507" s="18" t="n">
        <v>500</v>
      </c>
      <c r="AL507" s="40" t="n"/>
    </row>
    <row r="508" ht="23.5" customHeight="1">
      <c r="A508" s="6" t="inlineStr">
        <is>
          <t>501</t>
        </is>
      </c>
      <c r="B508" s="24" t="n"/>
      <c r="C508" s="55" t="n"/>
      <c r="D508" s="19" t="n"/>
      <c r="E508" s="24" t="n"/>
      <c r="F508" s="25" t="n"/>
      <c r="G508" s="10" t="n"/>
      <c r="H508" s="8" t="n"/>
      <c r="I508" s="11" t="n"/>
      <c r="J508" s="57" t="n"/>
      <c r="K508" s="12" t="n"/>
      <c r="L508" s="22" t="n"/>
      <c r="M508" s="13" t="n"/>
      <c r="N508" s="14">
        <f>ROUND(I508*(SUM(J508:M508))*68%,0)</f>
        <v/>
      </c>
      <c r="O508" s="61" t="n"/>
      <c r="P508" s="59" t="n"/>
      <c r="Q508" s="59" t="n"/>
      <c r="R508" s="58" t="n"/>
      <c r="S508" s="15">
        <f>I508*J508</f>
        <v/>
      </c>
      <c r="T508" s="15">
        <f>SUM(S508:S508)*68%</f>
        <v/>
      </c>
      <c r="U508" s="15">
        <f>I508*K508*40%*O508</f>
        <v/>
      </c>
      <c r="V508" s="15">
        <f>IF(P508&gt;=6750,(I508*K508*40%),0)</f>
        <v/>
      </c>
      <c r="W508" s="15">
        <f>IF(P508&lt;6750,0,IF(Q508="",0,IF(OR(Q508="KURANG",Q508="SANGAT KURANG"),I508*K508*10%,I508*K508*20%)))</f>
        <v/>
      </c>
      <c r="X508" s="15">
        <f>SUM(U508:W508)*68%</f>
        <v/>
      </c>
      <c r="Y508" s="15">
        <f>I508*L508</f>
        <v/>
      </c>
      <c r="Z508" s="15">
        <f>Y508 * 68%</f>
        <v/>
      </c>
      <c r="AA508" s="15">
        <f>I508*M508</f>
        <v/>
      </c>
      <c r="AB508" s="15">
        <f>AA508*68%</f>
        <v/>
      </c>
      <c r="AC508" s="16">
        <f>ROUND((T508+X508+Z508+AB508),0)</f>
        <v/>
      </c>
      <c r="AD508" s="16">
        <f>AG508</f>
        <v/>
      </c>
      <c r="AE508" s="16">
        <f>AI508</f>
        <v/>
      </c>
      <c r="AF508" s="16">
        <f>AC508+AD508+AE508</f>
        <v/>
      </c>
      <c r="AG508" s="16" t="n"/>
      <c r="AH508" s="17" t="n"/>
      <c r="AI508" s="17">
        <f>AH508*4</f>
        <v/>
      </c>
      <c r="AJ508" s="15">
        <f>AF508-AG508-AH508-AI508</f>
        <v/>
      </c>
      <c r="AK508" s="18" t="n">
        <v>501</v>
      </c>
      <c r="AL508" s="23" t="n"/>
    </row>
    <row r="509" ht="23.5" customHeight="1">
      <c r="A509" s="6" t="inlineStr">
        <is>
          <t>502</t>
        </is>
      </c>
      <c r="B509" s="28" t="n"/>
      <c r="C509" s="55" t="n"/>
      <c r="D509" s="19" t="n"/>
      <c r="E509" s="24" t="n"/>
      <c r="F509" s="25" t="n"/>
      <c r="G509" s="10" t="n"/>
      <c r="H509" s="8" t="n"/>
      <c r="I509" s="11" t="n"/>
      <c r="J509" s="57" t="n"/>
      <c r="K509" s="12" t="n"/>
      <c r="L509" s="22" t="n"/>
      <c r="M509" s="13" t="n"/>
      <c r="N509" s="14">
        <f>ROUND(I509*(SUM(J509:M509))*68%,0)</f>
        <v/>
      </c>
      <c r="O509" s="61" t="n"/>
      <c r="P509" s="59" t="n"/>
      <c r="Q509" s="59" t="n"/>
      <c r="R509" s="58" t="n"/>
      <c r="S509" s="15">
        <f>I509*J509</f>
        <v/>
      </c>
      <c r="T509" s="15">
        <f>SUM(S509:S509)*68%</f>
        <v/>
      </c>
      <c r="U509" s="15">
        <f>I509*K509*40%*O509</f>
        <v/>
      </c>
      <c r="V509" s="15">
        <f>IF(P509&gt;=6750,(I509*K509*40%),0)</f>
        <v/>
      </c>
      <c r="W509" s="15">
        <f>IF(P509&lt;6750,0,IF(Q509="",0,IF(OR(Q509="KURANG",Q509="SANGAT KURANG"),I509*K509*10%,I509*K509*20%)))</f>
        <v/>
      </c>
      <c r="X509" s="15">
        <f>SUM(U509:W509)*68%</f>
        <v/>
      </c>
      <c r="Y509" s="15">
        <f>I509*L509</f>
        <v/>
      </c>
      <c r="Z509" s="15">
        <f>Y509 * 68%</f>
        <v/>
      </c>
      <c r="AA509" s="15">
        <f>I509*M509</f>
        <v/>
      </c>
      <c r="AB509" s="15">
        <f>AA509*68%</f>
        <v/>
      </c>
      <c r="AC509" s="16">
        <f>ROUND((T509+X509+Z509+AB509),0)</f>
        <v/>
      </c>
      <c r="AD509" s="16">
        <f>AG509</f>
        <v/>
      </c>
      <c r="AE509" s="16">
        <f>AI509</f>
        <v/>
      </c>
      <c r="AF509" s="16">
        <f>AC509+AD509+AE509</f>
        <v/>
      </c>
      <c r="AG509" s="16" t="n"/>
      <c r="AH509" s="17" t="n"/>
      <c r="AI509" s="17">
        <f>AH509*4</f>
        <v/>
      </c>
      <c r="AJ509" s="15">
        <f>AF509-AG509-AH509-AI509</f>
        <v/>
      </c>
      <c r="AK509" s="18" t="n">
        <v>502</v>
      </c>
      <c r="AL509" s="23" t="n"/>
    </row>
    <row r="510" ht="23.5" customHeight="1">
      <c r="A510" s="6" t="inlineStr">
        <is>
          <t>503</t>
        </is>
      </c>
      <c r="B510" s="30" t="n"/>
      <c r="C510" s="55" t="n"/>
      <c r="D510" s="29" t="n"/>
      <c r="E510" s="30" t="n"/>
      <c r="F510" s="31" t="n"/>
      <c r="G510" s="32" t="n"/>
      <c r="H510" s="33" t="n"/>
      <c r="I510" s="11" t="n"/>
      <c r="J510" s="57" t="n"/>
      <c r="K510" s="12" t="n"/>
      <c r="L510" s="22" t="n"/>
      <c r="M510" s="13" t="n"/>
      <c r="N510" s="14">
        <f>ROUND(I510*(SUM(J510:M510))*68%,0)</f>
        <v/>
      </c>
      <c r="O510" s="61" t="n"/>
      <c r="P510" s="59" t="n"/>
      <c r="Q510" s="59" t="n"/>
      <c r="R510" s="58" t="n"/>
      <c r="S510" s="15">
        <f>I510*J510</f>
        <v/>
      </c>
      <c r="T510" s="15">
        <f>SUM(S510:S510)*68%</f>
        <v/>
      </c>
      <c r="U510" s="15">
        <f>I510*K510*40%*O510</f>
        <v/>
      </c>
      <c r="V510" s="15">
        <f>IF(P510&gt;=6750,(I510*K510*40%),0)</f>
        <v/>
      </c>
      <c r="W510" s="15">
        <f>IF(P510&lt;6750,0,IF(Q510="",0,IF(OR(Q510="KURANG",Q510="SANGAT KURANG"),I510*K510*10%,I510*K510*20%)))</f>
        <v/>
      </c>
      <c r="X510" s="15">
        <f>SUM(U510:W510)*68%</f>
        <v/>
      </c>
      <c r="Y510" s="15">
        <f>I510*L510</f>
        <v/>
      </c>
      <c r="Z510" s="15">
        <f>Y510 * 68%</f>
        <v/>
      </c>
      <c r="AA510" s="15">
        <f>I510*M510</f>
        <v/>
      </c>
      <c r="AB510" s="15">
        <f>AA510*68%</f>
        <v/>
      </c>
      <c r="AC510" s="16">
        <f>ROUND((T510+X510+Z510+AB510),0)</f>
        <v/>
      </c>
      <c r="AD510" s="16">
        <f>AG510</f>
        <v/>
      </c>
      <c r="AE510" s="16">
        <f>AI510</f>
        <v/>
      </c>
      <c r="AF510" s="16">
        <f>AC510+AD510+AE510</f>
        <v/>
      </c>
      <c r="AG510" s="16" t="n"/>
      <c r="AH510" s="17" t="n"/>
      <c r="AI510" s="17">
        <f>AH510*4</f>
        <v/>
      </c>
      <c r="AJ510" s="15">
        <f>AF510-AG510-AH510-AI510</f>
        <v/>
      </c>
      <c r="AK510" s="18" t="n">
        <v>503</v>
      </c>
      <c r="AL510" s="40" t="n"/>
    </row>
    <row r="511" ht="23.5" customHeight="1">
      <c r="A511" s="6" t="inlineStr">
        <is>
          <t>504</t>
        </is>
      </c>
      <c r="B511" s="24" t="n"/>
      <c r="C511" s="55" t="n"/>
      <c r="D511" s="19" t="n"/>
      <c r="E511" s="24" t="n"/>
      <c r="F511" s="25" t="n"/>
      <c r="G511" s="25" t="n"/>
      <c r="H511" s="24" t="n"/>
      <c r="I511" s="11" t="n"/>
      <c r="J511" s="57" t="n"/>
      <c r="K511" s="12" t="n"/>
      <c r="L511" s="22" t="n"/>
      <c r="M511" s="13" t="n"/>
      <c r="N511" s="14">
        <f>ROUND(I511*(SUM(J511:M511))*68%,0)</f>
        <v/>
      </c>
      <c r="O511" s="61" t="n"/>
      <c r="P511" s="59" t="n"/>
      <c r="Q511" s="59" t="n"/>
      <c r="R511" s="58" t="n"/>
      <c r="S511" s="15">
        <f>I511*J511</f>
        <v/>
      </c>
      <c r="T511" s="15">
        <f>SUM(S511:S511)*68%</f>
        <v/>
      </c>
      <c r="U511" s="15">
        <f>I511*K511*40%*O511</f>
        <v/>
      </c>
      <c r="V511" s="15">
        <f>IF(P511&gt;=6750,(I511*K511*40%),0)</f>
        <v/>
      </c>
      <c r="W511" s="15">
        <f>IF(P511&lt;6750,0,IF(Q511="",0,IF(OR(Q511="KURANG",Q511="SANGAT KURANG"),I511*K511*10%,I511*K511*20%)))</f>
        <v/>
      </c>
      <c r="X511" s="15">
        <f>SUM(U511:W511)*68%</f>
        <v/>
      </c>
      <c r="Y511" s="15">
        <f>I511*L511</f>
        <v/>
      </c>
      <c r="Z511" s="15">
        <f>Y511 * 68%</f>
        <v/>
      </c>
      <c r="AA511" s="15">
        <f>I511*M511</f>
        <v/>
      </c>
      <c r="AB511" s="15">
        <f>AA511*68%</f>
        <v/>
      </c>
      <c r="AC511" s="16">
        <f>ROUND((T511+X511+Z511+AB511),0)</f>
        <v/>
      </c>
      <c r="AD511" s="16">
        <f>AG511</f>
        <v/>
      </c>
      <c r="AE511" s="16">
        <f>AI511</f>
        <v/>
      </c>
      <c r="AF511" s="16">
        <f>AC511+AD511+AE511</f>
        <v/>
      </c>
      <c r="AG511" s="16" t="n"/>
      <c r="AH511" s="17" t="n"/>
      <c r="AI511" s="17">
        <f>AH511*4</f>
        <v/>
      </c>
      <c r="AJ511" s="15">
        <f>AF511-AG511-AH511-AI511</f>
        <v/>
      </c>
      <c r="AK511" s="18" t="n">
        <v>504</v>
      </c>
      <c r="AL511" s="23" t="n"/>
    </row>
    <row r="512" ht="23.5" customHeight="1">
      <c r="A512" s="6" t="inlineStr">
        <is>
          <t>505</t>
        </is>
      </c>
      <c r="B512" s="24" t="n"/>
      <c r="C512" s="55" t="n"/>
      <c r="D512" s="19" t="n"/>
      <c r="E512" s="24" t="n"/>
      <c r="F512" s="25" t="n"/>
      <c r="G512" s="25" t="n"/>
      <c r="H512" s="24" t="n"/>
      <c r="I512" s="11" t="n"/>
      <c r="J512" s="57" t="n"/>
      <c r="K512" s="12" t="n"/>
      <c r="L512" s="22" t="n"/>
      <c r="M512" s="13" t="n"/>
      <c r="N512" s="14">
        <f>ROUND(I512*(SUM(J512:M512))*68%,0)</f>
        <v/>
      </c>
      <c r="O512" s="61" t="n"/>
      <c r="P512" s="59" t="n"/>
      <c r="Q512" s="59" t="n"/>
      <c r="R512" s="58" t="n"/>
      <c r="S512" s="15">
        <f>I512*J512</f>
        <v/>
      </c>
      <c r="T512" s="15">
        <f>SUM(S512:S512)*68%</f>
        <v/>
      </c>
      <c r="U512" s="15">
        <f>I512*K512*40%*O512</f>
        <v/>
      </c>
      <c r="V512" s="15">
        <f>IF(P512&gt;=6750,(I512*K512*40%),0)</f>
        <v/>
      </c>
      <c r="W512" s="15">
        <f>IF(P512&lt;6750,0,IF(Q512="",0,IF(OR(Q512="KURANG",Q512="SANGAT KURANG"),I512*K512*10%,I512*K512*20%)))</f>
        <v/>
      </c>
      <c r="X512" s="15">
        <f>SUM(U512:W512)*68%</f>
        <v/>
      </c>
      <c r="Y512" s="15">
        <f>I512*L512</f>
        <v/>
      </c>
      <c r="Z512" s="15">
        <f>Y512 * 68%</f>
        <v/>
      </c>
      <c r="AA512" s="15">
        <f>I512*M512</f>
        <v/>
      </c>
      <c r="AB512" s="15">
        <f>AA512*68%</f>
        <v/>
      </c>
      <c r="AC512" s="16">
        <f>ROUND((T512+X512+Z512+AB512),0)</f>
        <v/>
      </c>
      <c r="AD512" s="16">
        <f>AG512</f>
        <v/>
      </c>
      <c r="AE512" s="16">
        <f>AI512</f>
        <v/>
      </c>
      <c r="AF512" s="16">
        <f>AC512+AD512+AE512</f>
        <v/>
      </c>
      <c r="AG512" s="16" t="n"/>
      <c r="AH512" s="17" t="n"/>
      <c r="AI512" s="17">
        <f>AH512*4</f>
        <v/>
      </c>
      <c r="AJ512" s="15">
        <f>AF512-AG512-AH512-AI512</f>
        <v/>
      </c>
      <c r="AK512" s="18" t="n">
        <v>505</v>
      </c>
      <c r="AL512" s="23" t="n"/>
    </row>
    <row r="513" ht="23.5" customHeight="1">
      <c r="A513" s="6" t="inlineStr">
        <is>
          <t>506</t>
        </is>
      </c>
      <c r="B513" s="24" t="n"/>
      <c r="C513" s="55" t="n"/>
      <c r="D513" s="19" t="n"/>
      <c r="E513" s="24" t="n"/>
      <c r="F513" s="25" t="n"/>
      <c r="G513" s="25" t="n"/>
      <c r="H513" s="24" t="n"/>
      <c r="I513" s="11" t="n"/>
      <c r="J513" s="57" t="n"/>
      <c r="K513" s="12" t="n"/>
      <c r="L513" s="22" t="n"/>
      <c r="M513" s="13" t="n"/>
      <c r="N513" s="14">
        <f>ROUND(I513*(SUM(J513:M513))*68%,0)</f>
        <v/>
      </c>
      <c r="O513" s="61" t="n"/>
      <c r="P513" s="59" t="n"/>
      <c r="Q513" s="59" t="n"/>
      <c r="R513" s="58" t="n"/>
      <c r="S513" s="15">
        <f>I513*J513</f>
        <v/>
      </c>
      <c r="T513" s="15">
        <f>SUM(S513:S513)*68%</f>
        <v/>
      </c>
      <c r="U513" s="15">
        <f>I513*K513*40%*O513</f>
        <v/>
      </c>
      <c r="V513" s="15">
        <f>IF(P513&gt;=6750,(I513*K513*40%),0)</f>
        <v/>
      </c>
      <c r="W513" s="15">
        <f>IF(P513&lt;6750,0,IF(Q513="",0,IF(OR(Q513="KURANG",Q513="SANGAT KURANG"),I513*K513*10%,I513*K513*20%)))</f>
        <v/>
      </c>
      <c r="X513" s="15">
        <f>SUM(U513:W513)*68%</f>
        <v/>
      </c>
      <c r="Y513" s="15">
        <f>I513*L513</f>
        <v/>
      </c>
      <c r="Z513" s="15">
        <f>Y513 * 68%</f>
        <v/>
      </c>
      <c r="AA513" s="15">
        <f>I513*M513</f>
        <v/>
      </c>
      <c r="AB513" s="15">
        <f>AA513*68%</f>
        <v/>
      </c>
      <c r="AC513" s="16">
        <f>ROUND((T513+X513+Z513+AB513),0)</f>
        <v/>
      </c>
      <c r="AD513" s="16">
        <f>AG513</f>
        <v/>
      </c>
      <c r="AE513" s="16">
        <f>AI513</f>
        <v/>
      </c>
      <c r="AF513" s="16">
        <f>AC513+AD513+AE513</f>
        <v/>
      </c>
      <c r="AG513" s="16" t="n"/>
      <c r="AH513" s="17" t="n"/>
      <c r="AI513" s="17">
        <f>AH513*4</f>
        <v/>
      </c>
      <c r="AJ513" s="15">
        <f>AF513-AG513-AH513-AI513</f>
        <v/>
      </c>
      <c r="AK513" s="18" t="n">
        <v>506</v>
      </c>
      <c r="AL513" s="40" t="n"/>
    </row>
    <row r="514" ht="23.5" customHeight="1">
      <c r="A514" s="6" t="inlineStr">
        <is>
          <t>507</t>
        </is>
      </c>
      <c r="B514" s="28" t="n"/>
      <c r="C514" s="55" t="n"/>
      <c r="D514" s="19" t="n"/>
      <c r="E514" s="24" t="n"/>
      <c r="F514" s="25" t="n"/>
      <c r="G514" s="25" t="n"/>
      <c r="H514" s="25" t="n"/>
      <c r="I514" s="11" t="n"/>
      <c r="J514" s="57" t="n"/>
      <c r="K514" s="12" t="n"/>
      <c r="L514" s="22" t="n"/>
      <c r="M514" s="13" t="n"/>
      <c r="N514" s="14">
        <f>ROUND(I514*(SUM(J514:M514))*68%,0)</f>
        <v/>
      </c>
      <c r="O514" s="61" t="n"/>
      <c r="P514" s="59" t="n"/>
      <c r="Q514" s="59" t="n"/>
      <c r="R514" s="58" t="n"/>
      <c r="S514" s="15">
        <f>I514*J514</f>
        <v/>
      </c>
      <c r="T514" s="15">
        <f>SUM(S514:S514)*68%</f>
        <v/>
      </c>
      <c r="U514" s="15">
        <f>I514*K514*40%*O514</f>
        <v/>
      </c>
      <c r="V514" s="15">
        <f>IF(P514&gt;=6750,(I514*K514*40%),0)</f>
        <v/>
      </c>
      <c r="W514" s="15">
        <f>IF(P514&lt;6750,0,IF(Q514="",0,IF(OR(Q514="KURANG",Q514="SANGAT KURANG"),I514*K514*10%,I514*K514*20%)))</f>
        <v/>
      </c>
      <c r="X514" s="15">
        <f>SUM(U514:W514)*68%</f>
        <v/>
      </c>
      <c r="Y514" s="15">
        <f>I514*L514</f>
        <v/>
      </c>
      <c r="Z514" s="15">
        <f>Y514 * 68%</f>
        <v/>
      </c>
      <c r="AA514" s="15">
        <f>I514*M514</f>
        <v/>
      </c>
      <c r="AB514" s="15">
        <f>AA514*68%</f>
        <v/>
      </c>
      <c r="AC514" s="16">
        <f>ROUND((T514+X514+Z514+AB514),0)</f>
        <v/>
      </c>
      <c r="AD514" s="16">
        <f>AG514</f>
        <v/>
      </c>
      <c r="AE514" s="16">
        <f>AI514</f>
        <v/>
      </c>
      <c r="AF514" s="16">
        <f>AC514+AD514+AE514</f>
        <v/>
      </c>
      <c r="AG514" s="16" t="n"/>
      <c r="AH514" s="17" t="n"/>
      <c r="AI514" s="17">
        <f>AH514*4</f>
        <v/>
      </c>
      <c r="AJ514" s="15">
        <f>AF514-AG514-AH514-AI514</f>
        <v/>
      </c>
      <c r="AK514" s="18" t="n">
        <v>507</v>
      </c>
      <c r="AL514" s="23" t="n"/>
    </row>
    <row r="515" ht="23.5" customHeight="1">
      <c r="A515" s="6" t="inlineStr">
        <is>
          <t>508</t>
        </is>
      </c>
      <c r="B515" s="28" t="n"/>
      <c r="C515" s="55" t="n"/>
      <c r="D515" s="19" t="n"/>
      <c r="E515" s="24" t="n"/>
      <c r="F515" s="25" t="n"/>
      <c r="G515" s="25" t="n"/>
      <c r="H515" s="25" t="n"/>
      <c r="I515" s="11" t="n"/>
      <c r="J515" s="57" t="n"/>
      <c r="K515" s="12" t="n"/>
      <c r="L515" s="22" t="n"/>
      <c r="M515" s="13" t="n"/>
      <c r="N515" s="14">
        <f>ROUND(I515*(SUM(J515:M515))*68%,0)</f>
        <v/>
      </c>
      <c r="O515" s="61" t="n"/>
      <c r="P515" s="59" t="n"/>
      <c r="Q515" s="59" t="n"/>
      <c r="R515" s="58" t="n"/>
      <c r="S515" s="15">
        <f>I515*J515</f>
        <v/>
      </c>
      <c r="T515" s="15">
        <f>SUM(S515:S515)*68%</f>
        <v/>
      </c>
      <c r="U515" s="15">
        <f>I515*K515*40%*O515</f>
        <v/>
      </c>
      <c r="V515" s="15">
        <f>IF(P515&gt;=6750,(I515*K515*40%),0)</f>
        <v/>
      </c>
      <c r="W515" s="15">
        <f>IF(P515&lt;6750,0,IF(Q515="",0,IF(OR(Q515="KURANG",Q515="SANGAT KURANG"),I515*K515*10%,I515*K515*20%)))</f>
        <v/>
      </c>
      <c r="X515" s="15">
        <f>SUM(U515:W515)*68%</f>
        <v/>
      </c>
      <c r="Y515" s="15">
        <f>I515*L515</f>
        <v/>
      </c>
      <c r="Z515" s="15">
        <f>Y515 * 68%</f>
        <v/>
      </c>
      <c r="AA515" s="15">
        <f>I515*M515</f>
        <v/>
      </c>
      <c r="AB515" s="15">
        <f>AA515*68%</f>
        <v/>
      </c>
      <c r="AC515" s="16">
        <f>ROUND((T515+X515+Z515+AB515),0)</f>
        <v/>
      </c>
      <c r="AD515" s="16">
        <f>AG515</f>
        <v/>
      </c>
      <c r="AE515" s="16">
        <f>AI515</f>
        <v/>
      </c>
      <c r="AF515" s="16">
        <f>AC515+AD515+AE515</f>
        <v/>
      </c>
      <c r="AG515" s="16" t="n"/>
      <c r="AH515" s="17" t="n"/>
      <c r="AI515" s="17">
        <f>AH515*4</f>
        <v/>
      </c>
      <c r="AJ515" s="15">
        <f>AF515-AG515-AH515-AI515</f>
        <v/>
      </c>
      <c r="AK515" s="18" t="n">
        <v>508</v>
      </c>
      <c r="AL515" s="23" t="n"/>
    </row>
    <row r="516" ht="23.5" customHeight="1">
      <c r="A516" s="6" t="inlineStr">
        <is>
          <t>509</t>
        </is>
      </c>
      <c r="B516" s="28" t="n"/>
      <c r="C516" s="55" t="n"/>
      <c r="D516" s="19" t="n"/>
      <c r="E516" s="24" t="n"/>
      <c r="F516" s="25" t="n"/>
      <c r="G516" s="25" t="n"/>
      <c r="H516" s="25" t="n"/>
      <c r="I516" s="11" t="n"/>
      <c r="J516" s="57" t="n"/>
      <c r="K516" s="12" t="n"/>
      <c r="L516" s="22" t="n"/>
      <c r="M516" s="13" t="n"/>
      <c r="N516" s="14">
        <f>ROUND(I516*(SUM(J516:M516))*68%,0)</f>
        <v/>
      </c>
      <c r="O516" s="61" t="n"/>
      <c r="P516" s="59" t="n"/>
      <c r="Q516" s="59" t="n"/>
      <c r="R516" s="58" t="n"/>
      <c r="S516" s="15">
        <f>I516*J516</f>
        <v/>
      </c>
      <c r="T516" s="15">
        <f>SUM(S516:S516)*68%</f>
        <v/>
      </c>
      <c r="U516" s="15">
        <f>I516*K516*40%*O516</f>
        <v/>
      </c>
      <c r="V516" s="15">
        <f>IF(P516&gt;=6750,(I516*K516*40%),0)</f>
        <v/>
      </c>
      <c r="W516" s="15">
        <f>IF(P516&lt;6750,0,IF(Q516="",0,IF(OR(Q516="KURANG",Q516="SANGAT KURANG"),I516*K516*10%,I516*K516*20%)))</f>
        <v/>
      </c>
      <c r="X516" s="15">
        <f>SUM(U516:W516)*68%</f>
        <v/>
      </c>
      <c r="Y516" s="15">
        <f>I516*L516</f>
        <v/>
      </c>
      <c r="Z516" s="15">
        <f>Y516 * 68%</f>
        <v/>
      </c>
      <c r="AA516" s="15">
        <f>I516*M516</f>
        <v/>
      </c>
      <c r="AB516" s="15">
        <f>AA516*68%</f>
        <v/>
      </c>
      <c r="AC516" s="16">
        <f>ROUND((T516+X516+Z516+AB516),0)</f>
        <v/>
      </c>
      <c r="AD516" s="16">
        <f>AG516</f>
        <v/>
      </c>
      <c r="AE516" s="16">
        <f>AI516</f>
        <v/>
      </c>
      <c r="AF516" s="16">
        <f>AC516+AD516+AE516</f>
        <v/>
      </c>
      <c r="AG516" s="16" t="n"/>
      <c r="AH516" s="17" t="n"/>
      <c r="AI516" s="17">
        <f>AH516*4</f>
        <v/>
      </c>
      <c r="AJ516" s="15">
        <f>AF516-AG516-AH516-AI516</f>
        <v/>
      </c>
      <c r="AK516" s="18" t="n">
        <v>509</v>
      </c>
      <c r="AL516" s="40" t="n"/>
    </row>
    <row r="517" ht="23.5" customHeight="1">
      <c r="A517" s="6" t="inlineStr">
        <is>
          <t>510</t>
        </is>
      </c>
      <c r="B517" s="24" t="n"/>
      <c r="C517" s="55" t="n"/>
      <c r="D517" s="19" t="n"/>
      <c r="E517" s="24" t="n"/>
      <c r="F517" s="25" t="n"/>
      <c r="G517" s="25" t="n"/>
      <c r="H517" s="25" t="n"/>
      <c r="I517" s="11" t="n"/>
      <c r="J517" s="57" t="n"/>
      <c r="K517" s="12" t="n"/>
      <c r="L517" s="22" t="n"/>
      <c r="M517" s="13" t="n"/>
      <c r="N517" s="14">
        <f>ROUND(I517*(SUM(J517:M517))*68%,0)</f>
        <v/>
      </c>
      <c r="O517" s="61" t="n"/>
      <c r="P517" s="59" t="n"/>
      <c r="Q517" s="59" t="n"/>
      <c r="R517" s="58" t="n"/>
      <c r="S517" s="15">
        <f>I517*J517</f>
        <v/>
      </c>
      <c r="T517" s="15">
        <f>SUM(S517:S517)*68%</f>
        <v/>
      </c>
      <c r="U517" s="15">
        <f>I517*K517*40%*O517</f>
        <v/>
      </c>
      <c r="V517" s="15">
        <f>IF(P517&gt;=6750,(I517*K517*40%),0)</f>
        <v/>
      </c>
      <c r="W517" s="15">
        <f>IF(P517&lt;6750,0,IF(Q517="",0,IF(OR(Q517="KURANG",Q517="SANGAT KURANG"),I517*K517*10%,I517*K517*20%)))</f>
        <v/>
      </c>
      <c r="X517" s="15">
        <f>SUM(U517:W517)*68%</f>
        <v/>
      </c>
      <c r="Y517" s="15">
        <f>I517*L517</f>
        <v/>
      </c>
      <c r="Z517" s="15">
        <f>Y517 * 68%</f>
        <v/>
      </c>
      <c r="AA517" s="15">
        <f>I517*M517</f>
        <v/>
      </c>
      <c r="AB517" s="15">
        <f>AA517*68%</f>
        <v/>
      </c>
      <c r="AC517" s="16">
        <f>ROUND((T517+X517+Z517+AB517),0)</f>
        <v/>
      </c>
      <c r="AD517" s="16">
        <f>AG517</f>
        <v/>
      </c>
      <c r="AE517" s="16">
        <f>AI517</f>
        <v/>
      </c>
      <c r="AF517" s="16">
        <f>AC517+AD517+AE517</f>
        <v/>
      </c>
      <c r="AG517" s="16" t="n"/>
      <c r="AH517" s="17" t="n"/>
      <c r="AI517" s="17">
        <f>AH517*4</f>
        <v/>
      </c>
      <c r="AJ517" s="15">
        <f>AF517-AG517-AH517-AI517</f>
        <v/>
      </c>
      <c r="AK517" s="18" t="n">
        <v>510</v>
      </c>
      <c r="AL517" s="23" t="n"/>
    </row>
    <row r="518" ht="23.5" customHeight="1">
      <c r="A518" s="6" t="inlineStr">
        <is>
          <t>511</t>
        </is>
      </c>
      <c r="B518" s="24" t="n"/>
      <c r="C518" s="55" t="n"/>
      <c r="D518" s="19" t="n"/>
      <c r="E518" s="24" t="n"/>
      <c r="F518" s="25" t="n"/>
      <c r="G518" s="25" t="n"/>
      <c r="H518" s="25" t="n"/>
      <c r="I518" s="11" t="n"/>
      <c r="J518" s="57" t="n"/>
      <c r="K518" s="12" t="n"/>
      <c r="L518" s="22" t="n"/>
      <c r="M518" s="13" t="n"/>
      <c r="N518" s="14">
        <f>ROUND(I518*(SUM(J518:M518))*68%,0)</f>
        <v/>
      </c>
      <c r="O518" s="61" t="n"/>
      <c r="P518" s="59" t="n"/>
      <c r="Q518" s="59" t="n"/>
      <c r="R518" s="58" t="n"/>
      <c r="S518" s="15">
        <f>I518*J518</f>
        <v/>
      </c>
      <c r="T518" s="15">
        <f>SUM(S518:S518)*68%</f>
        <v/>
      </c>
      <c r="U518" s="15">
        <f>I518*K518*40%*O518</f>
        <v/>
      </c>
      <c r="V518" s="15">
        <f>IF(P518&gt;=6750,(I518*K518*40%),0)</f>
        <v/>
      </c>
      <c r="W518" s="15">
        <f>IF(P518&lt;6750,0,IF(Q518="",0,IF(OR(Q518="KURANG",Q518="SANGAT KURANG"),I518*K518*10%,I518*K518*20%)))</f>
        <v/>
      </c>
      <c r="X518" s="15">
        <f>SUM(U518:W518)*68%</f>
        <v/>
      </c>
      <c r="Y518" s="15">
        <f>I518*L518</f>
        <v/>
      </c>
      <c r="Z518" s="15">
        <f>Y518 * 68%</f>
        <v/>
      </c>
      <c r="AA518" s="15">
        <f>I518*M518</f>
        <v/>
      </c>
      <c r="AB518" s="15">
        <f>AA518*68%</f>
        <v/>
      </c>
      <c r="AC518" s="16">
        <f>ROUND((T518+X518+Z518+AB518),0)</f>
        <v/>
      </c>
      <c r="AD518" s="16">
        <f>AG518</f>
        <v/>
      </c>
      <c r="AE518" s="16">
        <f>AI518</f>
        <v/>
      </c>
      <c r="AF518" s="16">
        <f>AC518+AD518+AE518</f>
        <v/>
      </c>
      <c r="AG518" s="16" t="n"/>
      <c r="AH518" s="17" t="n"/>
      <c r="AI518" s="17">
        <f>AH518*4</f>
        <v/>
      </c>
      <c r="AJ518" s="15">
        <f>AF518-AG518-AH518-AI518</f>
        <v/>
      </c>
      <c r="AK518" s="18" t="n">
        <v>511</v>
      </c>
      <c r="AL518" s="23" t="n"/>
    </row>
    <row r="519" ht="23.5" customHeight="1">
      <c r="A519" s="6" t="inlineStr">
        <is>
          <t>512</t>
        </is>
      </c>
      <c r="B519" s="28" t="n"/>
      <c r="C519" s="55" t="n"/>
      <c r="D519" s="19" t="n"/>
      <c r="E519" s="24" t="n"/>
      <c r="F519" s="25" t="n"/>
      <c r="G519" s="25" t="n"/>
      <c r="H519" s="25" t="n"/>
      <c r="I519" s="11" t="n"/>
      <c r="J519" s="57" t="n"/>
      <c r="K519" s="12" t="n"/>
      <c r="L519" s="22" t="n"/>
      <c r="M519" s="13" t="n"/>
      <c r="N519" s="14">
        <f>ROUND(I519*(SUM(J519:M519))*68%,0)</f>
        <v/>
      </c>
      <c r="O519" s="61" t="n"/>
      <c r="P519" s="59" t="n"/>
      <c r="Q519" s="59" t="n"/>
      <c r="R519" s="58" t="n"/>
      <c r="S519" s="15">
        <f>I519*J519</f>
        <v/>
      </c>
      <c r="T519" s="15">
        <f>SUM(S519:S519)*68%</f>
        <v/>
      </c>
      <c r="U519" s="15">
        <f>I519*K519*40%*O519</f>
        <v/>
      </c>
      <c r="V519" s="15">
        <f>IF(P519&gt;=6750,(I519*K519*40%),0)</f>
        <v/>
      </c>
      <c r="W519" s="15">
        <f>IF(P519&lt;6750,0,IF(Q519="",0,IF(OR(Q519="KURANG",Q519="SANGAT KURANG"),I519*K519*10%,I519*K519*20%)))</f>
        <v/>
      </c>
      <c r="X519" s="15">
        <f>SUM(U519:W519)*68%</f>
        <v/>
      </c>
      <c r="Y519" s="15">
        <f>I519*L519</f>
        <v/>
      </c>
      <c r="Z519" s="15">
        <f>Y519 * 68%</f>
        <v/>
      </c>
      <c r="AA519" s="15">
        <f>I519*M519</f>
        <v/>
      </c>
      <c r="AB519" s="15">
        <f>AA519*68%</f>
        <v/>
      </c>
      <c r="AC519" s="16">
        <f>ROUND((T519+X519+Z519+AB519),0)</f>
        <v/>
      </c>
      <c r="AD519" s="16">
        <f>AG519</f>
        <v/>
      </c>
      <c r="AE519" s="16">
        <f>AI519</f>
        <v/>
      </c>
      <c r="AF519" s="16">
        <f>AC519+AD519+AE519</f>
        <v/>
      </c>
      <c r="AG519" s="16" t="n"/>
      <c r="AH519" s="17" t="n"/>
      <c r="AI519" s="17">
        <f>AH519*4</f>
        <v/>
      </c>
      <c r="AJ519" s="15">
        <f>AF519-AG519-AH519-AI519</f>
        <v/>
      </c>
      <c r="AK519" s="18" t="n">
        <v>512</v>
      </c>
      <c r="AL519" s="40" t="n"/>
    </row>
    <row r="520" ht="23.5" customHeight="1">
      <c r="A520" s="6" t="inlineStr">
        <is>
          <t>513</t>
        </is>
      </c>
      <c r="B520" s="28" t="n"/>
      <c r="C520" s="55" t="n"/>
      <c r="D520" s="19" t="n"/>
      <c r="E520" s="24" t="n"/>
      <c r="F520" s="25" t="n"/>
      <c r="G520" s="25" t="n"/>
      <c r="H520" s="25" t="n"/>
      <c r="I520" s="11" t="n"/>
      <c r="J520" s="57" t="n"/>
      <c r="K520" s="12" t="n"/>
      <c r="L520" s="22" t="n"/>
      <c r="M520" s="13" t="n"/>
      <c r="N520" s="14">
        <f>ROUND(I520*(SUM(J520:M520))*68%,0)</f>
        <v/>
      </c>
      <c r="O520" s="61" t="n"/>
      <c r="P520" s="59" t="n"/>
      <c r="Q520" s="59" t="n"/>
      <c r="R520" s="58" t="n"/>
      <c r="S520" s="15">
        <f>I520*J520</f>
        <v/>
      </c>
      <c r="T520" s="15">
        <f>SUM(S520:S520)*68%</f>
        <v/>
      </c>
      <c r="U520" s="15">
        <f>I520*K520*40%*O520</f>
        <v/>
      </c>
      <c r="V520" s="15">
        <f>IF(P520&gt;=6750,(I520*K520*40%),0)</f>
        <v/>
      </c>
      <c r="W520" s="15">
        <f>IF(P520&lt;6750,0,IF(Q520="",0,IF(OR(Q520="KURANG",Q520="SANGAT KURANG"),I520*K520*10%,I520*K520*20%)))</f>
        <v/>
      </c>
      <c r="X520" s="15">
        <f>SUM(U520:W520)*68%</f>
        <v/>
      </c>
      <c r="Y520" s="15">
        <f>I520*L520</f>
        <v/>
      </c>
      <c r="Z520" s="15">
        <f>Y520 * 68%</f>
        <v/>
      </c>
      <c r="AA520" s="15">
        <f>I520*M520</f>
        <v/>
      </c>
      <c r="AB520" s="15">
        <f>AA520*68%</f>
        <v/>
      </c>
      <c r="AC520" s="16">
        <f>ROUND((T520+X520+Z520+AB520),0)</f>
        <v/>
      </c>
      <c r="AD520" s="16">
        <f>AG520</f>
        <v/>
      </c>
      <c r="AE520" s="16">
        <f>AI520</f>
        <v/>
      </c>
      <c r="AF520" s="16">
        <f>AC520+AD520+AE520</f>
        <v/>
      </c>
      <c r="AG520" s="16" t="n"/>
      <c r="AH520" s="17" t="n"/>
      <c r="AI520" s="17">
        <f>AH520*4</f>
        <v/>
      </c>
      <c r="AJ520" s="15">
        <f>AF520-AG520-AH520-AI520</f>
        <v/>
      </c>
      <c r="AK520" s="18" t="n">
        <v>513</v>
      </c>
      <c r="AL520" s="23" t="n"/>
    </row>
    <row r="521" ht="23.5" customHeight="1">
      <c r="A521" s="6" t="inlineStr">
        <is>
          <t>514</t>
        </is>
      </c>
      <c r="B521" s="24" t="n"/>
      <c r="C521" s="55" t="n"/>
      <c r="D521" s="19" t="n"/>
      <c r="E521" s="24" t="n"/>
      <c r="F521" s="25" t="n"/>
      <c r="G521" s="25" t="n"/>
      <c r="H521" s="25" t="n"/>
      <c r="I521" s="11" t="n"/>
      <c r="J521" s="57" t="n"/>
      <c r="K521" s="12" t="n"/>
      <c r="L521" s="22" t="n"/>
      <c r="M521" s="13" t="n"/>
      <c r="N521" s="14">
        <f>ROUND(I521*(SUM(J521:M521))*68%,0)</f>
        <v/>
      </c>
      <c r="O521" s="61" t="n"/>
      <c r="P521" s="59" t="n"/>
      <c r="Q521" s="59" t="n"/>
      <c r="R521" s="58" t="n"/>
      <c r="S521" s="15">
        <f>I521*J521</f>
        <v/>
      </c>
      <c r="T521" s="15">
        <f>SUM(S521:S521)*68%</f>
        <v/>
      </c>
      <c r="U521" s="15">
        <f>I521*K521*40%*O521</f>
        <v/>
      </c>
      <c r="V521" s="15">
        <f>IF(P521&gt;=6750,(I521*K521*40%),0)</f>
        <v/>
      </c>
      <c r="W521" s="15">
        <f>IF(P521&lt;6750,0,IF(Q521="",0,IF(OR(Q521="KURANG",Q521="SANGAT KURANG"),I521*K521*10%,I521*K521*20%)))</f>
        <v/>
      </c>
      <c r="X521" s="15">
        <f>SUM(U521:W521)*68%</f>
        <v/>
      </c>
      <c r="Y521" s="15">
        <f>I521*L521</f>
        <v/>
      </c>
      <c r="Z521" s="15">
        <f>Y521 * 68%</f>
        <v/>
      </c>
      <c r="AA521" s="15">
        <f>I521*M521</f>
        <v/>
      </c>
      <c r="AB521" s="15">
        <f>AA521*68%</f>
        <v/>
      </c>
      <c r="AC521" s="16">
        <f>ROUND((T521+X521+Z521+AB521),0)</f>
        <v/>
      </c>
      <c r="AD521" s="16">
        <f>AG521</f>
        <v/>
      </c>
      <c r="AE521" s="16">
        <f>AI521</f>
        <v/>
      </c>
      <c r="AF521" s="16">
        <f>AC521+AD521+AE521</f>
        <v/>
      </c>
      <c r="AG521" s="16" t="n"/>
      <c r="AH521" s="17" t="n"/>
      <c r="AI521" s="17">
        <f>AH521*4</f>
        <v/>
      </c>
      <c r="AJ521" s="15">
        <f>AF521-AG521-AH521-AI521</f>
        <v/>
      </c>
      <c r="AK521" s="18" t="n">
        <v>514</v>
      </c>
      <c r="AL521" s="23" t="n"/>
    </row>
    <row r="522" ht="23.5" customHeight="1">
      <c r="A522" s="6" t="inlineStr">
        <is>
          <t>515</t>
        </is>
      </c>
      <c r="B522" s="24" t="n"/>
      <c r="C522" s="55" t="n"/>
      <c r="D522" s="19" t="n"/>
      <c r="E522" s="24" t="n"/>
      <c r="F522" s="25" t="n"/>
      <c r="G522" s="25" t="n"/>
      <c r="H522" s="25" t="n"/>
      <c r="I522" s="11" t="n"/>
      <c r="J522" s="57" t="n"/>
      <c r="K522" s="12" t="n"/>
      <c r="L522" s="22" t="n"/>
      <c r="M522" s="13" t="n"/>
      <c r="N522" s="14">
        <f>ROUND(I522*(SUM(J522:M522))*68%,0)</f>
        <v/>
      </c>
      <c r="O522" s="61" t="n"/>
      <c r="P522" s="59" t="n"/>
      <c r="Q522" s="59" t="n"/>
      <c r="R522" s="58" t="n"/>
      <c r="S522" s="15">
        <f>I522*J522</f>
        <v/>
      </c>
      <c r="T522" s="15">
        <f>SUM(S522:S522)*68%</f>
        <v/>
      </c>
      <c r="U522" s="15">
        <f>I522*K522*40%*O522</f>
        <v/>
      </c>
      <c r="V522" s="15">
        <f>IF(P522&gt;=6750,(I522*K522*40%),0)</f>
        <v/>
      </c>
      <c r="W522" s="15">
        <f>IF(P522&lt;6750,0,IF(Q522="",0,IF(OR(Q522="KURANG",Q522="SANGAT KURANG"),I522*K522*10%,I522*K522*20%)))</f>
        <v/>
      </c>
      <c r="X522" s="15">
        <f>SUM(U522:W522)*68%</f>
        <v/>
      </c>
      <c r="Y522" s="15">
        <f>I522*L522</f>
        <v/>
      </c>
      <c r="Z522" s="15">
        <f>Y522 * 68%</f>
        <v/>
      </c>
      <c r="AA522" s="15">
        <f>I522*M522</f>
        <v/>
      </c>
      <c r="AB522" s="15">
        <f>AA522*68%</f>
        <v/>
      </c>
      <c r="AC522" s="16">
        <f>ROUND((T522+X522+Z522+AB522),0)</f>
        <v/>
      </c>
      <c r="AD522" s="16">
        <f>AG522</f>
        <v/>
      </c>
      <c r="AE522" s="16">
        <f>AI522</f>
        <v/>
      </c>
      <c r="AF522" s="16">
        <f>AC522+AD522+AE522</f>
        <v/>
      </c>
      <c r="AG522" s="16" t="n"/>
      <c r="AH522" s="17" t="n"/>
      <c r="AI522" s="17">
        <f>AH522*4</f>
        <v/>
      </c>
      <c r="AJ522" s="15">
        <f>AF522-AG522-AH522-AI522</f>
        <v/>
      </c>
      <c r="AK522" s="18" t="n">
        <v>515</v>
      </c>
      <c r="AL522" s="40" t="n"/>
    </row>
    <row r="523" ht="23.5" customHeight="1">
      <c r="A523" s="6" t="inlineStr">
        <is>
          <t>516</t>
        </is>
      </c>
      <c r="B523" s="24" t="n"/>
      <c r="C523" s="55" t="n"/>
      <c r="D523" s="19" t="n"/>
      <c r="E523" s="24" t="n"/>
      <c r="F523" s="25" t="n"/>
      <c r="G523" s="25" t="n"/>
      <c r="H523" s="25" t="n"/>
      <c r="I523" s="11" t="n"/>
      <c r="J523" s="57" t="n"/>
      <c r="K523" s="12" t="n"/>
      <c r="L523" s="22" t="n"/>
      <c r="M523" s="13" t="n"/>
      <c r="N523" s="14">
        <f>ROUND(I523*(SUM(J523:M523))*68%,0)</f>
        <v/>
      </c>
      <c r="O523" s="61" t="n"/>
      <c r="P523" s="59" t="n"/>
      <c r="Q523" s="59" t="n"/>
      <c r="R523" s="58" t="n"/>
      <c r="S523" s="15">
        <f>I523*J523</f>
        <v/>
      </c>
      <c r="T523" s="15">
        <f>SUM(S523:S523)*68%</f>
        <v/>
      </c>
      <c r="U523" s="15">
        <f>I523*K523*40%*O523</f>
        <v/>
      </c>
      <c r="V523" s="15">
        <f>IF(P523&gt;=6750,(I523*K523*40%),0)</f>
        <v/>
      </c>
      <c r="W523" s="15">
        <f>IF(P523&lt;6750,0,IF(Q523="",0,IF(OR(Q523="KURANG",Q523="SANGAT KURANG"),I523*K523*10%,I523*K523*20%)))</f>
        <v/>
      </c>
      <c r="X523" s="15">
        <f>SUM(U523:W523)*68%</f>
        <v/>
      </c>
      <c r="Y523" s="15">
        <f>I523*L523</f>
        <v/>
      </c>
      <c r="Z523" s="15">
        <f>Y523 * 68%</f>
        <v/>
      </c>
      <c r="AA523" s="15">
        <f>I523*M523</f>
        <v/>
      </c>
      <c r="AB523" s="15">
        <f>AA523*68%</f>
        <v/>
      </c>
      <c r="AC523" s="16">
        <f>ROUND((T523+X523+Z523+AB523),0)</f>
        <v/>
      </c>
      <c r="AD523" s="16">
        <f>AG523</f>
        <v/>
      </c>
      <c r="AE523" s="16">
        <f>AI523</f>
        <v/>
      </c>
      <c r="AF523" s="16">
        <f>AC523+AD523+AE523</f>
        <v/>
      </c>
      <c r="AG523" s="16" t="n"/>
      <c r="AH523" s="17" t="n"/>
      <c r="AI523" s="17">
        <f>AH523*4</f>
        <v/>
      </c>
      <c r="AJ523" s="15">
        <f>AF523-AG523-AH523-AI523</f>
        <v/>
      </c>
      <c r="AK523" s="18" t="n">
        <v>516</v>
      </c>
      <c r="AL523" s="23" t="n"/>
    </row>
    <row r="524" ht="23.5" customHeight="1">
      <c r="A524" s="6" t="inlineStr">
        <is>
          <t>517</t>
        </is>
      </c>
      <c r="B524" s="24" t="n"/>
      <c r="C524" s="55" t="n"/>
      <c r="D524" s="19" t="n"/>
      <c r="E524" s="24" t="n"/>
      <c r="F524" s="25" t="n"/>
      <c r="G524" s="25" t="n"/>
      <c r="H524" s="25" t="n"/>
      <c r="I524" s="11" t="n"/>
      <c r="J524" s="57" t="n"/>
      <c r="K524" s="12" t="n"/>
      <c r="L524" s="22" t="n"/>
      <c r="M524" s="13" t="n"/>
      <c r="N524" s="14">
        <f>ROUND(I524*(SUM(J524:M524))*68%,0)</f>
        <v/>
      </c>
      <c r="O524" s="61" t="n"/>
      <c r="P524" s="59" t="n"/>
      <c r="Q524" s="59" t="n"/>
      <c r="R524" s="58" t="n"/>
      <c r="S524" s="15">
        <f>I524*J524</f>
        <v/>
      </c>
      <c r="T524" s="15">
        <f>SUM(S524:S524)*68%</f>
        <v/>
      </c>
      <c r="U524" s="15">
        <f>I524*K524*40%*O524</f>
        <v/>
      </c>
      <c r="V524" s="15">
        <f>IF(P524&gt;=6750,(I524*K524*40%),0)</f>
        <v/>
      </c>
      <c r="W524" s="15">
        <f>IF(P524&lt;6750,0,IF(Q524="",0,IF(OR(Q524="KURANG",Q524="SANGAT KURANG"),I524*K524*10%,I524*K524*20%)))</f>
        <v/>
      </c>
      <c r="X524" s="15">
        <f>SUM(U524:W524)*68%</f>
        <v/>
      </c>
      <c r="Y524" s="15">
        <f>I524*L524</f>
        <v/>
      </c>
      <c r="Z524" s="15">
        <f>Y524 * 68%</f>
        <v/>
      </c>
      <c r="AA524" s="15">
        <f>I524*M524</f>
        <v/>
      </c>
      <c r="AB524" s="15">
        <f>AA524*68%</f>
        <v/>
      </c>
      <c r="AC524" s="16">
        <f>ROUND((T524+X524+Z524+AB524),0)</f>
        <v/>
      </c>
      <c r="AD524" s="16">
        <f>AG524</f>
        <v/>
      </c>
      <c r="AE524" s="16">
        <f>AI524</f>
        <v/>
      </c>
      <c r="AF524" s="16">
        <f>AC524+AD524+AE524</f>
        <v/>
      </c>
      <c r="AG524" s="16" t="n"/>
      <c r="AH524" s="17" t="n"/>
      <c r="AI524" s="17">
        <f>AH524*4</f>
        <v/>
      </c>
      <c r="AJ524" s="15">
        <f>AF524-AG524-AH524-AI524</f>
        <v/>
      </c>
      <c r="AK524" s="18" t="n">
        <v>517</v>
      </c>
      <c r="AL524" s="23" t="n"/>
    </row>
    <row r="525" ht="23.5" customHeight="1">
      <c r="A525" s="6" t="inlineStr">
        <is>
          <t>518</t>
        </is>
      </c>
      <c r="B525" s="24" t="n"/>
      <c r="C525" s="55" t="n"/>
      <c r="D525" s="19" t="n"/>
      <c r="E525" s="24" t="n"/>
      <c r="F525" s="25" t="n"/>
      <c r="G525" s="25" t="n"/>
      <c r="H525" s="25" t="n"/>
      <c r="I525" s="11" t="n"/>
      <c r="J525" s="57" t="n"/>
      <c r="K525" s="12" t="n"/>
      <c r="L525" s="22" t="n"/>
      <c r="M525" s="13" t="n"/>
      <c r="N525" s="14">
        <f>ROUND(I525*(SUM(J525:M525))*68%,0)</f>
        <v/>
      </c>
      <c r="O525" s="61" t="n"/>
      <c r="P525" s="59" t="n"/>
      <c r="Q525" s="59" t="n"/>
      <c r="R525" s="58" t="n"/>
      <c r="S525" s="15">
        <f>I525*J525</f>
        <v/>
      </c>
      <c r="T525" s="15">
        <f>SUM(S525:S525)*68%</f>
        <v/>
      </c>
      <c r="U525" s="15">
        <f>I525*K525*40%*O525</f>
        <v/>
      </c>
      <c r="V525" s="15">
        <f>IF(P525&gt;=6750,(I525*K525*40%),0)</f>
        <v/>
      </c>
      <c r="W525" s="15">
        <f>IF(P525&lt;6750,0,IF(Q525="",0,IF(OR(Q525="KURANG",Q525="SANGAT KURANG"),I525*K525*10%,I525*K525*20%)))</f>
        <v/>
      </c>
      <c r="X525" s="15">
        <f>SUM(U525:W525)*68%</f>
        <v/>
      </c>
      <c r="Y525" s="15">
        <f>I525*L525</f>
        <v/>
      </c>
      <c r="Z525" s="15">
        <f>Y525 * 68%</f>
        <v/>
      </c>
      <c r="AA525" s="15">
        <f>I525*M525</f>
        <v/>
      </c>
      <c r="AB525" s="15">
        <f>AA525*68%</f>
        <v/>
      </c>
      <c r="AC525" s="16">
        <f>ROUND((T525+X525+Z525+AB525),0)</f>
        <v/>
      </c>
      <c r="AD525" s="16">
        <f>AG525</f>
        <v/>
      </c>
      <c r="AE525" s="16">
        <f>AI525</f>
        <v/>
      </c>
      <c r="AF525" s="16">
        <f>AC525+AD525+AE525</f>
        <v/>
      </c>
      <c r="AG525" s="16" t="n"/>
      <c r="AH525" s="17" t="n"/>
      <c r="AI525" s="17">
        <f>AH525*4</f>
        <v/>
      </c>
      <c r="AJ525" s="15">
        <f>AF525-AG525-AH525-AI525</f>
        <v/>
      </c>
      <c r="AK525" s="18" t="n">
        <v>518</v>
      </c>
      <c r="AL525" s="40" t="n"/>
    </row>
    <row r="526" ht="23.5" customHeight="1">
      <c r="A526" s="6" t="inlineStr">
        <is>
          <t>519</t>
        </is>
      </c>
      <c r="B526" s="24" t="n"/>
      <c r="C526" s="55" t="n"/>
      <c r="D526" s="19" t="n"/>
      <c r="E526" s="24" t="n"/>
      <c r="F526" s="25" t="n"/>
      <c r="G526" s="25" t="n"/>
      <c r="H526" s="25" t="n"/>
      <c r="I526" s="11" t="n"/>
      <c r="J526" s="57" t="n"/>
      <c r="K526" s="12" t="n"/>
      <c r="L526" s="22" t="n"/>
      <c r="M526" s="13" t="n"/>
      <c r="N526" s="14">
        <f>ROUND(I526*(SUM(J526:M526))*68%,0)</f>
        <v/>
      </c>
      <c r="O526" s="61" t="n"/>
      <c r="P526" s="59" t="n"/>
      <c r="Q526" s="59" t="n"/>
      <c r="R526" s="58" t="n"/>
      <c r="S526" s="15">
        <f>I526*J526</f>
        <v/>
      </c>
      <c r="T526" s="15">
        <f>SUM(S526:S526)*68%</f>
        <v/>
      </c>
      <c r="U526" s="15">
        <f>I526*K526*40%*O526</f>
        <v/>
      </c>
      <c r="V526" s="15">
        <f>IF(P526&gt;=6750,(I526*K526*40%),0)</f>
        <v/>
      </c>
      <c r="W526" s="15">
        <f>IF(P526&lt;6750,0,IF(Q526="",0,IF(OR(Q526="KURANG",Q526="SANGAT KURANG"),I526*K526*10%,I526*K526*20%)))</f>
        <v/>
      </c>
      <c r="X526" s="15">
        <f>SUM(U526:W526)*68%</f>
        <v/>
      </c>
      <c r="Y526" s="15">
        <f>I526*L526</f>
        <v/>
      </c>
      <c r="Z526" s="15">
        <f>Y526 * 68%</f>
        <v/>
      </c>
      <c r="AA526" s="15">
        <f>I526*M526</f>
        <v/>
      </c>
      <c r="AB526" s="15">
        <f>AA526*68%</f>
        <v/>
      </c>
      <c r="AC526" s="16">
        <f>ROUND((T526+X526+Z526+AB526),0)</f>
        <v/>
      </c>
      <c r="AD526" s="16">
        <f>AG526</f>
        <v/>
      </c>
      <c r="AE526" s="16">
        <f>AI526</f>
        <v/>
      </c>
      <c r="AF526" s="16">
        <f>AC526+AD526+AE526</f>
        <v/>
      </c>
      <c r="AG526" s="16" t="n"/>
      <c r="AH526" s="17" t="n"/>
      <c r="AI526" s="17">
        <f>AH526*4</f>
        <v/>
      </c>
      <c r="AJ526" s="15">
        <f>AF526-AG526-AH526-AI526</f>
        <v/>
      </c>
      <c r="AK526" s="18" t="n">
        <v>519</v>
      </c>
      <c r="AL526" s="23" t="n"/>
    </row>
    <row r="527" ht="23.5" customHeight="1">
      <c r="A527" s="6" t="inlineStr">
        <is>
          <t>520</t>
        </is>
      </c>
      <c r="B527" s="28" t="n"/>
      <c r="C527" s="55" t="n"/>
      <c r="D527" s="19" t="n"/>
      <c r="E527" s="24" t="n"/>
      <c r="F527" s="25" t="n"/>
      <c r="G527" s="25" t="n"/>
      <c r="H527" s="25" t="n"/>
      <c r="I527" s="11" t="n"/>
      <c r="J527" s="57" t="n"/>
      <c r="K527" s="12" t="n"/>
      <c r="L527" s="22" t="n"/>
      <c r="M527" s="13" t="n"/>
      <c r="N527" s="14">
        <f>ROUND(I527*(SUM(J527:M527))*68%,0)</f>
        <v/>
      </c>
      <c r="O527" s="61" t="n"/>
      <c r="P527" s="59" t="n"/>
      <c r="Q527" s="59" t="n"/>
      <c r="R527" s="58" t="n"/>
      <c r="S527" s="15">
        <f>I527*J527</f>
        <v/>
      </c>
      <c r="T527" s="15">
        <f>SUM(S527:S527)*68%</f>
        <v/>
      </c>
      <c r="U527" s="15">
        <f>I527*K527*40%*O527</f>
        <v/>
      </c>
      <c r="V527" s="15">
        <f>IF(P527&gt;=6750,(I527*K527*40%),0)</f>
        <v/>
      </c>
      <c r="W527" s="15">
        <f>IF(P527&lt;6750,0,IF(Q527="",0,IF(OR(Q527="KURANG",Q527="SANGAT KURANG"),I527*K527*10%,I527*K527*20%)))</f>
        <v/>
      </c>
      <c r="X527" s="15">
        <f>SUM(U527:W527)*68%</f>
        <v/>
      </c>
      <c r="Y527" s="15">
        <f>I527*L527</f>
        <v/>
      </c>
      <c r="Z527" s="15">
        <f>Y527 * 68%</f>
        <v/>
      </c>
      <c r="AA527" s="15">
        <f>I527*M527</f>
        <v/>
      </c>
      <c r="AB527" s="15">
        <f>AA527*68%</f>
        <v/>
      </c>
      <c r="AC527" s="16">
        <f>ROUND((T527+X527+Z527+AB527),0)</f>
        <v/>
      </c>
      <c r="AD527" s="16">
        <f>AG527</f>
        <v/>
      </c>
      <c r="AE527" s="16">
        <f>AI527</f>
        <v/>
      </c>
      <c r="AF527" s="16">
        <f>AC527+AD527+AE527</f>
        <v/>
      </c>
      <c r="AG527" s="16" t="n"/>
      <c r="AH527" s="17" t="n"/>
      <c r="AI527" s="17">
        <f>AH527*4</f>
        <v/>
      </c>
      <c r="AJ527" s="15">
        <f>AF527-AG527-AH527-AI527</f>
        <v/>
      </c>
      <c r="AK527" s="18" t="n">
        <v>520</v>
      </c>
      <c r="AL527" s="23" t="n"/>
    </row>
    <row r="528" ht="23.5" customHeight="1">
      <c r="A528" s="6" t="inlineStr">
        <is>
          <t>521</t>
        </is>
      </c>
      <c r="B528" s="28" t="n"/>
      <c r="C528" s="55" t="n"/>
      <c r="D528" s="19" t="n"/>
      <c r="E528" s="24" t="n"/>
      <c r="F528" s="25" t="n"/>
      <c r="G528" s="25" t="n"/>
      <c r="H528" s="25" t="n"/>
      <c r="I528" s="11" t="n"/>
      <c r="J528" s="57" t="n"/>
      <c r="K528" s="12" t="n"/>
      <c r="L528" s="22" t="n"/>
      <c r="M528" s="13" t="n"/>
      <c r="N528" s="14">
        <f>ROUND(I528*(SUM(J528:M528))*68%,0)</f>
        <v/>
      </c>
      <c r="O528" s="61" t="n"/>
      <c r="P528" s="59" t="n"/>
      <c r="Q528" s="59" t="n"/>
      <c r="R528" s="58" t="n"/>
      <c r="S528" s="15">
        <f>I528*J528</f>
        <v/>
      </c>
      <c r="T528" s="15">
        <f>SUM(S528:S528)*68%</f>
        <v/>
      </c>
      <c r="U528" s="15">
        <f>I528*K528*40%*O528</f>
        <v/>
      </c>
      <c r="V528" s="15">
        <f>IF(P528&gt;=6750,(I528*K528*40%),0)</f>
        <v/>
      </c>
      <c r="W528" s="15">
        <f>IF(P528&lt;6750,0,IF(Q528="",0,IF(OR(Q528="KURANG",Q528="SANGAT KURANG"),I528*K528*10%,I528*K528*20%)))</f>
        <v/>
      </c>
      <c r="X528" s="15">
        <f>SUM(U528:W528)*68%</f>
        <v/>
      </c>
      <c r="Y528" s="15">
        <f>I528*L528</f>
        <v/>
      </c>
      <c r="Z528" s="15">
        <f>Y528 * 68%</f>
        <v/>
      </c>
      <c r="AA528" s="15">
        <f>I528*M528</f>
        <v/>
      </c>
      <c r="AB528" s="15">
        <f>AA528*68%</f>
        <v/>
      </c>
      <c r="AC528" s="16">
        <f>ROUND((T528+X528+Z528+AB528),0)</f>
        <v/>
      </c>
      <c r="AD528" s="16">
        <f>AG528</f>
        <v/>
      </c>
      <c r="AE528" s="16">
        <f>AI528</f>
        <v/>
      </c>
      <c r="AF528" s="16">
        <f>AC528+AD528+AE528</f>
        <v/>
      </c>
      <c r="AG528" s="16" t="n"/>
      <c r="AH528" s="17" t="n"/>
      <c r="AI528" s="17">
        <f>AH528*4</f>
        <v/>
      </c>
      <c r="AJ528" s="15">
        <f>AF528-AG528-AH528-AI528</f>
        <v/>
      </c>
      <c r="AK528" s="18" t="n">
        <v>521</v>
      </c>
      <c r="AL528" s="40" t="n"/>
    </row>
    <row r="529" ht="23.5" customHeight="1">
      <c r="A529" s="6" t="inlineStr">
        <is>
          <t>522</t>
        </is>
      </c>
      <c r="B529" s="24" t="n"/>
      <c r="C529" s="55" t="n"/>
      <c r="D529" s="19" t="n"/>
      <c r="E529" s="24" t="n"/>
      <c r="F529" s="25" t="n"/>
      <c r="G529" s="25" t="n"/>
      <c r="H529" s="25" t="n"/>
      <c r="I529" s="11" t="n"/>
      <c r="J529" s="57" t="n"/>
      <c r="K529" s="12" t="n"/>
      <c r="L529" s="22" t="n"/>
      <c r="M529" s="13" t="n"/>
      <c r="N529" s="14">
        <f>ROUND(I529*(SUM(J529:M529))*68%,0)</f>
        <v/>
      </c>
      <c r="O529" s="61" t="n"/>
      <c r="P529" s="59" t="n"/>
      <c r="Q529" s="59" t="n"/>
      <c r="R529" s="58" t="n"/>
      <c r="S529" s="15">
        <f>I529*J529</f>
        <v/>
      </c>
      <c r="T529" s="15">
        <f>SUM(S529:S529)*68%</f>
        <v/>
      </c>
      <c r="U529" s="15">
        <f>I529*K529*40%*O529</f>
        <v/>
      </c>
      <c r="V529" s="15">
        <f>IF(P529&gt;=6750,(I529*K529*40%),0)</f>
        <v/>
      </c>
      <c r="W529" s="15">
        <f>IF(P529&lt;6750,0,IF(Q529="",0,IF(OR(Q529="KURANG",Q529="SANGAT KURANG"),I529*K529*10%,I529*K529*20%)))</f>
        <v/>
      </c>
      <c r="X529" s="15">
        <f>SUM(U529:W529)*68%</f>
        <v/>
      </c>
      <c r="Y529" s="15">
        <f>I529*L529</f>
        <v/>
      </c>
      <c r="Z529" s="15">
        <f>Y529 * 68%</f>
        <v/>
      </c>
      <c r="AA529" s="15">
        <f>I529*M529</f>
        <v/>
      </c>
      <c r="AB529" s="15">
        <f>AA529*68%</f>
        <v/>
      </c>
      <c r="AC529" s="16">
        <f>ROUND((T529+X529+Z529+AB529),0)</f>
        <v/>
      </c>
      <c r="AD529" s="16">
        <f>AG529</f>
        <v/>
      </c>
      <c r="AE529" s="16">
        <f>AI529</f>
        <v/>
      </c>
      <c r="AF529" s="16">
        <f>AC529+AD529+AE529</f>
        <v/>
      </c>
      <c r="AG529" s="16" t="n"/>
      <c r="AH529" s="17" t="n"/>
      <c r="AI529" s="17">
        <f>AH529*4</f>
        <v/>
      </c>
      <c r="AJ529" s="15">
        <f>AF529-AG529-AH529-AI529</f>
        <v/>
      </c>
      <c r="AK529" s="18" t="n">
        <v>522</v>
      </c>
      <c r="AL529" s="23" t="n"/>
    </row>
    <row r="530" ht="23.5" customHeight="1">
      <c r="A530" s="6" t="inlineStr">
        <is>
          <t>523</t>
        </is>
      </c>
      <c r="B530" s="24" t="n"/>
      <c r="C530" s="55" t="n"/>
      <c r="D530" s="19" t="n"/>
      <c r="E530" s="24" t="n"/>
      <c r="F530" s="25" t="n"/>
      <c r="G530" s="25" t="n"/>
      <c r="H530" s="25" t="n"/>
      <c r="I530" s="11" t="n"/>
      <c r="J530" s="57" t="n"/>
      <c r="K530" s="12" t="n"/>
      <c r="L530" s="22" t="n"/>
      <c r="M530" s="13" t="n"/>
      <c r="N530" s="14">
        <f>ROUND(I530*(SUM(J530:M530))*68%,0)</f>
        <v/>
      </c>
      <c r="O530" s="61" t="n"/>
      <c r="P530" s="59" t="n"/>
      <c r="Q530" s="59" t="n"/>
      <c r="R530" s="58" t="n"/>
      <c r="S530" s="15">
        <f>I530*J530</f>
        <v/>
      </c>
      <c r="T530" s="15">
        <f>SUM(S530:S530)*68%</f>
        <v/>
      </c>
      <c r="U530" s="15">
        <f>I530*K530*40%*O530</f>
        <v/>
      </c>
      <c r="V530" s="15">
        <f>IF(P530&gt;=6750,(I530*K530*40%),0)</f>
        <v/>
      </c>
      <c r="W530" s="15">
        <f>IF(P530&lt;6750,0,IF(Q530="",0,IF(OR(Q530="KURANG",Q530="SANGAT KURANG"),I530*K530*10%,I530*K530*20%)))</f>
        <v/>
      </c>
      <c r="X530" s="15">
        <f>SUM(U530:W530)*68%</f>
        <v/>
      </c>
      <c r="Y530" s="15">
        <f>I530*L530</f>
        <v/>
      </c>
      <c r="Z530" s="15">
        <f>Y530 * 68%</f>
        <v/>
      </c>
      <c r="AA530" s="15">
        <f>I530*M530</f>
        <v/>
      </c>
      <c r="AB530" s="15">
        <f>AA530*68%</f>
        <v/>
      </c>
      <c r="AC530" s="16">
        <f>ROUND((T530+X530+Z530+AB530),0)</f>
        <v/>
      </c>
      <c r="AD530" s="16">
        <f>AG530</f>
        <v/>
      </c>
      <c r="AE530" s="16">
        <f>AI530</f>
        <v/>
      </c>
      <c r="AF530" s="16">
        <f>AC530+AD530+AE530</f>
        <v/>
      </c>
      <c r="AG530" s="16" t="n"/>
      <c r="AH530" s="17" t="n"/>
      <c r="AI530" s="17">
        <f>AH530*4</f>
        <v/>
      </c>
      <c r="AJ530" s="15">
        <f>AF530-AG530-AH530-AI530</f>
        <v/>
      </c>
      <c r="AK530" s="18" t="n">
        <v>523</v>
      </c>
      <c r="AL530" s="23" t="n"/>
    </row>
    <row r="531" ht="23.5" customHeight="1">
      <c r="A531" s="6" t="inlineStr">
        <is>
          <t>524</t>
        </is>
      </c>
      <c r="B531" s="24" t="n"/>
      <c r="C531" s="55" t="n"/>
      <c r="D531" s="19" t="n"/>
      <c r="E531" s="24" t="n"/>
      <c r="F531" s="25" t="n"/>
      <c r="G531" s="25" t="n"/>
      <c r="H531" s="25" t="n"/>
      <c r="I531" s="11" t="n"/>
      <c r="J531" s="57" t="n"/>
      <c r="K531" s="12" t="n"/>
      <c r="L531" s="22" t="n"/>
      <c r="M531" s="13" t="n"/>
      <c r="N531" s="14">
        <f>ROUND(I531*(SUM(J531:M531))*68%,0)</f>
        <v/>
      </c>
      <c r="O531" s="61" t="n"/>
      <c r="P531" s="59" t="n"/>
      <c r="Q531" s="59" t="n"/>
      <c r="R531" s="58" t="n"/>
      <c r="S531" s="15">
        <f>I531*J531</f>
        <v/>
      </c>
      <c r="T531" s="15">
        <f>SUM(S531:S531)*68%</f>
        <v/>
      </c>
      <c r="U531" s="15">
        <f>I531*K531*40%*O531</f>
        <v/>
      </c>
      <c r="V531" s="15">
        <f>IF(P531&gt;=6750,(I531*K531*40%),0)</f>
        <v/>
      </c>
      <c r="W531" s="15">
        <f>IF(P531&lt;6750,0,IF(Q531="",0,IF(OR(Q531="KURANG",Q531="SANGAT KURANG"),I531*K531*10%,I531*K531*20%)))</f>
        <v/>
      </c>
      <c r="X531" s="15">
        <f>SUM(U531:W531)*68%</f>
        <v/>
      </c>
      <c r="Y531" s="15">
        <f>I531*L531</f>
        <v/>
      </c>
      <c r="Z531" s="15">
        <f>Y531 * 68%</f>
        <v/>
      </c>
      <c r="AA531" s="15">
        <f>I531*M531</f>
        <v/>
      </c>
      <c r="AB531" s="15">
        <f>AA531*68%</f>
        <v/>
      </c>
      <c r="AC531" s="16">
        <f>ROUND((T531+X531+Z531+AB531),0)</f>
        <v/>
      </c>
      <c r="AD531" s="16">
        <f>AG531</f>
        <v/>
      </c>
      <c r="AE531" s="16">
        <f>AI531</f>
        <v/>
      </c>
      <c r="AF531" s="16">
        <f>AC531+AD531+AE531</f>
        <v/>
      </c>
      <c r="AG531" s="16" t="n"/>
      <c r="AH531" s="17" t="n"/>
      <c r="AI531" s="17">
        <f>AH531*4</f>
        <v/>
      </c>
      <c r="AJ531" s="15">
        <f>AF531-AG531-AH531-AI531</f>
        <v/>
      </c>
      <c r="AK531" s="18" t="n">
        <v>524</v>
      </c>
      <c r="AL531" s="40" t="n"/>
    </row>
    <row r="532" ht="23.5" customHeight="1">
      <c r="A532" s="6" t="inlineStr">
        <is>
          <t>525</t>
        </is>
      </c>
      <c r="B532" s="24" t="n"/>
      <c r="C532" s="55" t="n"/>
      <c r="D532" s="19" t="n"/>
      <c r="E532" s="24" t="n"/>
      <c r="F532" s="25" t="n"/>
      <c r="G532" s="25" t="n"/>
      <c r="H532" s="25" t="n"/>
      <c r="I532" s="11" t="n"/>
      <c r="J532" s="57" t="n"/>
      <c r="K532" s="12" t="n"/>
      <c r="L532" s="22" t="n"/>
      <c r="M532" s="13" t="n"/>
      <c r="N532" s="14">
        <f>ROUND(I532*(SUM(J532:M532))*68%,0)</f>
        <v/>
      </c>
      <c r="O532" s="61" t="n"/>
      <c r="P532" s="59" t="n"/>
      <c r="Q532" s="59" t="n"/>
      <c r="R532" s="58" t="n"/>
      <c r="S532" s="15">
        <f>I532*J532</f>
        <v/>
      </c>
      <c r="T532" s="15">
        <f>SUM(S532:S532)*68%</f>
        <v/>
      </c>
      <c r="U532" s="15">
        <f>I532*K532*40%*O532</f>
        <v/>
      </c>
      <c r="V532" s="15">
        <f>IF(P532&gt;=6750,(I532*K532*40%),0)</f>
        <v/>
      </c>
      <c r="W532" s="15">
        <f>IF(P532&lt;6750,0,IF(Q532="",0,IF(OR(Q532="KURANG",Q532="SANGAT KURANG"),I532*K532*10%,I532*K532*20%)))</f>
        <v/>
      </c>
      <c r="X532" s="15">
        <f>SUM(U532:W532)*68%</f>
        <v/>
      </c>
      <c r="Y532" s="15">
        <f>I532*L532</f>
        <v/>
      </c>
      <c r="Z532" s="15">
        <f>Y532 * 68%</f>
        <v/>
      </c>
      <c r="AA532" s="15">
        <f>I532*M532</f>
        <v/>
      </c>
      <c r="AB532" s="15">
        <f>AA532*68%</f>
        <v/>
      </c>
      <c r="AC532" s="16">
        <f>ROUND((T532+X532+Z532+AB532),0)</f>
        <v/>
      </c>
      <c r="AD532" s="16">
        <f>AG532</f>
        <v/>
      </c>
      <c r="AE532" s="16">
        <f>AI532</f>
        <v/>
      </c>
      <c r="AF532" s="16">
        <f>AC532+AD532+AE532</f>
        <v/>
      </c>
      <c r="AG532" s="16" t="n"/>
      <c r="AH532" s="17" t="n"/>
      <c r="AI532" s="17">
        <f>AH532*4</f>
        <v/>
      </c>
      <c r="AJ532" s="15">
        <f>AF532-AG532-AH532-AI532</f>
        <v/>
      </c>
      <c r="AK532" s="18" t="n">
        <v>525</v>
      </c>
      <c r="AL532" s="23" t="n"/>
    </row>
    <row r="533" ht="23.5" customHeight="1">
      <c r="A533" s="6" t="inlineStr">
        <is>
          <t>526</t>
        </is>
      </c>
      <c r="B533" s="24" t="n"/>
      <c r="C533" s="55" t="n"/>
      <c r="D533" s="19" t="n"/>
      <c r="E533" s="24" t="n"/>
      <c r="F533" s="25" t="n"/>
      <c r="G533" s="25" t="n"/>
      <c r="H533" s="25" t="n"/>
      <c r="I533" s="11" t="n"/>
      <c r="J533" s="57" t="n"/>
      <c r="K533" s="12" t="n"/>
      <c r="L533" s="22" t="n"/>
      <c r="M533" s="13" t="n"/>
      <c r="N533" s="14">
        <f>ROUND(I533*(SUM(J533:M533))*68%,0)</f>
        <v/>
      </c>
      <c r="O533" s="61" t="n"/>
      <c r="P533" s="59" t="n"/>
      <c r="Q533" s="59" t="n"/>
      <c r="R533" s="58" t="n"/>
      <c r="S533" s="15">
        <f>I533*J533</f>
        <v/>
      </c>
      <c r="T533" s="15">
        <f>SUM(S533:S533)*68%</f>
        <v/>
      </c>
      <c r="U533" s="15">
        <f>I533*K533*40%*O533</f>
        <v/>
      </c>
      <c r="V533" s="15">
        <f>IF(P533&gt;=6750,(I533*K533*40%),0)</f>
        <v/>
      </c>
      <c r="W533" s="15">
        <f>IF(P533&lt;6750,0,IF(Q533="",0,IF(OR(Q533="KURANG",Q533="SANGAT KURANG"),I533*K533*10%,I533*K533*20%)))</f>
        <v/>
      </c>
      <c r="X533" s="15">
        <f>SUM(U533:W533)*68%</f>
        <v/>
      </c>
      <c r="Y533" s="15">
        <f>I533*L533</f>
        <v/>
      </c>
      <c r="Z533" s="15">
        <f>Y533 * 68%</f>
        <v/>
      </c>
      <c r="AA533" s="15">
        <f>I533*M533</f>
        <v/>
      </c>
      <c r="AB533" s="15">
        <f>AA533*68%</f>
        <v/>
      </c>
      <c r="AC533" s="16">
        <f>ROUND((T533+X533+Z533+AB533),0)</f>
        <v/>
      </c>
      <c r="AD533" s="16">
        <f>AG533</f>
        <v/>
      </c>
      <c r="AE533" s="16">
        <f>AI533</f>
        <v/>
      </c>
      <c r="AF533" s="16">
        <f>AC533+AD533+AE533</f>
        <v/>
      </c>
      <c r="AG533" s="16" t="n"/>
      <c r="AH533" s="17" t="n"/>
      <c r="AI533" s="17">
        <f>AH533*4</f>
        <v/>
      </c>
      <c r="AJ533" s="15">
        <f>AF533-AG533-AH533-AI533</f>
        <v/>
      </c>
      <c r="AK533" s="18" t="n">
        <v>526</v>
      </c>
      <c r="AL533" s="23" t="n"/>
    </row>
    <row r="534" ht="23.5" customHeight="1">
      <c r="A534" s="6" t="inlineStr">
        <is>
          <t>527</t>
        </is>
      </c>
      <c r="B534" s="24" t="n"/>
      <c r="C534" s="55" t="n"/>
      <c r="D534" s="19" t="n"/>
      <c r="E534" s="24" t="n"/>
      <c r="F534" s="25" t="n"/>
      <c r="G534" s="25" t="n"/>
      <c r="H534" s="25" t="n"/>
      <c r="I534" s="11" t="n"/>
      <c r="J534" s="57" t="n"/>
      <c r="K534" s="12" t="n"/>
      <c r="L534" s="22" t="n"/>
      <c r="M534" s="13" t="n"/>
      <c r="N534" s="14">
        <f>ROUND(I534*(SUM(J534:M534))*68%,0)</f>
        <v/>
      </c>
      <c r="O534" s="61" t="n"/>
      <c r="P534" s="59" t="n"/>
      <c r="Q534" s="59" t="n"/>
      <c r="R534" s="58" t="n"/>
      <c r="S534" s="15">
        <f>I534*J534</f>
        <v/>
      </c>
      <c r="T534" s="15">
        <f>SUM(S534:S534)*68%</f>
        <v/>
      </c>
      <c r="U534" s="15">
        <f>I534*K534*40%*O534</f>
        <v/>
      </c>
      <c r="V534" s="15">
        <f>IF(P534&gt;=6750,(I534*K534*40%),0)</f>
        <v/>
      </c>
      <c r="W534" s="15">
        <f>IF(P534&lt;6750,0,IF(Q534="",0,IF(OR(Q534="KURANG",Q534="SANGAT KURANG"),I534*K534*10%,I534*K534*20%)))</f>
        <v/>
      </c>
      <c r="X534" s="15">
        <f>SUM(U534:W534)*68%</f>
        <v/>
      </c>
      <c r="Y534" s="15">
        <f>I534*L534</f>
        <v/>
      </c>
      <c r="Z534" s="15">
        <f>Y534 * 68%</f>
        <v/>
      </c>
      <c r="AA534" s="15">
        <f>I534*M534</f>
        <v/>
      </c>
      <c r="AB534" s="15">
        <f>AA534*68%</f>
        <v/>
      </c>
      <c r="AC534" s="16">
        <f>ROUND((T534+X534+Z534+AB534),0)</f>
        <v/>
      </c>
      <c r="AD534" s="16">
        <f>AG534</f>
        <v/>
      </c>
      <c r="AE534" s="16">
        <f>AI534</f>
        <v/>
      </c>
      <c r="AF534" s="16">
        <f>AC534+AD534+AE534</f>
        <v/>
      </c>
      <c r="AG534" s="16" t="n"/>
      <c r="AH534" s="17" t="n"/>
      <c r="AI534" s="17">
        <f>AH534*4</f>
        <v/>
      </c>
      <c r="AJ534" s="15">
        <f>AF534-AG534-AH534-AI534</f>
        <v/>
      </c>
      <c r="AK534" s="18" t="n">
        <v>527</v>
      </c>
      <c r="AL534" s="40" t="n"/>
    </row>
    <row r="535" ht="23.5" customHeight="1">
      <c r="A535" s="6" t="inlineStr">
        <is>
          <t>528</t>
        </is>
      </c>
      <c r="B535" s="28" t="n"/>
      <c r="C535" s="55" t="n"/>
      <c r="D535" s="19" t="n"/>
      <c r="E535" s="24" t="n"/>
      <c r="F535" s="25" t="n"/>
      <c r="G535" s="25" t="n"/>
      <c r="H535" s="25" t="n"/>
      <c r="I535" s="11" t="n"/>
      <c r="J535" s="57" t="n"/>
      <c r="K535" s="12" t="n"/>
      <c r="L535" s="22" t="n"/>
      <c r="M535" s="13" t="n"/>
      <c r="N535" s="14">
        <f>ROUND(I535*(SUM(J535:M535))*68%,0)</f>
        <v/>
      </c>
      <c r="O535" s="61" t="n"/>
      <c r="P535" s="59" t="n"/>
      <c r="Q535" s="59" t="n"/>
      <c r="R535" s="58" t="n"/>
      <c r="S535" s="15">
        <f>I535*J535</f>
        <v/>
      </c>
      <c r="T535" s="15">
        <f>SUM(S535:S535)*68%</f>
        <v/>
      </c>
      <c r="U535" s="15">
        <f>I535*K535*40%*O535</f>
        <v/>
      </c>
      <c r="V535" s="15">
        <f>IF(P535&gt;=6750,(I535*K535*40%),0)</f>
        <v/>
      </c>
      <c r="W535" s="15">
        <f>IF(P535&lt;6750,0,IF(Q535="",0,IF(OR(Q535="KURANG",Q535="SANGAT KURANG"),I535*K535*10%,I535*K535*20%)))</f>
        <v/>
      </c>
      <c r="X535" s="15">
        <f>SUM(U535:W535)*68%</f>
        <v/>
      </c>
      <c r="Y535" s="15">
        <f>I535*L535</f>
        <v/>
      </c>
      <c r="Z535" s="15">
        <f>Y535 * 68%</f>
        <v/>
      </c>
      <c r="AA535" s="15">
        <f>I535*M535</f>
        <v/>
      </c>
      <c r="AB535" s="15">
        <f>AA535*68%</f>
        <v/>
      </c>
      <c r="AC535" s="16">
        <f>ROUND((T535+X535+Z535+AB535),0)</f>
        <v/>
      </c>
      <c r="AD535" s="16">
        <f>AG535</f>
        <v/>
      </c>
      <c r="AE535" s="16">
        <f>AI535</f>
        <v/>
      </c>
      <c r="AF535" s="16">
        <f>AC535+AD535+AE535</f>
        <v/>
      </c>
      <c r="AG535" s="16" t="n"/>
      <c r="AH535" s="17" t="n"/>
      <c r="AI535" s="17">
        <f>AH535*4</f>
        <v/>
      </c>
      <c r="AJ535" s="15">
        <f>AF535-AG535-AH535-AI535</f>
        <v/>
      </c>
      <c r="AK535" s="18" t="n">
        <v>528</v>
      </c>
      <c r="AL535" s="23" t="n"/>
    </row>
    <row r="536" ht="23.5" customHeight="1">
      <c r="A536" s="6" t="inlineStr">
        <is>
          <t>529</t>
        </is>
      </c>
      <c r="B536" s="28" t="n"/>
      <c r="C536" s="55" t="n"/>
      <c r="D536" s="19" t="n"/>
      <c r="E536" s="24" t="n"/>
      <c r="F536" s="25" t="n"/>
      <c r="G536" s="25" t="n"/>
      <c r="H536" s="25" t="n"/>
      <c r="I536" s="11" t="n"/>
      <c r="J536" s="57" t="n"/>
      <c r="K536" s="12" t="n"/>
      <c r="L536" s="22" t="n"/>
      <c r="M536" s="13" t="n"/>
      <c r="N536" s="14">
        <f>ROUND(I536*(SUM(J536:M536))*68%,0)</f>
        <v/>
      </c>
      <c r="O536" s="61" t="n"/>
      <c r="P536" s="59" t="n"/>
      <c r="Q536" s="59" t="n"/>
      <c r="R536" s="58" t="n"/>
      <c r="S536" s="15">
        <f>I536*J536</f>
        <v/>
      </c>
      <c r="T536" s="15">
        <f>SUM(S536:S536)*68%</f>
        <v/>
      </c>
      <c r="U536" s="15">
        <f>I536*K536*40%*O536</f>
        <v/>
      </c>
      <c r="V536" s="15">
        <f>IF(P536&gt;=6750,(I536*K536*40%),0)</f>
        <v/>
      </c>
      <c r="W536" s="15">
        <f>IF(P536&lt;6750,0,IF(Q536="",0,IF(OR(Q536="KURANG",Q536="SANGAT KURANG"),I536*K536*10%,I536*K536*20%)))</f>
        <v/>
      </c>
      <c r="X536" s="15">
        <f>SUM(U536:W536)*68%</f>
        <v/>
      </c>
      <c r="Y536" s="15">
        <f>I536*L536</f>
        <v/>
      </c>
      <c r="Z536" s="15">
        <f>Y536 * 68%</f>
        <v/>
      </c>
      <c r="AA536" s="15">
        <f>I536*M536</f>
        <v/>
      </c>
      <c r="AB536" s="15">
        <f>AA536*68%</f>
        <v/>
      </c>
      <c r="AC536" s="16">
        <f>ROUND((T536+X536+Z536+AB536),0)</f>
        <v/>
      </c>
      <c r="AD536" s="16">
        <f>AG536</f>
        <v/>
      </c>
      <c r="AE536" s="16">
        <f>AI536</f>
        <v/>
      </c>
      <c r="AF536" s="16">
        <f>AC536+AD536+AE536</f>
        <v/>
      </c>
      <c r="AG536" s="16" t="n"/>
      <c r="AH536" s="17" t="n"/>
      <c r="AI536" s="17">
        <f>AH536*4</f>
        <v/>
      </c>
      <c r="AJ536" s="15">
        <f>AF536-AG536-AH536-AI536</f>
        <v/>
      </c>
      <c r="AK536" s="18" t="n">
        <v>529</v>
      </c>
      <c r="AL536" s="23" t="n"/>
    </row>
    <row r="537" ht="23.5" customHeight="1">
      <c r="A537" s="6" t="inlineStr">
        <is>
          <t>530</t>
        </is>
      </c>
      <c r="B537" s="24" t="n"/>
      <c r="C537" s="55" t="n"/>
      <c r="D537" s="19" t="n"/>
      <c r="E537" s="24" t="n"/>
      <c r="F537" s="25" t="n"/>
      <c r="G537" s="25" t="n"/>
      <c r="H537" s="25" t="n"/>
      <c r="I537" s="11" t="n"/>
      <c r="J537" s="57" t="n"/>
      <c r="K537" s="12" t="n"/>
      <c r="L537" s="22" t="n"/>
      <c r="M537" s="13" t="n"/>
      <c r="N537" s="14">
        <f>ROUND(I537*(SUM(J537:M537))*68%,0)</f>
        <v/>
      </c>
      <c r="O537" s="61" t="n"/>
      <c r="P537" s="59" t="n"/>
      <c r="Q537" s="59" t="n"/>
      <c r="R537" s="58" t="n"/>
      <c r="S537" s="15">
        <f>I537*J537</f>
        <v/>
      </c>
      <c r="T537" s="15">
        <f>SUM(S537:S537)*68%</f>
        <v/>
      </c>
      <c r="U537" s="15">
        <f>I537*K537*40%*O537</f>
        <v/>
      </c>
      <c r="V537" s="15">
        <f>IF(P537&gt;=6750,(I537*K537*40%),0)</f>
        <v/>
      </c>
      <c r="W537" s="15">
        <f>IF(P537&lt;6750,0,IF(Q537="",0,IF(OR(Q537="KURANG",Q537="SANGAT KURANG"),I537*K537*10%,I537*K537*20%)))</f>
        <v/>
      </c>
      <c r="X537" s="15">
        <f>SUM(U537:W537)*68%</f>
        <v/>
      </c>
      <c r="Y537" s="15">
        <f>I537*L537</f>
        <v/>
      </c>
      <c r="Z537" s="15">
        <f>Y537 * 68%</f>
        <v/>
      </c>
      <c r="AA537" s="15">
        <f>I537*M537</f>
        <v/>
      </c>
      <c r="AB537" s="15">
        <f>AA537*68%</f>
        <v/>
      </c>
      <c r="AC537" s="16">
        <f>ROUND((T537+X537+Z537+AB537),0)</f>
        <v/>
      </c>
      <c r="AD537" s="16">
        <f>AG537</f>
        <v/>
      </c>
      <c r="AE537" s="16">
        <f>AI537</f>
        <v/>
      </c>
      <c r="AF537" s="16">
        <f>AC537+AD537+AE537</f>
        <v/>
      </c>
      <c r="AG537" s="16" t="n"/>
      <c r="AH537" s="17" t="n"/>
      <c r="AI537" s="17">
        <f>AH537*4</f>
        <v/>
      </c>
      <c r="AJ537" s="15">
        <f>AF537-AG537-AH537-AI537</f>
        <v/>
      </c>
      <c r="AK537" s="18" t="n">
        <v>530</v>
      </c>
      <c r="AL537" s="40" t="n"/>
    </row>
    <row r="538" ht="23.5" customHeight="1">
      <c r="A538" s="6" t="inlineStr">
        <is>
          <t>531</t>
        </is>
      </c>
      <c r="B538" s="24" t="n"/>
      <c r="C538" s="55" t="n"/>
      <c r="D538" s="19" t="n"/>
      <c r="E538" s="24" t="n"/>
      <c r="F538" s="25" t="n"/>
      <c r="G538" s="25" t="n"/>
      <c r="H538" s="25" t="n"/>
      <c r="I538" s="11" t="n"/>
      <c r="J538" s="57" t="n"/>
      <c r="K538" s="12" t="n"/>
      <c r="L538" s="22" t="n"/>
      <c r="M538" s="13" t="n"/>
      <c r="N538" s="14">
        <f>ROUND(I538*(SUM(J538:M538))*68%,0)</f>
        <v/>
      </c>
      <c r="O538" s="61" t="n"/>
      <c r="P538" s="59" t="n"/>
      <c r="Q538" s="59" t="n"/>
      <c r="R538" s="58" t="n"/>
      <c r="S538" s="15">
        <f>I538*J538</f>
        <v/>
      </c>
      <c r="T538" s="15">
        <f>SUM(S538:S538)*68%</f>
        <v/>
      </c>
      <c r="U538" s="15">
        <f>I538*K538*40%*O538</f>
        <v/>
      </c>
      <c r="V538" s="15">
        <f>IF(P538&gt;=6750,(I538*K538*40%),0)</f>
        <v/>
      </c>
      <c r="W538" s="15">
        <f>IF(P538&lt;6750,0,IF(Q538="",0,IF(OR(Q538="KURANG",Q538="SANGAT KURANG"),I538*K538*10%,I538*K538*20%)))</f>
        <v/>
      </c>
      <c r="X538" s="15">
        <f>SUM(U538:W538)*68%</f>
        <v/>
      </c>
      <c r="Y538" s="15">
        <f>I538*L538</f>
        <v/>
      </c>
      <c r="Z538" s="15">
        <f>Y538 * 68%</f>
        <v/>
      </c>
      <c r="AA538" s="15">
        <f>I538*M538</f>
        <v/>
      </c>
      <c r="AB538" s="15">
        <f>AA538*68%</f>
        <v/>
      </c>
      <c r="AC538" s="16">
        <f>ROUND((T538+X538+Z538+AB538),0)</f>
        <v/>
      </c>
      <c r="AD538" s="16">
        <f>AG538</f>
        <v/>
      </c>
      <c r="AE538" s="16">
        <f>AI538</f>
        <v/>
      </c>
      <c r="AF538" s="16">
        <f>AC538+AD538+AE538</f>
        <v/>
      </c>
      <c r="AG538" s="16" t="n"/>
      <c r="AH538" s="17" t="n"/>
      <c r="AI538" s="17">
        <f>AH538*4</f>
        <v/>
      </c>
      <c r="AJ538" s="15">
        <f>AF538-AG538-AH538-AI538</f>
        <v/>
      </c>
      <c r="AK538" s="18" t="n">
        <v>531</v>
      </c>
      <c r="AL538" s="23" t="n"/>
    </row>
    <row r="539" ht="23.5" customHeight="1">
      <c r="A539" s="6" t="inlineStr">
        <is>
          <t>532</t>
        </is>
      </c>
      <c r="B539" s="24" t="n"/>
      <c r="C539" s="55" t="n"/>
      <c r="D539" s="19" t="n"/>
      <c r="E539" s="24" t="n"/>
      <c r="F539" s="25" t="n"/>
      <c r="G539" s="25" t="n"/>
      <c r="H539" s="25" t="n"/>
      <c r="I539" s="11" t="n"/>
      <c r="J539" s="57" t="n"/>
      <c r="K539" s="12" t="n"/>
      <c r="L539" s="22" t="n"/>
      <c r="M539" s="13" t="n"/>
      <c r="N539" s="14">
        <f>ROUND(I539*(SUM(J539:M539))*68%,0)</f>
        <v/>
      </c>
      <c r="O539" s="61" t="n"/>
      <c r="P539" s="59" t="n"/>
      <c r="Q539" s="59" t="n"/>
      <c r="R539" s="58" t="n"/>
      <c r="S539" s="15">
        <f>I539*J539</f>
        <v/>
      </c>
      <c r="T539" s="15">
        <f>SUM(S539:S539)*68%</f>
        <v/>
      </c>
      <c r="U539" s="15">
        <f>I539*K539*40%*O539</f>
        <v/>
      </c>
      <c r="V539" s="15">
        <f>IF(P539&gt;=6750,(I539*K539*40%),0)</f>
        <v/>
      </c>
      <c r="W539" s="15">
        <f>IF(P539&lt;6750,0,IF(Q539="",0,IF(OR(Q539="KURANG",Q539="SANGAT KURANG"),I539*K539*10%,I539*K539*20%)))</f>
        <v/>
      </c>
      <c r="X539" s="15">
        <f>SUM(U539:W539)*68%</f>
        <v/>
      </c>
      <c r="Y539" s="15">
        <f>I539*L539</f>
        <v/>
      </c>
      <c r="Z539" s="15">
        <f>Y539 * 68%</f>
        <v/>
      </c>
      <c r="AA539" s="15">
        <f>I539*M539</f>
        <v/>
      </c>
      <c r="AB539" s="15">
        <f>AA539*68%</f>
        <v/>
      </c>
      <c r="AC539" s="16">
        <f>ROUND((T539+X539+Z539+AB539),0)</f>
        <v/>
      </c>
      <c r="AD539" s="16">
        <f>AG539</f>
        <v/>
      </c>
      <c r="AE539" s="16">
        <f>AI539</f>
        <v/>
      </c>
      <c r="AF539" s="16">
        <f>AC539+AD539+AE539</f>
        <v/>
      </c>
      <c r="AG539" s="16" t="n"/>
      <c r="AH539" s="17" t="n"/>
      <c r="AI539" s="17">
        <f>AH539*4</f>
        <v/>
      </c>
      <c r="AJ539" s="15">
        <f>AF539-AG539-AH539-AI539</f>
        <v/>
      </c>
      <c r="AK539" s="18" t="n">
        <v>532</v>
      </c>
      <c r="AL539" s="23" t="n"/>
    </row>
    <row r="540" ht="23.5" customHeight="1">
      <c r="A540" s="6" t="inlineStr">
        <is>
          <t>533</t>
        </is>
      </c>
      <c r="B540" s="24" t="n"/>
      <c r="C540" s="55" t="n"/>
      <c r="D540" s="19" t="n"/>
      <c r="E540" s="24" t="n"/>
      <c r="F540" s="25" t="n"/>
      <c r="G540" s="25" t="n"/>
      <c r="H540" s="25" t="n"/>
      <c r="I540" s="11" t="n"/>
      <c r="J540" s="57" t="n"/>
      <c r="K540" s="12" t="n"/>
      <c r="L540" s="22" t="n"/>
      <c r="M540" s="13" t="n"/>
      <c r="N540" s="14">
        <f>ROUND(I540*(SUM(J540:M540))*68%,0)</f>
        <v/>
      </c>
      <c r="O540" s="61" t="n"/>
      <c r="P540" s="59" t="n"/>
      <c r="Q540" s="59" t="n"/>
      <c r="R540" s="58" t="n"/>
      <c r="S540" s="15">
        <f>I540*J540</f>
        <v/>
      </c>
      <c r="T540" s="15">
        <f>SUM(S540:S540)*68%</f>
        <v/>
      </c>
      <c r="U540" s="15">
        <f>I540*K540*40%*O540</f>
        <v/>
      </c>
      <c r="V540" s="15">
        <f>IF(P540&gt;=6750,(I540*K540*40%),0)</f>
        <v/>
      </c>
      <c r="W540" s="15">
        <f>IF(P540&lt;6750,0,IF(Q540="",0,IF(OR(Q540="KURANG",Q540="SANGAT KURANG"),I540*K540*10%,I540*K540*20%)))</f>
        <v/>
      </c>
      <c r="X540" s="15">
        <f>SUM(U540:W540)*68%</f>
        <v/>
      </c>
      <c r="Y540" s="15">
        <f>I540*L540</f>
        <v/>
      </c>
      <c r="Z540" s="15">
        <f>Y540 * 68%</f>
        <v/>
      </c>
      <c r="AA540" s="15">
        <f>I540*M540</f>
        <v/>
      </c>
      <c r="AB540" s="15">
        <f>AA540*68%</f>
        <v/>
      </c>
      <c r="AC540" s="16">
        <f>ROUND((T540+X540+Z540+AB540),0)</f>
        <v/>
      </c>
      <c r="AD540" s="16">
        <f>AG540</f>
        <v/>
      </c>
      <c r="AE540" s="16">
        <f>AI540</f>
        <v/>
      </c>
      <c r="AF540" s="16">
        <f>AC540+AD540+AE540</f>
        <v/>
      </c>
      <c r="AG540" s="16" t="n"/>
      <c r="AH540" s="17" t="n"/>
      <c r="AI540" s="17">
        <f>AH540*4</f>
        <v/>
      </c>
      <c r="AJ540" s="15">
        <f>AF540-AG540-AH540-AI540</f>
        <v/>
      </c>
      <c r="AK540" s="18" t="n">
        <v>533</v>
      </c>
      <c r="AL540" s="40" t="n"/>
    </row>
    <row r="541" ht="23.5" customHeight="1">
      <c r="A541" s="6" t="inlineStr">
        <is>
          <t>534</t>
        </is>
      </c>
      <c r="B541" s="24" t="n"/>
      <c r="C541" s="55" t="n"/>
      <c r="D541" s="19" t="n"/>
      <c r="E541" s="24" t="n"/>
      <c r="F541" s="25" t="n"/>
      <c r="G541" s="25" t="n"/>
      <c r="H541" s="25" t="n"/>
      <c r="I541" s="11" t="n"/>
      <c r="J541" s="57" t="n"/>
      <c r="K541" s="12" t="n"/>
      <c r="L541" s="22" t="n"/>
      <c r="M541" s="13" t="n"/>
      <c r="N541" s="14">
        <f>ROUND(I541*(SUM(J541:M541))*68%,0)</f>
        <v/>
      </c>
      <c r="O541" s="61" t="n"/>
      <c r="P541" s="59" t="n"/>
      <c r="Q541" s="59" t="n"/>
      <c r="R541" s="58" t="n"/>
      <c r="S541" s="15">
        <f>I541*J541</f>
        <v/>
      </c>
      <c r="T541" s="15">
        <f>SUM(S541:S541)*68%</f>
        <v/>
      </c>
      <c r="U541" s="15">
        <f>I541*K541*40%*O541</f>
        <v/>
      </c>
      <c r="V541" s="15">
        <f>IF(P541&gt;=6750,(I541*K541*40%),0)</f>
        <v/>
      </c>
      <c r="W541" s="15">
        <f>IF(P541&lt;6750,0,IF(Q541="",0,IF(OR(Q541="KURANG",Q541="SANGAT KURANG"),I541*K541*10%,I541*K541*20%)))</f>
        <v/>
      </c>
      <c r="X541" s="15">
        <f>SUM(U541:W541)*68%</f>
        <v/>
      </c>
      <c r="Y541" s="15">
        <f>I541*L541</f>
        <v/>
      </c>
      <c r="Z541" s="15">
        <f>Y541 * 68%</f>
        <v/>
      </c>
      <c r="AA541" s="15">
        <f>I541*M541</f>
        <v/>
      </c>
      <c r="AB541" s="15">
        <f>AA541*68%</f>
        <v/>
      </c>
      <c r="AC541" s="16">
        <f>ROUND((T541+X541+Z541+AB541),0)</f>
        <v/>
      </c>
      <c r="AD541" s="16">
        <f>AG541</f>
        <v/>
      </c>
      <c r="AE541" s="16">
        <f>AI541</f>
        <v/>
      </c>
      <c r="AF541" s="16">
        <f>AC541+AD541+AE541</f>
        <v/>
      </c>
      <c r="AG541" s="16" t="n"/>
      <c r="AH541" s="17" t="n"/>
      <c r="AI541" s="17">
        <f>AH541*4</f>
        <v/>
      </c>
      <c r="AJ541" s="15">
        <f>AF541-AG541-AH541-AI541</f>
        <v/>
      </c>
      <c r="AK541" s="18" t="n">
        <v>534</v>
      </c>
      <c r="AL541" s="23" t="n"/>
    </row>
    <row r="542" ht="23.5" customHeight="1">
      <c r="A542" s="6" t="inlineStr">
        <is>
          <t>535</t>
        </is>
      </c>
      <c r="B542" s="24" t="n"/>
      <c r="C542" s="55" t="n"/>
      <c r="D542" s="19" t="n"/>
      <c r="E542" s="24" t="n"/>
      <c r="F542" s="25" t="n"/>
      <c r="G542" s="25" t="n"/>
      <c r="H542" s="25" t="n"/>
      <c r="I542" s="11" t="n"/>
      <c r="J542" s="57" t="n"/>
      <c r="K542" s="12" t="n"/>
      <c r="L542" s="22" t="n"/>
      <c r="M542" s="13" t="n"/>
      <c r="N542" s="14">
        <f>ROUND(I542*(SUM(J542:M542))*68%,0)</f>
        <v/>
      </c>
      <c r="O542" s="61" t="n"/>
      <c r="P542" s="59" t="n"/>
      <c r="Q542" s="59" t="n"/>
      <c r="R542" s="58" t="n"/>
      <c r="S542" s="15">
        <f>I542*J542</f>
        <v/>
      </c>
      <c r="T542" s="15">
        <f>SUM(S542:S542)*68%</f>
        <v/>
      </c>
      <c r="U542" s="15">
        <f>I542*K542*40%*O542</f>
        <v/>
      </c>
      <c r="V542" s="15">
        <f>IF(P542&gt;=6750,(I542*K542*40%),0)</f>
        <v/>
      </c>
      <c r="W542" s="15">
        <f>IF(P542&lt;6750,0,IF(Q542="",0,IF(OR(Q542="KURANG",Q542="SANGAT KURANG"),I542*K542*10%,I542*K542*20%)))</f>
        <v/>
      </c>
      <c r="X542" s="15">
        <f>SUM(U542:W542)*68%</f>
        <v/>
      </c>
      <c r="Y542" s="15">
        <f>I542*L542</f>
        <v/>
      </c>
      <c r="Z542" s="15">
        <f>Y542 * 68%</f>
        <v/>
      </c>
      <c r="AA542" s="15">
        <f>I542*M542</f>
        <v/>
      </c>
      <c r="AB542" s="15">
        <f>AA542*68%</f>
        <v/>
      </c>
      <c r="AC542" s="16">
        <f>ROUND((T542+X542+Z542+AB542),0)</f>
        <v/>
      </c>
      <c r="AD542" s="16">
        <f>AG542</f>
        <v/>
      </c>
      <c r="AE542" s="16">
        <f>AI542</f>
        <v/>
      </c>
      <c r="AF542" s="16">
        <f>AC542+AD542+AE542</f>
        <v/>
      </c>
      <c r="AG542" s="16" t="n"/>
      <c r="AH542" s="17" t="n"/>
      <c r="AI542" s="17">
        <f>AH542*4</f>
        <v/>
      </c>
      <c r="AJ542" s="15">
        <f>AF542-AG542-AH542-AI542</f>
        <v/>
      </c>
      <c r="AK542" s="18" t="n">
        <v>535</v>
      </c>
      <c r="AL542" s="23" t="n"/>
    </row>
    <row r="543" ht="23.5" customHeight="1">
      <c r="A543" s="6" t="inlineStr">
        <is>
          <t>536</t>
        </is>
      </c>
      <c r="B543" s="24" t="n"/>
      <c r="C543" s="55" t="n"/>
      <c r="D543" s="19" t="n"/>
      <c r="E543" s="24" t="n"/>
      <c r="F543" s="25" t="n"/>
      <c r="G543" s="25" t="n"/>
      <c r="H543" s="25" t="n"/>
      <c r="I543" s="11" t="n"/>
      <c r="J543" s="57" t="n"/>
      <c r="K543" s="12" t="n"/>
      <c r="L543" s="22" t="n"/>
      <c r="M543" s="13" t="n"/>
      <c r="N543" s="14">
        <f>ROUND(I543*(SUM(J543:M543))*68%,0)</f>
        <v/>
      </c>
      <c r="O543" s="61" t="n"/>
      <c r="P543" s="59" t="n"/>
      <c r="Q543" s="59" t="n"/>
      <c r="R543" s="58" t="n"/>
      <c r="S543" s="15">
        <f>I543*J543</f>
        <v/>
      </c>
      <c r="T543" s="15">
        <f>SUM(S543:S543)*68%</f>
        <v/>
      </c>
      <c r="U543" s="15">
        <f>I543*K543*40%*O543</f>
        <v/>
      </c>
      <c r="V543" s="15">
        <f>IF(P543&gt;=6750,(I543*K543*40%),0)</f>
        <v/>
      </c>
      <c r="W543" s="15">
        <f>IF(P543&lt;6750,0,IF(Q543="",0,IF(OR(Q543="KURANG",Q543="SANGAT KURANG"),I543*K543*10%,I543*K543*20%)))</f>
        <v/>
      </c>
      <c r="X543" s="15">
        <f>SUM(U543:W543)*68%</f>
        <v/>
      </c>
      <c r="Y543" s="15">
        <f>I543*L543</f>
        <v/>
      </c>
      <c r="Z543" s="15">
        <f>Y543 * 68%</f>
        <v/>
      </c>
      <c r="AA543" s="15">
        <f>I543*M543</f>
        <v/>
      </c>
      <c r="AB543" s="15">
        <f>AA543*68%</f>
        <v/>
      </c>
      <c r="AC543" s="16">
        <f>ROUND((T543+X543+Z543+AB543),0)</f>
        <v/>
      </c>
      <c r="AD543" s="16">
        <f>AG543</f>
        <v/>
      </c>
      <c r="AE543" s="16">
        <f>AI543</f>
        <v/>
      </c>
      <c r="AF543" s="16">
        <f>AC543+AD543+AE543</f>
        <v/>
      </c>
      <c r="AG543" s="16" t="n"/>
      <c r="AH543" s="17" t="n"/>
      <c r="AI543" s="17">
        <f>AH543*4</f>
        <v/>
      </c>
      <c r="AJ543" s="15">
        <f>AF543-AG543-AH543-AI543</f>
        <v/>
      </c>
      <c r="AK543" s="18" t="n">
        <v>536</v>
      </c>
      <c r="AL543" s="40" t="n"/>
    </row>
    <row r="544" ht="23.5" customHeight="1">
      <c r="A544" s="6" t="inlineStr">
        <is>
          <t>537</t>
        </is>
      </c>
      <c r="B544" s="24" t="n"/>
      <c r="C544" s="55" t="n"/>
      <c r="D544" s="19" t="n"/>
      <c r="E544" s="24" t="n"/>
      <c r="F544" s="25" t="n"/>
      <c r="G544" s="25" t="n"/>
      <c r="H544" s="25" t="n"/>
      <c r="I544" s="11" t="n"/>
      <c r="J544" s="57" t="n"/>
      <c r="K544" s="12" t="n"/>
      <c r="L544" s="22" t="n"/>
      <c r="M544" s="13" t="n"/>
      <c r="N544" s="14">
        <f>ROUND(I544*(SUM(J544:M544))*68%,0)</f>
        <v/>
      </c>
      <c r="O544" s="61" t="n"/>
      <c r="P544" s="59" t="n"/>
      <c r="Q544" s="59" t="n"/>
      <c r="R544" s="58" t="n"/>
      <c r="S544" s="15">
        <f>I544*J544</f>
        <v/>
      </c>
      <c r="T544" s="15">
        <f>SUM(S544:S544)*68%</f>
        <v/>
      </c>
      <c r="U544" s="15">
        <f>I544*K544*40%*O544</f>
        <v/>
      </c>
      <c r="V544" s="15">
        <f>IF(P544&gt;=6750,(I544*K544*40%),0)</f>
        <v/>
      </c>
      <c r="W544" s="15">
        <f>IF(P544&lt;6750,0,IF(Q544="",0,IF(OR(Q544="KURANG",Q544="SANGAT KURANG"),I544*K544*10%,I544*K544*20%)))</f>
        <v/>
      </c>
      <c r="X544" s="15">
        <f>SUM(U544:W544)*68%</f>
        <v/>
      </c>
      <c r="Y544" s="15">
        <f>I544*L544</f>
        <v/>
      </c>
      <c r="Z544" s="15">
        <f>Y544 * 68%</f>
        <v/>
      </c>
      <c r="AA544" s="15">
        <f>I544*M544</f>
        <v/>
      </c>
      <c r="AB544" s="15">
        <f>AA544*68%</f>
        <v/>
      </c>
      <c r="AC544" s="16">
        <f>ROUND((T544+X544+Z544+AB544),0)</f>
        <v/>
      </c>
      <c r="AD544" s="16">
        <f>AG544</f>
        <v/>
      </c>
      <c r="AE544" s="16">
        <f>AI544</f>
        <v/>
      </c>
      <c r="AF544" s="16">
        <f>AC544+AD544+AE544</f>
        <v/>
      </c>
      <c r="AG544" s="16" t="n"/>
      <c r="AH544" s="17" t="n"/>
      <c r="AI544" s="17">
        <f>AH544*4</f>
        <v/>
      </c>
      <c r="AJ544" s="15">
        <f>AF544-AG544-AH544-AI544</f>
        <v/>
      </c>
      <c r="AK544" s="18" t="n">
        <v>537</v>
      </c>
      <c r="AL544" s="23" t="n"/>
    </row>
    <row r="545" ht="23.5" customHeight="1">
      <c r="A545" s="6" t="inlineStr">
        <is>
          <t>538</t>
        </is>
      </c>
      <c r="B545" s="24" t="n"/>
      <c r="C545" s="55" t="n"/>
      <c r="D545" s="19" t="n"/>
      <c r="E545" s="24" t="n"/>
      <c r="F545" s="25" t="n"/>
      <c r="G545" s="25" t="n"/>
      <c r="H545" s="25" t="n"/>
      <c r="I545" s="11" t="n"/>
      <c r="J545" s="57" t="n"/>
      <c r="K545" s="12" t="n"/>
      <c r="L545" s="22" t="n"/>
      <c r="M545" s="13" t="n"/>
      <c r="N545" s="14">
        <f>ROUND(I545*(SUM(J545:M545))*68%,0)</f>
        <v/>
      </c>
      <c r="O545" s="61" t="n"/>
      <c r="P545" s="59" t="n"/>
      <c r="Q545" s="59" t="n"/>
      <c r="R545" s="58" t="n"/>
      <c r="S545" s="15">
        <f>I545*J545</f>
        <v/>
      </c>
      <c r="T545" s="15">
        <f>SUM(S545:S545)*68%</f>
        <v/>
      </c>
      <c r="U545" s="15">
        <f>I545*K545*40%*O545</f>
        <v/>
      </c>
      <c r="V545" s="15">
        <f>IF(P545&gt;=6750,(I545*K545*40%),0)</f>
        <v/>
      </c>
      <c r="W545" s="15">
        <f>IF(P545&lt;6750,0,IF(Q545="",0,IF(OR(Q545="KURANG",Q545="SANGAT KURANG"),I545*K545*10%,I545*K545*20%)))</f>
        <v/>
      </c>
      <c r="X545" s="15">
        <f>SUM(U545:W545)*68%</f>
        <v/>
      </c>
      <c r="Y545" s="15">
        <f>I545*L545</f>
        <v/>
      </c>
      <c r="Z545" s="15">
        <f>Y545 * 68%</f>
        <v/>
      </c>
      <c r="AA545" s="15">
        <f>I545*M545</f>
        <v/>
      </c>
      <c r="AB545" s="15">
        <f>AA545*68%</f>
        <v/>
      </c>
      <c r="AC545" s="16">
        <f>ROUND((T545+X545+Z545+AB545),0)</f>
        <v/>
      </c>
      <c r="AD545" s="16">
        <f>AG545</f>
        <v/>
      </c>
      <c r="AE545" s="16">
        <f>AI545</f>
        <v/>
      </c>
      <c r="AF545" s="16">
        <f>AC545+AD545+AE545</f>
        <v/>
      </c>
      <c r="AG545" s="16" t="n"/>
      <c r="AH545" s="17" t="n"/>
      <c r="AI545" s="17">
        <f>AH545*4</f>
        <v/>
      </c>
      <c r="AJ545" s="15">
        <f>AF545-AG545-AH545-AI545</f>
        <v/>
      </c>
      <c r="AK545" s="18" t="n">
        <v>538</v>
      </c>
      <c r="AL545" s="23" t="n"/>
    </row>
    <row r="546" ht="23.5" customHeight="1">
      <c r="A546" s="6" t="inlineStr">
        <is>
          <t>539</t>
        </is>
      </c>
      <c r="B546" s="24" t="n"/>
      <c r="C546" s="55" t="n"/>
      <c r="D546" s="19" t="n"/>
      <c r="E546" s="24" t="n"/>
      <c r="F546" s="25" t="n"/>
      <c r="G546" s="25" t="n"/>
      <c r="H546" s="25" t="n"/>
      <c r="I546" s="11" t="n"/>
      <c r="J546" s="57" t="n"/>
      <c r="K546" s="12" t="n"/>
      <c r="L546" s="22" t="n"/>
      <c r="M546" s="13" t="n"/>
      <c r="N546" s="14">
        <f>ROUND(I546*(SUM(J546:M546))*68%,0)</f>
        <v/>
      </c>
      <c r="O546" s="61" t="n"/>
      <c r="P546" s="59" t="n"/>
      <c r="Q546" s="59" t="n"/>
      <c r="R546" s="58" t="n"/>
      <c r="S546" s="15">
        <f>I546*J546</f>
        <v/>
      </c>
      <c r="T546" s="15">
        <f>SUM(S546:S546)*68%</f>
        <v/>
      </c>
      <c r="U546" s="15">
        <f>I546*K546*40%*O546</f>
        <v/>
      </c>
      <c r="V546" s="15">
        <f>IF(P546&gt;=6750,(I546*K546*40%),0)</f>
        <v/>
      </c>
      <c r="W546" s="15">
        <f>IF(P546&lt;6750,0,IF(Q546="",0,IF(OR(Q546="KURANG",Q546="SANGAT KURANG"),I546*K546*10%,I546*K546*20%)))</f>
        <v/>
      </c>
      <c r="X546" s="15">
        <f>SUM(U546:W546)*68%</f>
        <v/>
      </c>
      <c r="Y546" s="15">
        <f>I546*L546</f>
        <v/>
      </c>
      <c r="Z546" s="15">
        <f>Y546 * 68%</f>
        <v/>
      </c>
      <c r="AA546" s="15">
        <f>I546*M546</f>
        <v/>
      </c>
      <c r="AB546" s="15">
        <f>AA546*68%</f>
        <v/>
      </c>
      <c r="AC546" s="16">
        <f>ROUND((T546+X546+Z546+AB546),0)</f>
        <v/>
      </c>
      <c r="AD546" s="16">
        <f>AG546</f>
        <v/>
      </c>
      <c r="AE546" s="16">
        <f>AI546</f>
        <v/>
      </c>
      <c r="AF546" s="16">
        <f>AC546+AD546+AE546</f>
        <v/>
      </c>
      <c r="AG546" s="16" t="n"/>
      <c r="AH546" s="17" t="n"/>
      <c r="AI546" s="17">
        <f>AH546*4</f>
        <v/>
      </c>
      <c r="AJ546" s="15">
        <f>AF546-AG546-AH546-AI546</f>
        <v/>
      </c>
      <c r="AK546" s="18" t="n">
        <v>539</v>
      </c>
      <c r="AL546" s="40" t="n"/>
    </row>
    <row r="547" ht="23.5" customHeight="1">
      <c r="A547" s="6" t="inlineStr">
        <is>
          <t>540</t>
        </is>
      </c>
      <c r="B547" s="24" t="n"/>
      <c r="C547" s="55" t="n"/>
      <c r="D547" s="19" t="n"/>
      <c r="E547" s="24" t="n"/>
      <c r="F547" s="25" t="n"/>
      <c r="G547" s="25" t="n"/>
      <c r="H547" s="25" t="n"/>
      <c r="I547" s="11" t="n"/>
      <c r="J547" s="57" t="n"/>
      <c r="K547" s="12" t="n"/>
      <c r="L547" s="22" t="n"/>
      <c r="M547" s="13" t="n"/>
      <c r="N547" s="14">
        <f>ROUND(I547*(SUM(J547:M547))*68%,0)</f>
        <v/>
      </c>
      <c r="O547" s="61" t="n"/>
      <c r="P547" s="59" t="n"/>
      <c r="Q547" s="59" t="n"/>
      <c r="R547" s="58" t="n"/>
      <c r="S547" s="15">
        <f>I547*J547</f>
        <v/>
      </c>
      <c r="T547" s="15">
        <f>SUM(S547:S547)*68%</f>
        <v/>
      </c>
      <c r="U547" s="15">
        <f>I547*K547*40%*O547</f>
        <v/>
      </c>
      <c r="V547" s="15">
        <f>IF(P547&gt;=6750,(I547*K547*40%),0)</f>
        <v/>
      </c>
      <c r="W547" s="15">
        <f>IF(P547&lt;6750,0,IF(Q547="",0,IF(OR(Q547="KURANG",Q547="SANGAT KURANG"),I547*K547*10%,I547*K547*20%)))</f>
        <v/>
      </c>
      <c r="X547" s="15">
        <f>SUM(U547:W547)*68%</f>
        <v/>
      </c>
      <c r="Y547" s="15">
        <f>I547*L547</f>
        <v/>
      </c>
      <c r="Z547" s="15">
        <f>Y547 * 68%</f>
        <v/>
      </c>
      <c r="AA547" s="15">
        <f>I547*M547</f>
        <v/>
      </c>
      <c r="AB547" s="15">
        <f>AA547*68%</f>
        <v/>
      </c>
      <c r="AC547" s="16">
        <f>ROUND((T547+X547+Z547+AB547),0)</f>
        <v/>
      </c>
      <c r="AD547" s="16">
        <f>AG547</f>
        <v/>
      </c>
      <c r="AE547" s="16">
        <f>AI547</f>
        <v/>
      </c>
      <c r="AF547" s="16">
        <f>AC547+AD547+AE547</f>
        <v/>
      </c>
      <c r="AG547" s="16" t="n"/>
      <c r="AH547" s="17" t="n"/>
      <c r="AI547" s="17">
        <f>AH547*4</f>
        <v/>
      </c>
      <c r="AJ547" s="15">
        <f>AF547-AG547-AH547-AI547</f>
        <v/>
      </c>
      <c r="AK547" s="18" t="n">
        <v>540</v>
      </c>
      <c r="AL547" s="23" t="n"/>
    </row>
    <row r="548" ht="23.5" customHeight="1">
      <c r="A548" s="6" t="inlineStr">
        <is>
          <t>541</t>
        </is>
      </c>
      <c r="B548" s="28" t="n"/>
      <c r="C548" s="55" t="n"/>
      <c r="D548" s="19" t="n"/>
      <c r="E548" s="24" t="n"/>
      <c r="F548" s="25" t="n"/>
      <c r="G548" s="25" t="n"/>
      <c r="H548" s="24" t="n"/>
      <c r="I548" s="11" t="n"/>
      <c r="J548" s="57" t="n"/>
      <c r="K548" s="12" t="n"/>
      <c r="L548" s="13" t="n"/>
      <c r="M548" s="13" t="n"/>
      <c r="N548" s="14">
        <f>ROUND(I548*(SUM(J548:M548))*68%,0)</f>
        <v/>
      </c>
      <c r="O548" s="61" t="n"/>
      <c r="P548" s="59" t="n"/>
      <c r="Q548" s="59" t="n"/>
      <c r="R548" s="58" t="n"/>
      <c r="S548" s="15">
        <f>I548*J548</f>
        <v/>
      </c>
      <c r="T548" s="15">
        <f>SUM(S548:S548)*68%</f>
        <v/>
      </c>
      <c r="U548" s="15">
        <f>I548*K548*40%*O548</f>
        <v/>
      </c>
      <c r="V548" s="15">
        <f>IF(P548&gt;=6750,(I548*K548*40%),0)</f>
        <v/>
      </c>
      <c r="W548" s="15">
        <f>IF(P548&lt;6750,0,IF(Q548="",0,IF(OR(Q548="KURANG",Q548="SANGAT KURANG"),I548*K548*10%,I548*K548*20%)))</f>
        <v/>
      </c>
      <c r="X548" s="15">
        <f>SUM(U548:W548)*68%</f>
        <v/>
      </c>
      <c r="Y548" s="15">
        <f>I548*L548</f>
        <v/>
      </c>
      <c r="Z548" s="15">
        <f>Y548 * 68%</f>
        <v/>
      </c>
      <c r="AA548" s="15">
        <f>I548*M548</f>
        <v/>
      </c>
      <c r="AB548" s="15">
        <f>AA548*68%</f>
        <v/>
      </c>
      <c r="AC548" s="16">
        <f>ROUND((T548+X548+Z548+AB548),0)</f>
        <v/>
      </c>
      <c r="AD548" s="16">
        <f>AG548</f>
        <v/>
      </c>
      <c r="AE548" s="16">
        <f>AI548</f>
        <v/>
      </c>
      <c r="AF548" s="16">
        <f>AC548+AD548+AE548</f>
        <v/>
      </c>
      <c r="AG548" s="16" t="n"/>
      <c r="AH548" s="17" t="n"/>
      <c r="AI548" s="17">
        <f>AH548*4</f>
        <v/>
      </c>
      <c r="AJ548" s="15">
        <f>AF548-AG548-AH548-AI548</f>
        <v/>
      </c>
      <c r="AK548" s="18" t="n">
        <v>541</v>
      </c>
      <c r="AL548" s="23" t="n"/>
    </row>
    <row r="549" ht="23.5" customHeight="1">
      <c r="A549" s="6" t="inlineStr">
        <is>
          <t>542</t>
        </is>
      </c>
      <c r="B549" s="28" t="n"/>
      <c r="C549" s="55" t="n"/>
      <c r="D549" s="19" t="n"/>
      <c r="E549" s="24" t="n"/>
      <c r="F549" s="25" t="n"/>
      <c r="G549" s="25" t="n"/>
      <c r="H549" s="24" t="n"/>
      <c r="I549" s="11" t="n"/>
      <c r="J549" s="57" t="n"/>
      <c r="K549" s="12" t="n"/>
      <c r="L549" s="13" t="n"/>
      <c r="M549" s="13" t="n"/>
      <c r="N549" s="14">
        <f>ROUND(I549*(SUM(J549:M549))*68%,0)</f>
        <v/>
      </c>
      <c r="O549" s="61" t="n"/>
      <c r="P549" s="59" t="n"/>
      <c r="Q549" s="59" t="n"/>
      <c r="R549" s="58" t="n"/>
      <c r="S549" s="15">
        <f>I549*J549</f>
        <v/>
      </c>
      <c r="T549" s="15">
        <f>SUM(S549:S549)*68%</f>
        <v/>
      </c>
      <c r="U549" s="15">
        <f>I549*K549*40%*O549</f>
        <v/>
      </c>
      <c r="V549" s="15">
        <f>IF(P549&gt;=6750,(I549*K549*40%),0)</f>
        <v/>
      </c>
      <c r="W549" s="15">
        <f>IF(P549&lt;6750,0,IF(Q549="",0,IF(OR(Q549="KURANG",Q549="SANGAT KURANG"),I549*K549*10%,I549*K549*20%)))</f>
        <v/>
      </c>
      <c r="X549" s="15">
        <f>SUM(U549:W549)*68%</f>
        <v/>
      </c>
      <c r="Y549" s="15">
        <f>I549*L549</f>
        <v/>
      </c>
      <c r="Z549" s="15">
        <f>Y549 * 68%</f>
        <v/>
      </c>
      <c r="AA549" s="15">
        <f>I549*M549</f>
        <v/>
      </c>
      <c r="AB549" s="15">
        <f>AA549*68%</f>
        <v/>
      </c>
      <c r="AC549" s="16">
        <f>ROUND((T549+X549+Z549+AB549),0)</f>
        <v/>
      </c>
      <c r="AD549" s="16">
        <f>AG549</f>
        <v/>
      </c>
      <c r="AE549" s="16">
        <f>AI549</f>
        <v/>
      </c>
      <c r="AF549" s="16">
        <f>AC549+AD549+AE549</f>
        <v/>
      </c>
      <c r="AG549" s="16" t="n"/>
      <c r="AH549" s="17" t="n"/>
      <c r="AI549" s="17">
        <f>AH549*4</f>
        <v/>
      </c>
      <c r="AJ549" s="15">
        <f>AF549-AG549-AH549-AI549</f>
        <v/>
      </c>
      <c r="AK549" s="18" t="n">
        <v>542</v>
      </c>
      <c r="AL549" s="40" t="n"/>
    </row>
    <row r="550" ht="23.5" customHeight="1">
      <c r="A550" s="6" t="inlineStr">
        <is>
          <t>543</t>
        </is>
      </c>
      <c r="B550" s="28" t="n"/>
      <c r="C550" s="55" t="n"/>
      <c r="D550" s="19" t="n"/>
      <c r="E550" s="24" t="n"/>
      <c r="F550" s="25" t="n"/>
      <c r="G550" s="25" t="n"/>
      <c r="H550" s="24" t="n"/>
      <c r="I550" s="11" t="n"/>
      <c r="J550" s="57" t="n"/>
      <c r="K550" s="12" t="n"/>
      <c r="L550" s="13" t="n"/>
      <c r="M550" s="13" t="n"/>
      <c r="N550" s="14">
        <f>ROUND(I550*(SUM(J550:M550))*68%,0)</f>
        <v/>
      </c>
      <c r="O550" s="61" t="n"/>
      <c r="P550" s="59" t="n"/>
      <c r="Q550" s="59" t="n"/>
      <c r="R550" s="58" t="n"/>
      <c r="S550" s="15">
        <f>I550*J550</f>
        <v/>
      </c>
      <c r="T550" s="15">
        <f>SUM(S550:S550)*68%</f>
        <v/>
      </c>
      <c r="U550" s="15">
        <f>I550*K550*40%*O550</f>
        <v/>
      </c>
      <c r="V550" s="15">
        <f>IF(P550&gt;=6750,(I550*K550*40%),0)</f>
        <v/>
      </c>
      <c r="W550" s="15">
        <f>IF(P550&lt;6750,0,IF(Q550="",0,IF(OR(Q550="KURANG",Q550="SANGAT KURANG"),I550*K550*10%,I550*K550*20%)))</f>
        <v/>
      </c>
      <c r="X550" s="15">
        <f>SUM(U550:W550)*68%</f>
        <v/>
      </c>
      <c r="Y550" s="15">
        <f>I550*L550</f>
        <v/>
      </c>
      <c r="Z550" s="15">
        <f>Y550 * 68%</f>
        <v/>
      </c>
      <c r="AA550" s="15">
        <f>I550*M550</f>
        <v/>
      </c>
      <c r="AB550" s="15">
        <f>AA550*68%</f>
        <v/>
      </c>
      <c r="AC550" s="16">
        <f>ROUND((T550+X550+Z550+AB550),0)</f>
        <v/>
      </c>
      <c r="AD550" s="16">
        <f>AG550</f>
        <v/>
      </c>
      <c r="AE550" s="16">
        <f>AI550</f>
        <v/>
      </c>
      <c r="AF550" s="16">
        <f>AC550+AD550+AE550</f>
        <v/>
      </c>
      <c r="AG550" s="16" t="n"/>
      <c r="AH550" s="17" t="n"/>
      <c r="AI550" s="17">
        <f>AH550*4</f>
        <v/>
      </c>
      <c r="AJ550" s="15">
        <f>AF550-AG550-AH550-AI550</f>
        <v/>
      </c>
      <c r="AK550" s="18" t="n">
        <v>543</v>
      </c>
      <c r="AL550" s="23" t="n"/>
    </row>
    <row r="551" ht="23.5" customHeight="1">
      <c r="A551" s="6" t="inlineStr">
        <is>
          <t>544</t>
        </is>
      </c>
      <c r="B551" s="28" t="n"/>
      <c r="C551" s="55" t="n"/>
      <c r="D551" s="19" t="n"/>
      <c r="E551" s="24" t="n"/>
      <c r="F551" s="25" t="n"/>
      <c r="G551" s="25" t="n"/>
      <c r="H551" s="24" t="n"/>
      <c r="I551" s="11" t="n"/>
      <c r="J551" s="57" t="n"/>
      <c r="K551" s="12" t="n"/>
      <c r="L551" s="13" t="n"/>
      <c r="M551" s="13" t="n"/>
      <c r="N551" s="14">
        <f>ROUND(I551*(SUM(J551:M551))*68%,0)</f>
        <v/>
      </c>
      <c r="O551" s="61" t="n"/>
      <c r="P551" s="59" t="n"/>
      <c r="Q551" s="59" t="n"/>
      <c r="R551" s="58" t="n"/>
      <c r="S551" s="15">
        <f>I551*J551</f>
        <v/>
      </c>
      <c r="T551" s="15">
        <f>SUM(S551:S551)*68%</f>
        <v/>
      </c>
      <c r="U551" s="15">
        <f>I551*K551*40%*O551</f>
        <v/>
      </c>
      <c r="V551" s="15">
        <f>IF(P551&gt;=6750,(I551*K551*40%),0)</f>
        <v/>
      </c>
      <c r="W551" s="15">
        <f>IF(P551&lt;6750,0,IF(Q551="",0,IF(OR(Q551="KURANG",Q551="SANGAT KURANG"),I551*K551*10%,I551*K551*20%)))</f>
        <v/>
      </c>
      <c r="X551" s="15">
        <f>SUM(U551:W551)*68%</f>
        <v/>
      </c>
      <c r="Y551" s="15">
        <f>I551*L551</f>
        <v/>
      </c>
      <c r="Z551" s="15">
        <f>Y551 * 68%</f>
        <v/>
      </c>
      <c r="AA551" s="15">
        <f>I551*M551</f>
        <v/>
      </c>
      <c r="AB551" s="15">
        <f>AA551*68%</f>
        <v/>
      </c>
      <c r="AC551" s="16">
        <f>ROUND((T551+X551+Z551+AB551),0)</f>
        <v/>
      </c>
      <c r="AD551" s="16">
        <f>AG551</f>
        <v/>
      </c>
      <c r="AE551" s="16">
        <f>AI551</f>
        <v/>
      </c>
      <c r="AF551" s="16">
        <f>AC551+AD551+AE551</f>
        <v/>
      </c>
      <c r="AG551" s="16" t="n"/>
      <c r="AH551" s="17" t="n"/>
      <c r="AI551" s="17">
        <f>AH551*4</f>
        <v/>
      </c>
      <c r="AJ551" s="15">
        <f>AF551-AG551-AH551-AI551</f>
        <v/>
      </c>
      <c r="AK551" s="18" t="n">
        <v>544</v>
      </c>
      <c r="AL551" s="23" t="n"/>
    </row>
    <row r="552" ht="23.5" customHeight="1">
      <c r="A552" s="6" t="inlineStr">
        <is>
          <t>545</t>
        </is>
      </c>
      <c r="B552" s="28" t="n"/>
      <c r="C552" s="55" t="n"/>
      <c r="D552" s="19" t="n"/>
      <c r="E552" s="24" t="n"/>
      <c r="F552" s="25" t="n"/>
      <c r="G552" s="25" t="n"/>
      <c r="H552" s="24" t="n"/>
      <c r="I552" s="11" t="n"/>
      <c r="J552" s="57" t="n"/>
      <c r="K552" s="12" t="n"/>
      <c r="L552" s="13" t="n"/>
      <c r="M552" s="13" t="n"/>
      <c r="N552" s="14">
        <f>ROUND(I552*(SUM(J552:M552))*68%,0)</f>
        <v/>
      </c>
      <c r="O552" s="61" t="n"/>
      <c r="P552" s="59" t="n"/>
      <c r="Q552" s="59" t="n"/>
      <c r="R552" s="58" t="n"/>
      <c r="S552" s="15">
        <f>I552*J552</f>
        <v/>
      </c>
      <c r="T552" s="15">
        <f>SUM(S552:S552)*68%</f>
        <v/>
      </c>
      <c r="U552" s="15">
        <f>I552*K552*40%*O552</f>
        <v/>
      </c>
      <c r="V552" s="15">
        <f>IF(P552&gt;=6750,(I552*K552*40%),0)</f>
        <v/>
      </c>
      <c r="W552" s="15">
        <f>IF(P552&lt;6750,0,IF(Q552="",0,IF(OR(Q552="KURANG",Q552="SANGAT KURANG"),I552*K552*10%,I552*K552*20%)))</f>
        <v/>
      </c>
      <c r="X552" s="15">
        <f>SUM(U552:W552)*68%</f>
        <v/>
      </c>
      <c r="Y552" s="15">
        <f>I552*L552</f>
        <v/>
      </c>
      <c r="Z552" s="15">
        <f>Y552 * 68%</f>
        <v/>
      </c>
      <c r="AA552" s="15">
        <f>I552*M552</f>
        <v/>
      </c>
      <c r="AB552" s="15">
        <f>AA552*68%</f>
        <v/>
      </c>
      <c r="AC552" s="16">
        <f>ROUND((T552+X552+Z552+AB552),0)</f>
        <v/>
      </c>
      <c r="AD552" s="16">
        <f>AG552</f>
        <v/>
      </c>
      <c r="AE552" s="16">
        <f>AI552</f>
        <v/>
      </c>
      <c r="AF552" s="16">
        <f>AC552+AD552+AE552</f>
        <v/>
      </c>
      <c r="AG552" s="16" t="n"/>
      <c r="AH552" s="17" t="n"/>
      <c r="AI552" s="17">
        <f>AH552*4</f>
        <v/>
      </c>
      <c r="AJ552" s="15">
        <f>AF552-AG552-AH552-AI552</f>
        <v/>
      </c>
      <c r="AK552" s="18" t="n">
        <v>545</v>
      </c>
      <c r="AL552" s="40" t="n"/>
    </row>
    <row r="553" ht="23.5" customHeight="1">
      <c r="A553" s="6" t="inlineStr">
        <is>
          <t>546</t>
        </is>
      </c>
      <c r="B553" s="28" t="n"/>
      <c r="C553" s="55" t="n"/>
      <c r="D553" s="19" t="n"/>
      <c r="E553" s="24" t="n"/>
      <c r="F553" s="25" t="n"/>
      <c r="G553" s="25" t="n"/>
      <c r="H553" s="24" t="n"/>
      <c r="I553" s="11" t="n"/>
      <c r="J553" s="57" t="n"/>
      <c r="K553" s="12" t="n"/>
      <c r="L553" s="13" t="n"/>
      <c r="M553" s="13" t="n"/>
      <c r="N553" s="14">
        <f>ROUND(I553*(SUM(J553:M553))*68%,0)</f>
        <v/>
      </c>
      <c r="O553" s="61" t="n"/>
      <c r="P553" s="59" t="n"/>
      <c r="Q553" s="59" t="n"/>
      <c r="R553" s="58" t="n"/>
      <c r="S553" s="15">
        <f>I553*J553</f>
        <v/>
      </c>
      <c r="T553" s="15">
        <f>SUM(S553:S553)*68%</f>
        <v/>
      </c>
      <c r="U553" s="15">
        <f>I553*K553*40%*O553</f>
        <v/>
      </c>
      <c r="V553" s="15">
        <f>IF(P553&gt;=6750,(I553*K553*40%),0)</f>
        <v/>
      </c>
      <c r="W553" s="15">
        <f>IF(P553&lt;6750,0,IF(Q553="",0,IF(OR(Q553="KURANG",Q553="SANGAT KURANG"),I553*K553*10%,I553*K553*20%)))</f>
        <v/>
      </c>
      <c r="X553" s="15">
        <f>SUM(U553:W553)*68%</f>
        <v/>
      </c>
      <c r="Y553" s="15">
        <f>I553*L553</f>
        <v/>
      </c>
      <c r="Z553" s="15">
        <f>Y553 * 68%</f>
        <v/>
      </c>
      <c r="AA553" s="15">
        <f>I553*M553</f>
        <v/>
      </c>
      <c r="AB553" s="15">
        <f>AA553*68%</f>
        <v/>
      </c>
      <c r="AC553" s="16">
        <f>ROUND((T553+X553+Z553+AB553),0)</f>
        <v/>
      </c>
      <c r="AD553" s="16">
        <f>AG553</f>
        <v/>
      </c>
      <c r="AE553" s="16">
        <f>AI553</f>
        <v/>
      </c>
      <c r="AF553" s="16">
        <f>AC553+AD553+AE553</f>
        <v/>
      </c>
      <c r="AG553" s="16" t="n"/>
      <c r="AH553" s="17" t="n"/>
      <c r="AI553" s="17">
        <f>AH553*4</f>
        <v/>
      </c>
      <c r="AJ553" s="15">
        <f>AF553-AG553-AH553-AI553</f>
        <v/>
      </c>
      <c r="AK553" s="18" t="n">
        <v>546</v>
      </c>
      <c r="AL553" s="23" t="n"/>
    </row>
    <row r="554" ht="23.5" customHeight="1">
      <c r="A554" s="6" t="inlineStr">
        <is>
          <t>547</t>
        </is>
      </c>
      <c r="B554" s="28" t="n"/>
      <c r="C554" s="55" t="n"/>
      <c r="D554" s="19" t="n"/>
      <c r="E554" s="24" t="n"/>
      <c r="F554" s="25" t="n"/>
      <c r="G554" s="25" t="n"/>
      <c r="H554" s="24" t="n"/>
      <c r="I554" s="11" t="n"/>
      <c r="J554" s="57" t="n"/>
      <c r="K554" s="12" t="n"/>
      <c r="L554" s="13" t="n"/>
      <c r="M554" s="13" t="n"/>
      <c r="N554" s="14">
        <f>ROUND(I554*(SUM(J554:M554))*68%,0)</f>
        <v/>
      </c>
      <c r="O554" s="61" t="n"/>
      <c r="P554" s="59" t="n"/>
      <c r="Q554" s="59" t="n"/>
      <c r="R554" s="58" t="n"/>
      <c r="S554" s="15">
        <f>I554*J554</f>
        <v/>
      </c>
      <c r="T554" s="15">
        <f>SUM(S554:S554)*68%</f>
        <v/>
      </c>
      <c r="U554" s="15">
        <f>I554*K554*40%*O554</f>
        <v/>
      </c>
      <c r="V554" s="15">
        <f>IF(P554&gt;=6750,(I554*K554*40%),0)</f>
        <v/>
      </c>
      <c r="W554" s="15">
        <f>IF(P554&lt;6750,0,IF(Q554="",0,IF(OR(Q554="KURANG",Q554="SANGAT KURANG"),I554*K554*10%,I554*K554*20%)))</f>
        <v/>
      </c>
      <c r="X554" s="15">
        <f>SUM(U554:W554)*68%</f>
        <v/>
      </c>
      <c r="Y554" s="15">
        <f>I554*L554</f>
        <v/>
      </c>
      <c r="Z554" s="15">
        <f>Y554 * 68%</f>
        <v/>
      </c>
      <c r="AA554" s="15">
        <f>I554*M554</f>
        <v/>
      </c>
      <c r="AB554" s="15">
        <f>AA554*68%</f>
        <v/>
      </c>
      <c r="AC554" s="16">
        <f>ROUND((T554+X554+Z554+AB554),0)</f>
        <v/>
      </c>
      <c r="AD554" s="16">
        <f>AG554</f>
        <v/>
      </c>
      <c r="AE554" s="16">
        <f>AI554</f>
        <v/>
      </c>
      <c r="AF554" s="16">
        <f>AC554+AD554+AE554</f>
        <v/>
      </c>
      <c r="AG554" s="16" t="n"/>
      <c r="AH554" s="17" t="n"/>
      <c r="AI554" s="17">
        <f>AH554*4</f>
        <v/>
      </c>
      <c r="AJ554" s="15">
        <f>AF554-AG554-AH554-AI554</f>
        <v/>
      </c>
      <c r="AK554" s="18" t="n">
        <v>547</v>
      </c>
      <c r="AL554" s="23" t="n"/>
    </row>
    <row r="555" ht="23.5" customHeight="1">
      <c r="A555" s="6" t="inlineStr">
        <is>
          <t>548</t>
        </is>
      </c>
      <c r="B555" s="28" t="n"/>
      <c r="C555" s="55" t="n"/>
      <c r="D555" s="19" t="n"/>
      <c r="E555" s="24" t="n"/>
      <c r="F555" s="25" t="n"/>
      <c r="G555" s="25" t="n"/>
      <c r="H555" s="24" t="n"/>
      <c r="I555" s="11" t="n"/>
      <c r="J555" s="57" t="n"/>
      <c r="K555" s="12" t="n"/>
      <c r="L555" s="13" t="n"/>
      <c r="M555" s="13" t="n"/>
      <c r="N555" s="14">
        <f>ROUND(I555*(SUM(J555:M555))*68%,0)</f>
        <v/>
      </c>
      <c r="O555" s="61" t="n"/>
      <c r="P555" s="59" t="n"/>
      <c r="Q555" s="59" t="n"/>
      <c r="R555" s="58" t="n"/>
      <c r="S555" s="15">
        <f>I555*J555</f>
        <v/>
      </c>
      <c r="T555" s="15">
        <f>SUM(S555:S555)*68%</f>
        <v/>
      </c>
      <c r="U555" s="15">
        <f>I555*K555*40%*O555</f>
        <v/>
      </c>
      <c r="V555" s="15">
        <f>IF(P555&gt;=6750,(I555*K555*40%),0)</f>
        <v/>
      </c>
      <c r="W555" s="15">
        <f>IF(P555&lt;6750,0,IF(Q555="",0,IF(OR(Q555="KURANG",Q555="SANGAT KURANG"),I555*K555*10%,I555*K555*20%)))</f>
        <v/>
      </c>
      <c r="X555" s="15">
        <f>SUM(U555:W555)*68%</f>
        <v/>
      </c>
      <c r="Y555" s="15">
        <f>I555*L555</f>
        <v/>
      </c>
      <c r="Z555" s="15">
        <f>Y555 * 68%</f>
        <v/>
      </c>
      <c r="AA555" s="15">
        <f>I555*M555</f>
        <v/>
      </c>
      <c r="AB555" s="15">
        <f>AA555*68%</f>
        <v/>
      </c>
      <c r="AC555" s="16">
        <f>ROUND((T555+X555+Z555+AB555),0)</f>
        <v/>
      </c>
      <c r="AD555" s="16">
        <f>AG555</f>
        <v/>
      </c>
      <c r="AE555" s="16">
        <f>AI555</f>
        <v/>
      </c>
      <c r="AF555" s="16">
        <f>AC555+AD555+AE555</f>
        <v/>
      </c>
      <c r="AG555" s="16" t="n"/>
      <c r="AH555" s="17" t="n"/>
      <c r="AI555" s="17">
        <f>AH555*4</f>
        <v/>
      </c>
      <c r="AJ555" s="15">
        <f>AF555-AG555-AH555-AI555</f>
        <v/>
      </c>
      <c r="AK555" s="18" t="n">
        <v>548</v>
      </c>
      <c r="AL555" s="40" t="n"/>
    </row>
    <row r="556" ht="23.5" customHeight="1">
      <c r="A556" s="6" t="inlineStr">
        <is>
          <t>549</t>
        </is>
      </c>
      <c r="B556" s="28" t="n"/>
      <c r="C556" s="55" t="n"/>
      <c r="D556" s="19" t="n"/>
      <c r="E556" s="24" t="n"/>
      <c r="F556" s="25" t="n"/>
      <c r="G556" s="25" t="n"/>
      <c r="H556" s="24" t="n"/>
      <c r="I556" s="11" t="n"/>
      <c r="J556" s="57" t="n"/>
      <c r="K556" s="12" t="n"/>
      <c r="L556" s="13" t="n"/>
      <c r="M556" s="13" t="n"/>
      <c r="N556" s="14">
        <f>ROUND(I556*(SUM(J556:M556))*68%,0)</f>
        <v/>
      </c>
      <c r="O556" s="61" t="n"/>
      <c r="P556" s="59" t="n"/>
      <c r="Q556" s="59" t="n"/>
      <c r="R556" s="58" t="n"/>
      <c r="S556" s="15">
        <f>I556*J556</f>
        <v/>
      </c>
      <c r="T556" s="15">
        <f>SUM(S556:S556)*68%</f>
        <v/>
      </c>
      <c r="U556" s="15">
        <f>I556*K556*40%*O556</f>
        <v/>
      </c>
      <c r="V556" s="15">
        <f>IF(P556&gt;=6750,(I556*K556*40%),0)</f>
        <v/>
      </c>
      <c r="W556" s="15">
        <f>IF(P556&lt;6750,0,IF(Q556="",0,IF(OR(Q556="KURANG",Q556="SANGAT KURANG"),I556*K556*10%,I556*K556*20%)))</f>
        <v/>
      </c>
      <c r="X556" s="15">
        <f>SUM(U556:W556)*68%</f>
        <v/>
      </c>
      <c r="Y556" s="15">
        <f>I556*L556</f>
        <v/>
      </c>
      <c r="Z556" s="15">
        <f>Y556 * 68%</f>
        <v/>
      </c>
      <c r="AA556" s="15">
        <f>I556*M556</f>
        <v/>
      </c>
      <c r="AB556" s="15">
        <f>AA556*68%</f>
        <v/>
      </c>
      <c r="AC556" s="16">
        <f>ROUND((T556+X556+Z556+AB556),0)</f>
        <v/>
      </c>
      <c r="AD556" s="16">
        <f>AG556</f>
        <v/>
      </c>
      <c r="AE556" s="16">
        <f>AI556</f>
        <v/>
      </c>
      <c r="AF556" s="16">
        <f>AC556+AD556+AE556</f>
        <v/>
      </c>
      <c r="AG556" s="16" t="n"/>
      <c r="AH556" s="17" t="n"/>
      <c r="AI556" s="17">
        <f>AH556*4</f>
        <v/>
      </c>
      <c r="AJ556" s="15">
        <f>AF556-AG556-AH556-AI556</f>
        <v/>
      </c>
      <c r="AK556" s="18" t="n">
        <v>549</v>
      </c>
      <c r="AL556" s="23" t="n"/>
    </row>
    <row r="557" ht="23.5" customHeight="1">
      <c r="A557" s="6" t="inlineStr">
        <is>
          <t>550</t>
        </is>
      </c>
      <c r="B557" s="28" t="n"/>
      <c r="C557" s="55" t="n"/>
      <c r="D557" s="19" t="n"/>
      <c r="E557" s="24" t="n"/>
      <c r="F557" s="25" t="n"/>
      <c r="G557" s="25" t="n"/>
      <c r="H557" s="24" t="n"/>
      <c r="I557" s="11" t="n"/>
      <c r="J557" s="57" t="n"/>
      <c r="K557" s="12" t="n"/>
      <c r="L557" s="13" t="n"/>
      <c r="M557" s="13" t="n"/>
      <c r="N557" s="14">
        <f>ROUND(I557*(SUM(J557:M557))*68%,0)</f>
        <v/>
      </c>
      <c r="O557" s="61" t="n"/>
      <c r="P557" s="59" t="n"/>
      <c r="Q557" s="59" t="n"/>
      <c r="R557" s="58" t="n"/>
      <c r="S557" s="15">
        <f>I557*J557</f>
        <v/>
      </c>
      <c r="T557" s="15">
        <f>SUM(S557:S557)*68%</f>
        <v/>
      </c>
      <c r="U557" s="15">
        <f>I557*K557*40%*O557</f>
        <v/>
      </c>
      <c r="V557" s="15">
        <f>IF(P557&gt;=6750,(I557*K557*40%),0)</f>
        <v/>
      </c>
      <c r="W557" s="15">
        <f>IF(P557&lt;6750,0,IF(Q557="",0,IF(OR(Q557="KURANG",Q557="SANGAT KURANG"),I557*K557*10%,I557*K557*20%)))</f>
        <v/>
      </c>
      <c r="X557" s="15">
        <f>SUM(U557:W557)*68%</f>
        <v/>
      </c>
      <c r="Y557" s="15">
        <f>I557*L557</f>
        <v/>
      </c>
      <c r="Z557" s="15">
        <f>Y557 * 68%</f>
        <v/>
      </c>
      <c r="AA557" s="15">
        <f>I557*M557</f>
        <v/>
      </c>
      <c r="AB557" s="15">
        <f>AA557*68%</f>
        <v/>
      </c>
      <c r="AC557" s="16">
        <f>ROUND((T557+X557+Z557+AB557),0)</f>
        <v/>
      </c>
      <c r="AD557" s="16">
        <f>AG557</f>
        <v/>
      </c>
      <c r="AE557" s="16">
        <f>AI557</f>
        <v/>
      </c>
      <c r="AF557" s="16">
        <f>AC557+AD557+AE557</f>
        <v/>
      </c>
      <c r="AG557" s="16" t="n"/>
      <c r="AH557" s="17" t="n"/>
      <c r="AI557" s="17">
        <f>AH557*4</f>
        <v/>
      </c>
      <c r="AJ557" s="15">
        <f>AF557-AG557-AH557-AI557</f>
        <v/>
      </c>
      <c r="AK557" s="18" t="n">
        <v>550</v>
      </c>
      <c r="AL557" s="23" t="n"/>
    </row>
    <row r="558" ht="23.5" customHeight="1">
      <c r="A558" s="6" t="inlineStr">
        <is>
          <t>551</t>
        </is>
      </c>
      <c r="B558" s="28" t="n"/>
      <c r="C558" s="55" t="n"/>
      <c r="D558" s="19" t="n"/>
      <c r="E558" s="24" t="n"/>
      <c r="F558" s="25" t="n"/>
      <c r="G558" s="25" t="n"/>
      <c r="H558" s="24" t="n"/>
      <c r="I558" s="11" t="n"/>
      <c r="J558" s="57" t="n"/>
      <c r="K558" s="12" t="n"/>
      <c r="L558" s="13" t="n"/>
      <c r="M558" s="13" t="n"/>
      <c r="N558" s="14">
        <f>ROUND(I558*(SUM(J558:M558))*68%,0)</f>
        <v/>
      </c>
      <c r="O558" s="61" t="n"/>
      <c r="P558" s="59" t="n"/>
      <c r="Q558" s="59" t="n"/>
      <c r="R558" s="58" t="n"/>
      <c r="S558" s="15">
        <f>I558*J558</f>
        <v/>
      </c>
      <c r="T558" s="15">
        <f>SUM(S558:S558)*68%</f>
        <v/>
      </c>
      <c r="U558" s="15">
        <f>I558*K558*40%*O558</f>
        <v/>
      </c>
      <c r="V558" s="15">
        <f>IF(P558&gt;=6750,(I558*K558*40%),0)</f>
        <v/>
      </c>
      <c r="W558" s="15">
        <f>IF(P558&lt;6750,0,IF(Q558="",0,IF(OR(Q558="KURANG",Q558="SANGAT KURANG"),I558*K558*10%,I558*K558*20%)))</f>
        <v/>
      </c>
      <c r="X558" s="15">
        <f>SUM(U558:W558)*68%</f>
        <v/>
      </c>
      <c r="Y558" s="15">
        <f>I558*L558</f>
        <v/>
      </c>
      <c r="Z558" s="15">
        <f>Y558 * 68%</f>
        <v/>
      </c>
      <c r="AA558" s="15">
        <f>I558*M558</f>
        <v/>
      </c>
      <c r="AB558" s="15">
        <f>AA558*68%</f>
        <v/>
      </c>
      <c r="AC558" s="16">
        <f>ROUND((T558+X558+Z558+AB558),0)</f>
        <v/>
      </c>
      <c r="AD558" s="16">
        <f>AG558</f>
        <v/>
      </c>
      <c r="AE558" s="16">
        <f>AI558</f>
        <v/>
      </c>
      <c r="AF558" s="16">
        <f>AC558+AD558+AE558</f>
        <v/>
      </c>
      <c r="AG558" s="16" t="n"/>
      <c r="AH558" s="17" t="n"/>
      <c r="AI558" s="17">
        <f>AH558*4</f>
        <v/>
      </c>
      <c r="AJ558" s="15">
        <f>AF558-AG558-AH558-AI558</f>
        <v/>
      </c>
      <c r="AK558" s="18" t="n">
        <v>551</v>
      </c>
      <c r="AL558" s="40" t="n"/>
    </row>
    <row r="559" ht="23.5" customHeight="1">
      <c r="A559" s="6" t="inlineStr">
        <is>
          <t>552</t>
        </is>
      </c>
      <c r="B559" s="28" t="n"/>
      <c r="C559" s="55" t="n"/>
      <c r="D559" s="19" t="n"/>
      <c r="E559" s="24" t="n"/>
      <c r="F559" s="25" t="n"/>
      <c r="G559" s="25" t="n"/>
      <c r="H559" s="24" t="n"/>
      <c r="I559" s="11" t="n"/>
      <c r="J559" s="57" t="n"/>
      <c r="K559" s="12" t="n"/>
      <c r="L559" s="13" t="n"/>
      <c r="M559" s="13" t="n"/>
      <c r="N559" s="14">
        <f>ROUND(I559*(SUM(J559:M559))*68%,0)</f>
        <v/>
      </c>
      <c r="O559" s="61" t="n"/>
      <c r="P559" s="59" t="n"/>
      <c r="Q559" s="59" t="n"/>
      <c r="R559" s="58" t="n"/>
      <c r="S559" s="15">
        <f>I559*J559</f>
        <v/>
      </c>
      <c r="T559" s="15">
        <f>SUM(S559:S559)*68%</f>
        <v/>
      </c>
      <c r="U559" s="15">
        <f>I559*K559*40%*O559</f>
        <v/>
      </c>
      <c r="V559" s="15">
        <f>IF(P559&gt;=6750,(I559*K559*40%),0)</f>
        <v/>
      </c>
      <c r="W559" s="15">
        <f>IF(P559&lt;6750,0,IF(Q559="",0,IF(OR(Q559="KURANG",Q559="SANGAT KURANG"),I559*K559*10%,I559*K559*20%)))</f>
        <v/>
      </c>
      <c r="X559" s="15">
        <f>SUM(U559:W559)*68%</f>
        <v/>
      </c>
      <c r="Y559" s="15">
        <f>I559*L559</f>
        <v/>
      </c>
      <c r="Z559" s="15">
        <f>Y559 * 68%</f>
        <v/>
      </c>
      <c r="AA559" s="15">
        <f>I559*M559</f>
        <v/>
      </c>
      <c r="AB559" s="15">
        <f>AA559*68%</f>
        <v/>
      </c>
      <c r="AC559" s="16">
        <f>ROUND((T559+X559+Z559+AB559),0)</f>
        <v/>
      </c>
      <c r="AD559" s="16">
        <f>AG559</f>
        <v/>
      </c>
      <c r="AE559" s="16">
        <f>AI559</f>
        <v/>
      </c>
      <c r="AF559" s="16">
        <f>AC559+AD559+AE559</f>
        <v/>
      </c>
      <c r="AG559" s="16" t="n"/>
      <c r="AH559" s="17" t="n"/>
      <c r="AI559" s="17">
        <f>AH559*4</f>
        <v/>
      </c>
      <c r="AJ559" s="15">
        <f>AF559-AG559-AH559-AI559</f>
        <v/>
      </c>
      <c r="AK559" s="18" t="n">
        <v>552</v>
      </c>
      <c r="AL559" s="23" t="n"/>
    </row>
    <row r="560" ht="23.5" customHeight="1">
      <c r="A560" s="6" t="inlineStr">
        <is>
          <t>553</t>
        </is>
      </c>
      <c r="B560" s="28" t="n"/>
      <c r="C560" s="55" t="n"/>
      <c r="D560" s="19" t="n"/>
      <c r="E560" s="24" t="n"/>
      <c r="F560" s="25" t="n"/>
      <c r="G560" s="25" t="n"/>
      <c r="H560" s="24" t="n"/>
      <c r="I560" s="11" t="n"/>
      <c r="J560" s="57" t="n"/>
      <c r="K560" s="12" t="n"/>
      <c r="L560" s="13" t="n"/>
      <c r="M560" s="13" t="n"/>
      <c r="N560" s="14">
        <f>ROUND(I560*(SUM(J560:M560))*68%,0)</f>
        <v/>
      </c>
      <c r="O560" s="61" t="n"/>
      <c r="P560" s="59" t="n"/>
      <c r="Q560" s="59" t="n"/>
      <c r="R560" s="58" t="n"/>
      <c r="S560" s="15">
        <f>I560*J560</f>
        <v/>
      </c>
      <c r="T560" s="15">
        <f>SUM(S560:S560)*68%</f>
        <v/>
      </c>
      <c r="U560" s="15">
        <f>I560*K560*40%*O560</f>
        <v/>
      </c>
      <c r="V560" s="15">
        <f>IF(P560&gt;=6750,(I560*K560*40%),0)</f>
        <v/>
      </c>
      <c r="W560" s="15">
        <f>IF(P560&lt;6750,0,IF(Q560="",0,IF(OR(Q560="KURANG",Q560="SANGAT KURANG"),I560*K560*10%,I560*K560*20%)))</f>
        <v/>
      </c>
      <c r="X560" s="15">
        <f>SUM(U560:W560)*68%</f>
        <v/>
      </c>
      <c r="Y560" s="15">
        <f>I560*L560</f>
        <v/>
      </c>
      <c r="Z560" s="15">
        <f>Y560 * 68%</f>
        <v/>
      </c>
      <c r="AA560" s="15">
        <f>I560*M560</f>
        <v/>
      </c>
      <c r="AB560" s="15">
        <f>AA560*68%</f>
        <v/>
      </c>
      <c r="AC560" s="16">
        <f>ROUND((T560+X560+Z560+AB560),0)</f>
        <v/>
      </c>
      <c r="AD560" s="16">
        <f>AG560</f>
        <v/>
      </c>
      <c r="AE560" s="16">
        <f>AI560</f>
        <v/>
      </c>
      <c r="AF560" s="16">
        <f>AC560+AD560+AE560</f>
        <v/>
      </c>
      <c r="AG560" s="16" t="n"/>
      <c r="AH560" s="17" t="n"/>
      <c r="AI560" s="17">
        <f>AH560*4</f>
        <v/>
      </c>
      <c r="AJ560" s="15">
        <f>AF560-AG560-AH560-AI560</f>
        <v/>
      </c>
      <c r="AK560" s="18" t="n">
        <v>553</v>
      </c>
      <c r="AL560" s="23" t="n"/>
    </row>
    <row r="561" ht="23.5" customHeight="1">
      <c r="A561" s="6" t="inlineStr">
        <is>
          <t>554</t>
        </is>
      </c>
      <c r="B561" s="28" t="n"/>
      <c r="C561" s="55" t="n"/>
      <c r="D561" s="19" t="n"/>
      <c r="E561" s="24" t="n"/>
      <c r="F561" s="25" t="n"/>
      <c r="G561" s="25" t="n"/>
      <c r="H561" s="24" t="n"/>
      <c r="I561" s="11" t="n"/>
      <c r="J561" s="57" t="n"/>
      <c r="K561" s="12" t="n"/>
      <c r="L561" s="13" t="n"/>
      <c r="M561" s="13" t="n"/>
      <c r="N561" s="14">
        <f>ROUND(I561*(SUM(J561:M561))*68%,0)</f>
        <v/>
      </c>
      <c r="O561" s="61" t="n"/>
      <c r="P561" s="59" t="n"/>
      <c r="Q561" s="59" t="n"/>
      <c r="R561" s="58" t="n"/>
      <c r="S561" s="15">
        <f>I561*J561</f>
        <v/>
      </c>
      <c r="T561" s="15">
        <f>SUM(S561:S561)*68%</f>
        <v/>
      </c>
      <c r="U561" s="15">
        <f>I561*K561*40%*O561</f>
        <v/>
      </c>
      <c r="V561" s="15">
        <f>IF(P561&gt;=6750,(I561*K561*40%),0)</f>
        <v/>
      </c>
      <c r="W561" s="15">
        <f>IF(P561&lt;6750,0,IF(Q561="",0,IF(OR(Q561="KURANG",Q561="SANGAT KURANG"),I561*K561*10%,I561*K561*20%)))</f>
        <v/>
      </c>
      <c r="X561" s="15">
        <f>SUM(U561:W561)*68%</f>
        <v/>
      </c>
      <c r="Y561" s="15">
        <f>I561*L561</f>
        <v/>
      </c>
      <c r="Z561" s="15">
        <f>Y561 * 68%</f>
        <v/>
      </c>
      <c r="AA561" s="15">
        <f>I561*M561</f>
        <v/>
      </c>
      <c r="AB561" s="15">
        <f>AA561*68%</f>
        <v/>
      </c>
      <c r="AC561" s="16">
        <f>ROUND((T561+X561+Z561+AB561),0)</f>
        <v/>
      </c>
      <c r="AD561" s="16">
        <f>AG561</f>
        <v/>
      </c>
      <c r="AE561" s="16">
        <f>AI561</f>
        <v/>
      </c>
      <c r="AF561" s="16">
        <f>AC561+AD561+AE561</f>
        <v/>
      </c>
      <c r="AG561" s="16" t="n"/>
      <c r="AH561" s="17" t="n"/>
      <c r="AI561" s="17">
        <f>AH561*4</f>
        <v/>
      </c>
      <c r="AJ561" s="15">
        <f>AF561-AG561-AH561-AI561</f>
        <v/>
      </c>
      <c r="AK561" s="18" t="n">
        <v>554</v>
      </c>
      <c r="AL561" s="40" t="n"/>
    </row>
    <row r="562" ht="23.5" customHeight="1">
      <c r="A562" s="6" t="inlineStr">
        <is>
          <t>555</t>
        </is>
      </c>
      <c r="B562" s="28" t="n"/>
      <c r="C562" s="55" t="n"/>
      <c r="D562" s="19" t="n"/>
      <c r="E562" s="24" t="n"/>
      <c r="F562" s="25" t="n"/>
      <c r="G562" s="25" t="n"/>
      <c r="H562" s="24" t="n"/>
      <c r="I562" s="11" t="n"/>
      <c r="J562" s="57" t="n"/>
      <c r="K562" s="12" t="n"/>
      <c r="L562" s="13" t="n"/>
      <c r="M562" s="13" t="n"/>
      <c r="N562" s="14">
        <f>ROUND(I562*(SUM(J562:M562))*68%,0)</f>
        <v/>
      </c>
      <c r="O562" s="61" t="n"/>
      <c r="P562" s="59" t="n"/>
      <c r="Q562" s="59" t="n"/>
      <c r="R562" s="58" t="n"/>
      <c r="S562" s="15">
        <f>I562*J562</f>
        <v/>
      </c>
      <c r="T562" s="15">
        <f>SUM(S562:S562)*68%</f>
        <v/>
      </c>
      <c r="U562" s="15">
        <f>I562*K562*40%*O562</f>
        <v/>
      </c>
      <c r="V562" s="15">
        <f>IF(P562&gt;=6750,(I562*K562*40%),0)</f>
        <v/>
      </c>
      <c r="W562" s="15">
        <f>IF(P562&lt;6750,0,IF(Q562="",0,IF(OR(Q562="KURANG",Q562="SANGAT KURANG"),I562*K562*10%,I562*K562*20%)))</f>
        <v/>
      </c>
      <c r="X562" s="15">
        <f>SUM(U562:W562)*68%</f>
        <v/>
      </c>
      <c r="Y562" s="15">
        <f>I562*L562</f>
        <v/>
      </c>
      <c r="Z562" s="15">
        <f>Y562 * 68%</f>
        <v/>
      </c>
      <c r="AA562" s="15">
        <f>I562*M562</f>
        <v/>
      </c>
      <c r="AB562" s="15">
        <f>AA562*68%</f>
        <v/>
      </c>
      <c r="AC562" s="16">
        <f>ROUND((T562+X562+Z562+AB562),0)</f>
        <v/>
      </c>
      <c r="AD562" s="16">
        <f>AG562</f>
        <v/>
      </c>
      <c r="AE562" s="16">
        <f>AI562</f>
        <v/>
      </c>
      <c r="AF562" s="16">
        <f>AC562+AD562+AE562</f>
        <v/>
      </c>
      <c r="AG562" s="16" t="n"/>
      <c r="AH562" s="17" t="n"/>
      <c r="AI562" s="17">
        <f>AH562*4</f>
        <v/>
      </c>
      <c r="AJ562" s="15">
        <f>AF562-AG562-AH562-AI562</f>
        <v/>
      </c>
      <c r="AK562" s="18" t="n">
        <v>555</v>
      </c>
      <c r="AL562" s="23" t="n"/>
    </row>
    <row r="563" ht="23.5" customHeight="1">
      <c r="A563" s="6" t="inlineStr">
        <is>
          <t>556</t>
        </is>
      </c>
      <c r="B563" s="28" t="n"/>
      <c r="C563" s="55" t="n"/>
      <c r="D563" s="19" t="n"/>
      <c r="E563" s="24" t="n"/>
      <c r="F563" s="25" t="n"/>
      <c r="G563" s="25" t="n"/>
      <c r="H563" s="24" t="n"/>
      <c r="I563" s="11" t="n"/>
      <c r="J563" s="57" t="n"/>
      <c r="K563" s="12" t="n"/>
      <c r="L563" s="13" t="n"/>
      <c r="M563" s="13" t="n"/>
      <c r="N563" s="14">
        <f>ROUND(I563*(SUM(J563:M563))*68%,0)</f>
        <v/>
      </c>
      <c r="O563" s="61" t="n"/>
      <c r="P563" s="59" t="n"/>
      <c r="Q563" s="59" t="n"/>
      <c r="R563" s="58" t="n"/>
      <c r="S563" s="15">
        <f>I563*J563</f>
        <v/>
      </c>
      <c r="T563" s="15">
        <f>SUM(S563:S563)*68%</f>
        <v/>
      </c>
      <c r="U563" s="15">
        <f>I563*K563*40%*O563</f>
        <v/>
      </c>
      <c r="V563" s="15">
        <f>IF(P563&gt;=6750,(I563*K563*40%),0)</f>
        <v/>
      </c>
      <c r="W563" s="15">
        <f>IF(P563&lt;6750,0,IF(Q563="",0,IF(OR(Q563="KURANG",Q563="SANGAT KURANG"),I563*K563*10%,I563*K563*20%)))</f>
        <v/>
      </c>
      <c r="X563" s="15">
        <f>SUM(U563:W563)*68%</f>
        <v/>
      </c>
      <c r="Y563" s="15">
        <f>I563*L563</f>
        <v/>
      </c>
      <c r="Z563" s="15">
        <f>Y563 * 68%</f>
        <v/>
      </c>
      <c r="AA563" s="15">
        <f>I563*M563</f>
        <v/>
      </c>
      <c r="AB563" s="15">
        <f>AA563*68%</f>
        <v/>
      </c>
      <c r="AC563" s="16">
        <f>ROUND((T563+X563+Z563+AB563),0)</f>
        <v/>
      </c>
      <c r="AD563" s="16">
        <f>AG563</f>
        <v/>
      </c>
      <c r="AE563" s="16">
        <f>AI563</f>
        <v/>
      </c>
      <c r="AF563" s="16">
        <f>AC563+AD563+AE563</f>
        <v/>
      </c>
      <c r="AG563" s="16" t="n"/>
      <c r="AH563" s="17" t="n"/>
      <c r="AI563" s="17">
        <f>AH563*4</f>
        <v/>
      </c>
      <c r="AJ563" s="15">
        <f>AF563-AG563-AH563-AI563</f>
        <v/>
      </c>
      <c r="AK563" s="18" t="n">
        <v>556</v>
      </c>
      <c r="AL563" s="23" t="n"/>
    </row>
    <row r="564" ht="23.5" customHeight="1">
      <c r="A564" s="6" t="inlineStr">
        <is>
          <t>557</t>
        </is>
      </c>
      <c r="B564" s="28" t="n"/>
      <c r="C564" s="55" t="n"/>
      <c r="D564" s="19" t="n"/>
      <c r="E564" s="24" t="n"/>
      <c r="F564" s="25" t="n"/>
      <c r="G564" s="25" t="n"/>
      <c r="H564" s="24" t="n"/>
      <c r="I564" s="11" t="n"/>
      <c r="J564" s="57" t="n"/>
      <c r="K564" s="12" t="n"/>
      <c r="L564" s="13" t="n"/>
      <c r="M564" s="13" t="n"/>
      <c r="N564" s="14">
        <f>ROUND(I564*(SUM(J564:M564))*68%,0)</f>
        <v/>
      </c>
      <c r="O564" s="61" t="n"/>
      <c r="P564" s="59" t="n"/>
      <c r="Q564" s="59" t="n"/>
      <c r="R564" s="58" t="n"/>
      <c r="S564" s="15">
        <f>I564*J564</f>
        <v/>
      </c>
      <c r="T564" s="15">
        <f>SUM(S564:S564)*68%</f>
        <v/>
      </c>
      <c r="U564" s="15">
        <f>I564*K564*40%*O564</f>
        <v/>
      </c>
      <c r="V564" s="15">
        <f>IF(P564&gt;=6750,(I564*K564*40%),0)</f>
        <v/>
      </c>
      <c r="W564" s="15">
        <f>IF(P564&lt;6750,0,IF(Q564="",0,IF(OR(Q564="KURANG",Q564="SANGAT KURANG"),I564*K564*10%,I564*K564*20%)))</f>
        <v/>
      </c>
      <c r="X564" s="15">
        <f>SUM(U564:W564)*68%</f>
        <v/>
      </c>
      <c r="Y564" s="15">
        <f>I564*L564</f>
        <v/>
      </c>
      <c r="Z564" s="15">
        <f>Y564 * 68%</f>
        <v/>
      </c>
      <c r="AA564" s="15">
        <f>I564*M564</f>
        <v/>
      </c>
      <c r="AB564" s="15">
        <f>AA564*68%</f>
        <v/>
      </c>
      <c r="AC564" s="16">
        <f>ROUND((T564+X564+Z564+AB564),0)</f>
        <v/>
      </c>
      <c r="AD564" s="16">
        <f>AG564</f>
        <v/>
      </c>
      <c r="AE564" s="16">
        <f>AI564</f>
        <v/>
      </c>
      <c r="AF564" s="16">
        <f>AC564+AD564+AE564</f>
        <v/>
      </c>
      <c r="AG564" s="16" t="n"/>
      <c r="AH564" s="17" t="n"/>
      <c r="AI564" s="17">
        <f>AH564*4</f>
        <v/>
      </c>
      <c r="AJ564" s="15">
        <f>AF564-AG564-AH564-AI564</f>
        <v/>
      </c>
      <c r="AK564" s="18" t="n">
        <v>557</v>
      </c>
      <c r="AL564" s="40" t="n"/>
    </row>
    <row r="565" ht="23.5" customHeight="1">
      <c r="A565" s="6" t="inlineStr">
        <is>
          <t>558</t>
        </is>
      </c>
      <c r="B565" s="28" t="n"/>
      <c r="C565" s="55" t="n"/>
      <c r="D565" s="19" t="n"/>
      <c r="E565" s="24" t="n"/>
      <c r="F565" s="25" t="n"/>
      <c r="G565" s="25" t="n"/>
      <c r="H565" s="24" t="n"/>
      <c r="I565" s="11" t="n"/>
      <c r="J565" s="57" t="n"/>
      <c r="K565" s="12" t="n"/>
      <c r="L565" s="13" t="n"/>
      <c r="M565" s="13" t="n"/>
      <c r="N565" s="14">
        <f>ROUND(I565*(SUM(J565:M565))*68%,0)</f>
        <v/>
      </c>
      <c r="O565" s="61" t="n"/>
      <c r="P565" s="59" t="n"/>
      <c r="Q565" s="59" t="n"/>
      <c r="R565" s="58" t="n"/>
      <c r="S565" s="15">
        <f>I565*J565</f>
        <v/>
      </c>
      <c r="T565" s="15">
        <f>SUM(S565:S565)*68%</f>
        <v/>
      </c>
      <c r="U565" s="15">
        <f>I565*K565*40%*O565</f>
        <v/>
      </c>
      <c r="V565" s="15">
        <f>IF(P565&gt;=6750,(I565*K565*40%),0)</f>
        <v/>
      </c>
      <c r="W565" s="15">
        <f>IF(P565&lt;6750,0,IF(Q565="",0,IF(OR(Q565="KURANG",Q565="SANGAT KURANG"),I565*K565*10%,I565*K565*20%)))</f>
        <v/>
      </c>
      <c r="X565" s="15">
        <f>SUM(U565:W565)*68%</f>
        <v/>
      </c>
      <c r="Y565" s="15">
        <f>I565*L565</f>
        <v/>
      </c>
      <c r="Z565" s="15">
        <f>Y565 * 68%</f>
        <v/>
      </c>
      <c r="AA565" s="15">
        <f>I565*M565</f>
        <v/>
      </c>
      <c r="AB565" s="15">
        <f>AA565*68%</f>
        <v/>
      </c>
      <c r="AC565" s="16">
        <f>ROUND((T565+X565+Z565+AB565),0)</f>
        <v/>
      </c>
      <c r="AD565" s="16">
        <f>AG565</f>
        <v/>
      </c>
      <c r="AE565" s="16">
        <f>AI565</f>
        <v/>
      </c>
      <c r="AF565" s="16">
        <f>AC565+AD565+AE565</f>
        <v/>
      </c>
      <c r="AG565" s="16" t="n"/>
      <c r="AH565" s="17" t="n"/>
      <c r="AI565" s="17">
        <f>AH565*4</f>
        <v/>
      </c>
      <c r="AJ565" s="15">
        <f>AF565-AG565-AH565-AI565</f>
        <v/>
      </c>
      <c r="AK565" s="18" t="n">
        <v>558</v>
      </c>
      <c r="AL565" s="23" t="n"/>
    </row>
    <row r="566" ht="23.5" customHeight="1">
      <c r="A566" s="6" t="inlineStr">
        <is>
          <t>559</t>
        </is>
      </c>
      <c r="B566" s="28" t="n"/>
      <c r="C566" s="55" t="n"/>
      <c r="D566" s="19" t="n"/>
      <c r="E566" s="24" t="n"/>
      <c r="F566" s="25" t="n"/>
      <c r="G566" s="25" t="n"/>
      <c r="H566" s="24" t="n"/>
      <c r="I566" s="11" t="n"/>
      <c r="J566" s="57" t="n"/>
      <c r="K566" s="12" t="n"/>
      <c r="L566" s="13" t="n"/>
      <c r="M566" s="13" t="n"/>
      <c r="N566" s="14">
        <f>ROUND(I566*(SUM(J566:M566))*68%,0)</f>
        <v/>
      </c>
      <c r="O566" s="61" t="n"/>
      <c r="P566" s="59" t="n"/>
      <c r="Q566" s="59" t="n"/>
      <c r="R566" s="58" t="n"/>
      <c r="S566" s="15">
        <f>I566*J566</f>
        <v/>
      </c>
      <c r="T566" s="15">
        <f>SUM(S566:S566)*68%</f>
        <v/>
      </c>
      <c r="U566" s="15">
        <f>I566*K566*40%*O566</f>
        <v/>
      </c>
      <c r="V566" s="15">
        <f>IF(P566&gt;=6750,(I566*K566*40%),0)</f>
        <v/>
      </c>
      <c r="W566" s="15">
        <f>IF(P566&lt;6750,0,IF(Q566="",0,IF(OR(Q566="KURANG",Q566="SANGAT KURANG"),I566*K566*10%,I566*K566*20%)))</f>
        <v/>
      </c>
      <c r="X566" s="15">
        <f>SUM(U566:W566)*68%</f>
        <v/>
      </c>
      <c r="Y566" s="15">
        <f>I566*L566</f>
        <v/>
      </c>
      <c r="Z566" s="15">
        <f>Y566 * 68%</f>
        <v/>
      </c>
      <c r="AA566" s="15">
        <f>I566*M566</f>
        <v/>
      </c>
      <c r="AB566" s="15">
        <f>AA566*68%</f>
        <v/>
      </c>
      <c r="AC566" s="16">
        <f>ROUND((T566+X566+Z566+AB566),0)</f>
        <v/>
      </c>
      <c r="AD566" s="16">
        <f>AG566</f>
        <v/>
      </c>
      <c r="AE566" s="16">
        <f>AI566</f>
        <v/>
      </c>
      <c r="AF566" s="16">
        <f>AC566+AD566+AE566</f>
        <v/>
      </c>
      <c r="AG566" s="16" t="n"/>
      <c r="AH566" s="17" t="n"/>
      <c r="AI566" s="17">
        <f>AH566*4</f>
        <v/>
      </c>
      <c r="AJ566" s="15">
        <f>AF566-AG566-AH566-AI566</f>
        <v/>
      </c>
      <c r="AK566" s="18" t="n">
        <v>559</v>
      </c>
      <c r="AL566" s="23" t="n"/>
    </row>
    <row r="567" ht="23.5" customHeight="1">
      <c r="A567" s="6" t="inlineStr">
        <is>
          <t>560</t>
        </is>
      </c>
      <c r="B567" s="28" t="n"/>
      <c r="C567" s="55" t="n"/>
      <c r="D567" s="19" t="n"/>
      <c r="E567" s="24" t="n"/>
      <c r="F567" s="25" t="n"/>
      <c r="G567" s="25" t="n"/>
      <c r="H567" s="24" t="n"/>
      <c r="I567" s="11" t="n"/>
      <c r="J567" s="57" t="n"/>
      <c r="K567" s="12" t="n"/>
      <c r="L567" s="13" t="n"/>
      <c r="M567" s="13" t="n"/>
      <c r="N567" s="14">
        <f>ROUND(I567*(SUM(J567:M567))*68%,0)</f>
        <v/>
      </c>
      <c r="O567" s="61" t="n"/>
      <c r="P567" s="59" t="n"/>
      <c r="Q567" s="59" t="n"/>
      <c r="R567" s="58" t="n"/>
      <c r="S567" s="15">
        <f>I567*J567</f>
        <v/>
      </c>
      <c r="T567" s="15">
        <f>SUM(S567:S567)*68%</f>
        <v/>
      </c>
      <c r="U567" s="15">
        <f>I567*K567*40%*O567</f>
        <v/>
      </c>
      <c r="V567" s="15">
        <f>IF(P567&gt;=6750,(I567*K567*40%),0)</f>
        <v/>
      </c>
      <c r="W567" s="15">
        <f>IF(P567&lt;6750,0,IF(Q567="",0,IF(OR(Q567="KURANG",Q567="SANGAT KURANG"),I567*K567*10%,I567*K567*20%)))</f>
        <v/>
      </c>
      <c r="X567" s="15">
        <f>SUM(U567:W567)*68%</f>
        <v/>
      </c>
      <c r="Y567" s="15">
        <f>I567*L567</f>
        <v/>
      </c>
      <c r="Z567" s="15">
        <f>Y567 * 68%</f>
        <v/>
      </c>
      <c r="AA567" s="15">
        <f>I567*M567</f>
        <v/>
      </c>
      <c r="AB567" s="15">
        <f>AA567*68%</f>
        <v/>
      </c>
      <c r="AC567" s="16">
        <f>ROUND((T567+X567+Z567+AB567),0)</f>
        <v/>
      </c>
      <c r="AD567" s="16">
        <f>AG567</f>
        <v/>
      </c>
      <c r="AE567" s="16">
        <f>AI567</f>
        <v/>
      </c>
      <c r="AF567" s="16">
        <f>AC567+AD567+AE567</f>
        <v/>
      </c>
      <c r="AG567" s="16" t="n"/>
      <c r="AH567" s="17" t="n"/>
      <c r="AI567" s="17">
        <f>AH567*4</f>
        <v/>
      </c>
      <c r="AJ567" s="15">
        <f>AF567-AG567-AH567-AI567</f>
        <v/>
      </c>
      <c r="AK567" s="18" t="n">
        <v>560</v>
      </c>
      <c r="AL567" s="40" t="n"/>
    </row>
    <row r="568" ht="23.5" customHeight="1">
      <c r="A568" s="6" t="inlineStr">
        <is>
          <t>561</t>
        </is>
      </c>
      <c r="B568" s="28" t="n"/>
      <c r="C568" s="55" t="n"/>
      <c r="D568" s="19" t="n"/>
      <c r="E568" s="24" t="n"/>
      <c r="F568" s="25" t="n"/>
      <c r="G568" s="25" t="n"/>
      <c r="H568" s="24" t="n"/>
      <c r="I568" s="11" t="n"/>
      <c r="J568" s="57" t="n"/>
      <c r="K568" s="12" t="n"/>
      <c r="L568" s="13" t="n"/>
      <c r="M568" s="13" t="n"/>
      <c r="N568" s="14">
        <f>ROUND(I568*(SUM(J568:M568))*68%,0)</f>
        <v/>
      </c>
      <c r="O568" s="61" t="n"/>
      <c r="P568" s="59" t="n"/>
      <c r="Q568" s="59" t="n"/>
      <c r="R568" s="58" t="n"/>
      <c r="S568" s="15">
        <f>I568*J568</f>
        <v/>
      </c>
      <c r="T568" s="15">
        <f>SUM(S568:S568)*68%</f>
        <v/>
      </c>
      <c r="U568" s="15">
        <f>I568*K568*40%*O568</f>
        <v/>
      </c>
      <c r="V568" s="15">
        <f>IF(P568&gt;=6750,(I568*K568*40%),0)</f>
        <v/>
      </c>
      <c r="W568" s="15">
        <f>IF(P568&lt;6750,0,IF(Q568="",0,IF(OR(Q568="KURANG",Q568="SANGAT KURANG"),I568*K568*10%,I568*K568*20%)))</f>
        <v/>
      </c>
      <c r="X568" s="15">
        <f>SUM(U568:W568)*68%</f>
        <v/>
      </c>
      <c r="Y568" s="15">
        <f>I568*L568</f>
        <v/>
      </c>
      <c r="Z568" s="15">
        <f>Y568 * 68%</f>
        <v/>
      </c>
      <c r="AA568" s="15">
        <f>I568*M568</f>
        <v/>
      </c>
      <c r="AB568" s="15">
        <f>AA568*68%</f>
        <v/>
      </c>
      <c r="AC568" s="16">
        <f>ROUND((T568+X568+Z568+AB568),0)</f>
        <v/>
      </c>
      <c r="AD568" s="16">
        <f>AG568</f>
        <v/>
      </c>
      <c r="AE568" s="16">
        <f>AI568</f>
        <v/>
      </c>
      <c r="AF568" s="16">
        <f>AC568+AD568+AE568</f>
        <v/>
      </c>
      <c r="AG568" s="16" t="n"/>
      <c r="AH568" s="17" t="n"/>
      <c r="AI568" s="17">
        <f>AH568*4</f>
        <v/>
      </c>
      <c r="AJ568" s="15">
        <f>AF568-AG568-AH568-AI568</f>
        <v/>
      </c>
      <c r="AK568" s="18" t="n">
        <v>561</v>
      </c>
      <c r="AL568" s="23" t="n"/>
    </row>
    <row r="569" ht="23.5" customHeight="1">
      <c r="A569" s="6" t="inlineStr">
        <is>
          <t>562</t>
        </is>
      </c>
      <c r="B569" s="28" t="n"/>
      <c r="C569" s="55" t="n"/>
      <c r="D569" s="19" t="n"/>
      <c r="E569" s="24" t="n"/>
      <c r="F569" s="25" t="n"/>
      <c r="G569" s="25" t="n"/>
      <c r="H569" s="24" t="n"/>
      <c r="I569" s="11" t="n"/>
      <c r="J569" s="57" t="n"/>
      <c r="K569" s="12" t="n"/>
      <c r="L569" s="13" t="n"/>
      <c r="M569" s="13" t="n"/>
      <c r="N569" s="14">
        <f>ROUND(I569*(SUM(J569:M569))*68%,0)</f>
        <v/>
      </c>
      <c r="O569" s="61" t="n"/>
      <c r="P569" s="59" t="n"/>
      <c r="Q569" s="59" t="n"/>
      <c r="R569" s="58" t="n"/>
      <c r="S569" s="15">
        <f>I569*J569</f>
        <v/>
      </c>
      <c r="T569" s="15">
        <f>SUM(S569:S569)*68%</f>
        <v/>
      </c>
      <c r="U569" s="15">
        <f>I569*K569*40%*O569</f>
        <v/>
      </c>
      <c r="V569" s="15">
        <f>IF(P569&gt;=6750,(I569*K569*40%),0)</f>
        <v/>
      </c>
      <c r="W569" s="15">
        <f>IF(P569&lt;6750,0,IF(Q569="",0,IF(OR(Q569="KURANG",Q569="SANGAT KURANG"),I569*K569*10%,I569*K569*20%)))</f>
        <v/>
      </c>
      <c r="X569" s="15">
        <f>SUM(U569:W569)*68%</f>
        <v/>
      </c>
      <c r="Y569" s="15">
        <f>I569*L569</f>
        <v/>
      </c>
      <c r="Z569" s="15">
        <f>Y569 * 68%</f>
        <v/>
      </c>
      <c r="AA569" s="15">
        <f>I569*M569</f>
        <v/>
      </c>
      <c r="AB569" s="15">
        <f>AA569*68%</f>
        <v/>
      </c>
      <c r="AC569" s="16">
        <f>ROUND((T569+X569+Z569+AB569),0)</f>
        <v/>
      </c>
      <c r="AD569" s="16">
        <f>AG569</f>
        <v/>
      </c>
      <c r="AE569" s="16">
        <f>AI569</f>
        <v/>
      </c>
      <c r="AF569" s="16">
        <f>AC569+AD569+AE569</f>
        <v/>
      </c>
      <c r="AG569" s="16" t="n"/>
      <c r="AH569" s="17" t="n"/>
      <c r="AI569" s="17">
        <f>AH569*4</f>
        <v/>
      </c>
      <c r="AJ569" s="15">
        <f>AF569-AG569-AH569-AI569</f>
        <v/>
      </c>
      <c r="AK569" s="18" t="n">
        <v>562</v>
      </c>
      <c r="AL569" s="23" t="n"/>
    </row>
    <row r="570" ht="23.5" customHeight="1">
      <c r="A570" s="6" t="inlineStr">
        <is>
          <t>563</t>
        </is>
      </c>
      <c r="B570" s="28" t="n"/>
      <c r="C570" s="55" t="n"/>
      <c r="D570" s="19" t="n"/>
      <c r="E570" s="24" t="n"/>
      <c r="F570" s="25" t="n"/>
      <c r="G570" s="25" t="n"/>
      <c r="H570" s="24" t="n"/>
      <c r="I570" s="11" t="n"/>
      <c r="J570" s="57" t="n"/>
      <c r="K570" s="12" t="n"/>
      <c r="L570" s="13" t="n"/>
      <c r="M570" s="13" t="n"/>
      <c r="N570" s="14">
        <f>ROUND(I570*(SUM(J570:M570))*68%,0)</f>
        <v/>
      </c>
      <c r="O570" s="61" t="n"/>
      <c r="P570" s="59" t="n"/>
      <c r="Q570" s="59" t="n"/>
      <c r="R570" s="58" t="n"/>
      <c r="S570" s="15">
        <f>I570*J570</f>
        <v/>
      </c>
      <c r="T570" s="15">
        <f>SUM(S570:S570)*68%</f>
        <v/>
      </c>
      <c r="U570" s="15">
        <f>I570*K570*40%*O570</f>
        <v/>
      </c>
      <c r="V570" s="15">
        <f>IF(P570&gt;=6750,(I570*K570*40%),0)</f>
        <v/>
      </c>
      <c r="W570" s="15">
        <f>IF(P570&lt;6750,0,IF(Q570="",0,IF(OR(Q570="KURANG",Q570="SANGAT KURANG"),I570*K570*10%,I570*K570*20%)))</f>
        <v/>
      </c>
      <c r="X570" s="15">
        <f>SUM(U570:W570)*68%</f>
        <v/>
      </c>
      <c r="Y570" s="15">
        <f>I570*L570</f>
        <v/>
      </c>
      <c r="Z570" s="15">
        <f>Y570 * 68%</f>
        <v/>
      </c>
      <c r="AA570" s="15">
        <f>I570*M570</f>
        <v/>
      </c>
      <c r="AB570" s="15">
        <f>AA570*68%</f>
        <v/>
      </c>
      <c r="AC570" s="16">
        <f>ROUND((T570+X570+Z570+AB570),0)</f>
        <v/>
      </c>
      <c r="AD570" s="16">
        <f>AG570</f>
        <v/>
      </c>
      <c r="AE570" s="16">
        <f>AI570</f>
        <v/>
      </c>
      <c r="AF570" s="16">
        <f>AC570+AD570+AE570</f>
        <v/>
      </c>
      <c r="AG570" s="16" t="n"/>
      <c r="AH570" s="17" t="n"/>
      <c r="AI570" s="17">
        <f>AH570*4</f>
        <v/>
      </c>
      <c r="AJ570" s="15">
        <f>AF570-AG570-AH570-AI570</f>
        <v/>
      </c>
      <c r="AK570" s="18" t="n">
        <v>563</v>
      </c>
      <c r="AL570" s="40" t="n"/>
    </row>
    <row r="571" ht="23.5" customHeight="1">
      <c r="A571" s="6" t="inlineStr">
        <is>
          <t>564</t>
        </is>
      </c>
      <c r="B571" s="28" t="n"/>
      <c r="C571" s="55" t="n"/>
      <c r="D571" s="19" t="n"/>
      <c r="E571" s="24" t="n"/>
      <c r="F571" s="25" t="n"/>
      <c r="G571" s="25" t="n"/>
      <c r="H571" s="24" t="n"/>
      <c r="I571" s="11" t="n"/>
      <c r="J571" s="57" t="n"/>
      <c r="K571" s="12" t="n"/>
      <c r="L571" s="13" t="n"/>
      <c r="M571" s="13" t="n"/>
      <c r="N571" s="14">
        <f>ROUND(I571*(SUM(J571:M571))*68%,0)</f>
        <v/>
      </c>
      <c r="O571" s="61" t="n"/>
      <c r="P571" s="59" t="n"/>
      <c r="Q571" s="59" t="n"/>
      <c r="R571" s="58" t="n"/>
      <c r="S571" s="15">
        <f>I571*J571</f>
        <v/>
      </c>
      <c r="T571" s="15">
        <f>SUM(S571:S571)*68%</f>
        <v/>
      </c>
      <c r="U571" s="15">
        <f>I571*K571*40%*O571</f>
        <v/>
      </c>
      <c r="V571" s="15">
        <f>IF(P571&gt;=6750,(I571*K571*40%),0)</f>
        <v/>
      </c>
      <c r="W571" s="15">
        <f>IF(P571&lt;6750,0,IF(Q571="",0,IF(OR(Q571="KURANG",Q571="SANGAT KURANG"),I571*K571*10%,I571*K571*20%)))</f>
        <v/>
      </c>
      <c r="X571" s="15">
        <f>SUM(U571:W571)*68%</f>
        <v/>
      </c>
      <c r="Y571" s="15">
        <f>I571*L571</f>
        <v/>
      </c>
      <c r="Z571" s="15">
        <f>Y571 * 68%</f>
        <v/>
      </c>
      <c r="AA571" s="15">
        <f>I571*M571</f>
        <v/>
      </c>
      <c r="AB571" s="15">
        <f>AA571*68%</f>
        <v/>
      </c>
      <c r="AC571" s="16">
        <f>ROUND((T571+X571+Z571+AB571),0)</f>
        <v/>
      </c>
      <c r="AD571" s="16">
        <f>AG571</f>
        <v/>
      </c>
      <c r="AE571" s="16">
        <f>AI571</f>
        <v/>
      </c>
      <c r="AF571" s="16">
        <f>AC571+AD571+AE571</f>
        <v/>
      </c>
      <c r="AG571" s="16" t="n"/>
      <c r="AH571" s="17" t="n"/>
      <c r="AI571" s="17">
        <f>AH571*4</f>
        <v/>
      </c>
      <c r="AJ571" s="15">
        <f>AF571-AG571-AH571-AI571</f>
        <v/>
      </c>
      <c r="AK571" s="18" t="n">
        <v>564</v>
      </c>
      <c r="AL571" s="23" t="n"/>
    </row>
    <row r="572" ht="23.5" customHeight="1">
      <c r="A572" s="6" t="inlineStr">
        <is>
          <t>565</t>
        </is>
      </c>
      <c r="B572" s="28" t="n"/>
      <c r="C572" s="55" t="n"/>
      <c r="D572" s="19" t="n"/>
      <c r="E572" s="24" t="n"/>
      <c r="F572" s="25" t="n"/>
      <c r="G572" s="25" t="n"/>
      <c r="H572" s="24" t="n"/>
      <c r="I572" s="11" t="n"/>
      <c r="J572" s="57" t="n"/>
      <c r="K572" s="12" t="n"/>
      <c r="L572" s="13" t="n"/>
      <c r="M572" s="13" t="n"/>
      <c r="N572" s="14">
        <f>ROUND(I572*(SUM(J572:M572))*68%,0)</f>
        <v/>
      </c>
      <c r="O572" s="61" t="n"/>
      <c r="P572" s="59" t="n"/>
      <c r="Q572" s="59" t="n"/>
      <c r="R572" s="58" t="n"/>
      <c r="S572" s="15">
        <f>I572*J572</f>
        <v/>
      </c>
      <c r="T572" s="15">
        <f>SUM(S572:S572)*68%</f>
        <v/>
      </c>
      <c r="U572" s="15">
        <f>I572*K572*40%*O572</f>
        <v/>
      </c>
      <c r="V572" s="15">
        <f>IF(P572&gt;=6750,(I572*K572*40%),0)</f>
        <v/>
      </c>
      <c r="W572" s="15">
        <f>IF(P572&lt;6750,0,IF(Q572="",0,IF(OR(Q572="KURANG",Q572="SANGAT KURANG"),I572*K572*10%,I572*K572*20%)))</f>
        <v/>
      </c>
      <c r="X572" s="15">
        <f>SUM(U572:W572)*68%</f>
        <v/>
      </c>
      <c r="Y572" s="15">
        <f>I572*L572</f>
        <v/>
      </c>
      <c r="Z572" s="15">
        <f>Y572 * 68%</f>
        <v/>
      </c>
      <c r="AA572" s="15">
        <f>I572*M572</f>
        <v/>
      </c>
      <c r="AB572" s="15">
        <f>AA572*68%</f>
        <v/>
      </c>
      <c r="AC572" s="16">
        <f>ROUND((T572+X572+Z572+AB572),0)</f>
        <v/>
      </c>
      <c r="AD572" s="16">
        <f>AG572</f>
        <v/>
      </c>
      <c r="AE572" s="16">
        <f>AI572</f>
        <v/>
      </c>
      <c r="AF572" s="16">
        <f>AC572+AD572+AE572</f>
        <v/>
      </c>
      <c r="AG572" s="16" t="n"/>
      <c r="AH572" s="17" t="n"/>
      <c r="AI572" s="17">
        <f>AH572*4</f>
        <v/>
      </c>
      <c r="AJ572" s="15">
        <f>AF572-AG572-AH572-AI572</f>
        <v/>
      </c>
      <c r="AK572" s="18" t="n">
        <v>565</v>
      </c>
      <c r="AL572" s="23" t="n"/>
    </row>
    <row r="573" ht="23.5" customHeight="1">
      <c r="A573" s="6" t="inlineStr">
        <is>
          <t>566</t>
        </is>
      </c>
      <c r="B573" s="28" t="n"/>
      <c r="C573" s="55" t="n"/>
      <c r="D573" s="19" t="n"/>
      <c r="E573" s="24" t="n"/>
      <c r="F573" s="25" t="n"/>
      <c r="G573" s="25" t="n"/>
      <c r="H573" s="24" t="n"/>
      <c r="I573" s="11" t="n"/>
      <c r="J573" s="57" t="n"/>
      <c r="K573" s="12" t="n"/>
      <c r="L573" s="13" t="n"/>
      <c r="M573" s="13" t="n"/>
      <c r="N573" s="14">
        <f>ROUND(I573*(SUM(J573:M573))*68%,0)</f>
        <v/>
      </c>
      <c r="O573" s="61" t="n"/>
      <c r="P573" s="59" t="n"/>
      <c r="Q573" s="59" t="n"/>
      <c r="R573" s="58" t="n"/>
      <c r="S573" s="15">
        <f>I573*J573</f>
        <v/>
      </c>
      <c r="T573" s="15">
        <f>SUM(S573:S573)*68%</f>
        <v/>
      </c>
      <c r="U573" s="15">
        <f>I573*K573*40%*O573</f>
        <v/>
      </c>
      <c r="V573" s="15">
        <f>IF(P573&gt;=6750,(I573*K573*40%),0)</f>
        <v/>
      </c>
      <c r="W573" s="15">
        <f>IF(P573&lt;6750,0,IF(Q573="",0,IF(OR(Q573="KURANG",Q573="SANGAT KURANG"),I573*K573*10%,I573*K573*20%)))</f>
        <v/>
      </c>
      <c r="X573" s="15">
        <f>SUM(U573:W573)*68%</f>
        <v/>
      </c>
      <c r="Y573" s="15">
        <f>I573*L573</f>
        <v/>
      </c>
      <c r="Z573" s="15">
        <f>Y573 * 68%</f>
        <v/>
      </c>
      <c r="AA573" s="15">
        <f>I573*M573</f>
        <v/>
      </c>
      <c r="AB573" s="15">
        <f>AA573*68%</f>
        <v/>
      </c>
      <c r="AC573" s="16">
        <f>ROUND((T573+X573+Z573+AB573),0)</f>
        <v/>
      </c>
      <c r="AD573" s="16">
        <f>AG573</f>
        <v/>
      </c>
      <c r="AE573" s="16">
        <f>AI573</f>
        <v/>
      </c>
      <c r="AF573" s="16">
        <f>AC573+AD573+AE573</f>
        <v/>
      </c>
      <c r="AG573" s="16" t="n"/>
      <c r="AH573" s="17" t="n"/>
      <c r="AI573" s="17">
        <f>AH573*4</f>
        <v/>
      </c>
      <c r="AJ573" s="15">
        <f>AF573-AG573-AH573-AI573</f>
        <v/>
      </c>
      <c r="AK573" s="18" t="n">
        <v>566</v>
      </c>
      <c r="AL573" s="40" t="n"/>
    </row>
    <row r="574" ht="23.5" customHeight="1">
      <c r="A574" s="6" t="inlineStr">
        <is>
          <t>567</t>
        </is>
      </c>
      <c r="B574" s="28" t="n"/>
      <c r="C574" s="55" t="n"/>
      <c r="D574" s="19" t="n"/>
      <c r="E574" s="24" t="n"/>
      <c r="F574" s="25" t="n"/>
      <c r="G574" s="25" t="n"/>
      <c r="H574" s="24" t="n"/>
      <c r="I574" s="11" t="n"/>
      <c r="J574" s="57" t="n"/>
      <c r="K574" s="12" t="n"/>
      <c r="L574" s="13" t="n"/>
      <c r="M574" s="13" t="n"/>
      <c r="N574" s="14">
        <f>ROUND(I574*(SUM(J574:M574))*68%,0)</f>
        <v/>
      </c>
      <c r="O574" s="61" t="n"/>
      <c r="P574" s="59" t="n"/>
      <c r="Q574" s="59" t="n"/>
      <c r="R574" s="58" t="n"/>
      <c r="S574" s="15">
        <f>I574*J574</f>
        <v/>
      </c>
      <c r="T574" s="15">
        <f>SUM(S574:S574)*68%</f>
        <v/>
      </c>
      <c r="U574" s="15">
        <f>I574*K574*40%*O574</f>
        <v/>
      </c>
      <c r="V574" s="15">
        <f>IF(P574&gt;=6750,(I574*K574*40%),0)</f>
        <v/>
      </c>
      <c r="W574" s="15">
        <f>IF(P574&lt;6750,0,IF(Q574="",0,IF(OR(Q574="KURANG",Q574="SANGAT KURANG"),I574*K574*10%,I574*K574*20%)))</f>
        <v/>
      </c>
      <c r="X574" s="15">
        <f>SUM(U574:W574)*68%</f>
        <v/>
      </c>
      <c r="Y574" s="15">
        <f>I574*L574</f>
        <v/>
      </c>
      <c r="Z574" s="15">
        <f>Y574 * 68%</f>
        <v/>
      </c>
      <c r="AA574" s="15">
        <f>I574*M574</f>
        <v/>
      </c>
      <c r="AB574" s="15">
        <f>AA574*68%</f>
        <v/>
      </c>
      <c r="AC574" s="16">
        <f>ROUND((T574+X574+Z574+AB574),0)</f>
        <v/>
      </c>
      <c r="AD574" s="16">
        <f>AG574</f>
        <v/>
      </c>
      <c r="AE574" s="16">
        <f>AI574</f>
        <v/>
      </c>
      <c r="AF574" s="16">
        <f>AC574+AD574+AE574</f>
        <v/>
      </c>
      <c r="AG574" s="16" t="n"/>
      <c r="AH574" s="17" t="n"/>
      <c r="AI574" s="17">
        <f>AH574*4</f>
        <v/>
      </c>
      <c r="AJ574" s="15">
        <f>AF574-AG574-AH574-AI574</f>
        <v/>
      </c>
      <c r="AK574" s="18" t="n">
        <v>567</v>
      </c>
      <c r="AL574" s="23" t="n"/>
    </row>
    <row r="575" ht="23.5" customHeight="1">
      <c r="A575" s="6" t="inlineStr">
        <is>
          <t>568</t>
        </is>
      </c>
      <c r="B575" s="28" t="n"/>
      <c r="C575" s="55" t="n"/>
      <c r="D575" s="19" t="n"/>
      <c r="E575" s="24" t="n"/>
      <c r="F575" s="25" t="n"/>
      <c r="G575" s="25" t="n"/>
      <c r="H575" s="24" t="n"/>
      <c r="I575" s="11" t="n"/>
      <c r="J575" s="57" t="n"/>
      <c r="K575" s="12" t="n"/>
      <c r="L575" s="13" t="n"/>
      <c r="M575" s="13" t="n"/>
      <c r="N575" s="14">
        <f>ROUND(I575*(SUM(J575:M575))*68%,0)</f>
        <v/>
      </c>
      <c r="O575" s="61" t="n"/>
      <c r="P575" s="59" t="n"/>
      <c r="Q575" s="59" t="n"/>
      <c r="R575" s="58" t="n"/>
      <c r="S575" s="15">
        <f>I575*J575</f>
        <v/>
      </c>
      <c r="T575" s="15">
        <f>SUM(S575:S575)*68%</f>
        <v/>
      </c>
      <c r="U575" s="15">
        <f>I575*K575*40%*O575</f>
        <v/>
      </c>
      <c r="V575" s="15">
        <f>IF(P575&gt;=6750,(I575*K575*40%),0)</f>
        <v/>
      </c>
      <c r="W575" s="15">
        <f>IF(P575&lt;6750,0,IF(Q575="",0,IF(OR(Q575="KURANG",Q575="SANGAT KURANG"),I575*K575*10%,I575*K575*20%)))</f>
        <v/>
      </c>
      <c r="X575" s="15">
        <f>SUM(U575:W575)*68%</f>
        <v/>
      </c>
      <c r="Y575" s="15">
        <f>I575*L575</f>
        <v/>
      </c>
      <c r="Z575" s="15">
        <f>Y575 * 68%</f>
        <v/>
      </c>
      <c r="AA575" s="15">
        <f>I575*M575</f>
        <v/>
      </c>
      <c r="AB575" s="15">
        <f>AA575*68%</f>
        <v/>
      </c>
      <c r="AC575" s="16">
        <f>ROUND((T575+X575+Z575+AB575),0)</f>
        <v/>
      </c>
      <c r="AD575" s="16">
        <f>AG575</f>
        <v/>
      </c>
      <c r="AE575" s="16">
        <f>AI575</f>
        <v/>
      </c>
      <c r="AF575" s="16">
        <f>AC575+AD575+AE575</f>
        <v/>
      </c>
      <c r="AG575" s="16" t="n"/>
      <c r="AH575" s="17" t="n"/>
      <c r="AI575" s="17">
        <f>AH575*4</f>
        <v/>
      </c>
      <c r="AJ575" s="15">
        <f>AF575-AG575-AH575-AI575</f>
        <v/>
      </c>
      <c r="AK575" s="18" t="n">
        <v>568</v>
      </c>
      <c r="AL575" s="23" t="n"/>
    </row>
    <row r="576" ht="23.5" customHeight="1">
      <c r="A576" s="6" t="inlineStr">
        <is>
          <t>569</t>
        </is>
      </c>
      <c r="B576" s="28" t="n"/>
      <c r="C576" s="55" t="n"/>
      <c r="D576" s="19" t="n"/>
      <c r="E576" s="24" t="n"/>
      <c r="F576" s="25" t="n"/>
      <c r="G576" s="25" t="n"/>
      <c r="H576" s="24" t="n"/>
      <c r="I576" s="11" t="n"/>
      <c r="J576" s="57" t="n"/>
      <c r="K576" s="12" t="n"/>
      <c r="L576" s="13" t="n"/>
      <c r="M576" s="13" t="n"/>
      <c r="N576" s="14">
        <f>ROUND(I576*(SUM(J576:M576))*68%,0)</f>
        <v/>
      </c>
      <c r="O576" s="61" t="n"/>
      <c r="P576" s="59" t="n"/>
      <c r="Q576" s="59" t="n"/>
      <c r="R576" s="58" t="n"/>
      <c r="S576" s="15">
        <f>I576*J576</f>
        <v/>
      </c>
      <c r="T576" s="15">
        <f>SUM(S576:S576)*68%</f>
        <v/>
      </c>
      <c r="U576" s="15">
        <f>I576*K576*40%*O576</f>
        <v/>
      </c>
      <c r="V576" s="15">
        <f>IF(P576&gt;=6750,(I576*K576*40%),0)</f>
        <v/>
      </c>
      <c r="W576" s="15">
        <f>IF(P576&lt;6750,0,IF(Q576="",0,IF(OR(Q576="KURANG",Q576="SANGAT KURANG"),I576*K576*10%,I576*K576*20%)))</f>
        <v/>
      </c>
      <c r="X576" s="15">
        <f>SUM(U576:W576)*68%</f>
        <v/>
      </c>
      <c r="Y576" s="15">
        <f>I576*L576</f>
        <v/>
      </c>
      <c r="Z576" s="15">
        <f>Y576 * 68%</f>
        <v/>
      </c>
      <c r="AA576" s="15">
        <f>I576*M576</f>
        <v/>
      </c>
      <c r="AB576" s="15">
        <f>AA576*68%</f>
        <v/>
      </c>
      <c r="AC576" s="16">
        <f>ROUND((T576+X576+Z576+AB576),0)</f>
        <v/>
      </c>
      <c r="AD576" s="16">
        <f>AG576</f>
        <v/>
      </c>
      <c r="AE576" s="16">
        <f>AI576</f>
        <v/>
      </c>
      <c r="AF576" s="16">
        <f>AC576+AD576+AE576</f>
        <v/>
      </c>
      <c r="AG576" s="16" t="n"/>
      <c r="AH576" s="17" t="n"/>
      <c r="AI576" s="17">
        <f>AH576*4</f>
        <v/>
      </c>
      <c r="AJ576" s="15">
        <f>AF576-AG576-AH576-AI576</f>
        <v/>
      </c>
      <c r="AK576" s="18" t="n">
        <v>569</v>
      </c>
      <c r="AL576" s="40" t="n"/>
    </row>
    <row r="577" ht="23.5" customHeight="1">
      <c r="A577" s="6" t="inlineStr">
        <is>
          <t>570</t>
        </is>
      </c>
      <c r="B577" s="28" t="n"/>
      <c r="C577" s="55" t="n"/>
      <c r="D577" s="19" t="n"/>
      <c r="E577" s="24" t="n"/>
      <c r="F577" s="25" t="n"/>
      <c r="G577" s="25" t="n"/>
      <c r="H577" s="24" t="n"/>
      <c r="I577" s="11" t="n"/>
      <c r="J577" s="57" t="n"/>
      <c r="K577" s="12" t="n"/>
      <c r="L577" s="13" t="n"/>
      <c r="M577" s="13" t="n"/>
      <c r="N577" s="14">
        <f>ROUND(I577*(SUM(J577:M577))*68%,0)</f>
        <v/>
      </c>
      <c r="O577" s="61" t="n"/>
      <c r="P577" s="59" t="n"/>
      <c r="Q577" s="59" t="n"/>
      <c r="R577" s="58" t="n"/>
      <c r="S577" s="15">
        <f>I577*J577</f>
        <v/>
      </c>
      <c r="T577" s="15">
        <f>SUM(S577:S577)*68%</f>
        <v/>
      </c>
      <c r="U577" s="15">
        <f>I577*K577*40%*O577</f>
        <v/>
      </c>
      <c r="V577" s="15">
        <f>IF(P577&gt;=6750,(I577*K577*40%),0)</f>
        <v/>
      </c>
      <c r="W577" s="15">
        <f>IF(P577&lt;6750,0,IF(Q577="",0,IF(OR(Q577="KURANG",Q577="SANGAT KURANG"),I577*K577*10%,I577*K577*20%)))</f>
        <v/>
      </c>
      <c r="X577" s="15">
        <f>SUM(U577:W577)*68%</f>
        <v/>
      </c>
      <c r="Y577" s="15">
        <f>I577*L577</f>
        <v/>
      </c>
      <c r="Z577" s="15">
        <f>Y577 * 68%</f>
        <v/>
      </c>
      <c r="AA577" s="15">
        <f>I577*M577</f>
        <v/>
      </c>
      <c r="AB577" s="15">
        <f>AA577*68%</f>
        <v/>
      </c>
      <c r="AC577" s="16">
        <f>ROUND((T577+X577+Z577+AB577),0)</f>
        <v/>
      </c>
      <c r="AD577" s="16">
        <f>AG577</f>
        <v/>
      </c>
      <c r="AE577" s="16">
        <f>AI577</f>
        <v/>
      </c>
      <c r="AF577" s="16">
        <f>AC577+AD577+AE577</f>
        <v/>
      </c>
      <c r="AG577" s="16" t="n"/>
      <c r="AH577" s="17" t="n"/>
      <c r="AI577" s="17">
        <f>AH577*4</f>
        <v/>
      </c>
      <c r="AJ577" s="15">
        <f>AF577-AG577-AH577-AI577</f>
        <v/>
      </c>
      <c r="AK577" s="18" t="n">
        <v>570</v>
      </c>
      <c r="AL577" s="23" t="n"/>
    </row>
    <row r="578" ht="23.5" customHeight="1">
      <c r="A578" s="6" t="inlineStr">
        <is>
          <t>571</t>
        </is>
      </c>
      <c r="B578" s="28" t="n"/>
      <c r="C578" s="55" t="n"/>
      <c r="D578" s="19" t="n"/>
      <c r="E578" s="24" t="n"/>
      <c r="F578" s="25" t="n"/>
      <c r="G578" s="25" t="n"/>
      <c r="H578" s="24" t="n"/>
      <c r="I578" s="11" t="n"/>
      <c r="J578" s="57" t="n"/>
      <c r="K578" s="12" t="n"/>
      <c r="L578" s="13" t="n"/>
      <c r="M578" s="13" t="n"/>
      <c r="N578" s="14">
        <f>ROUND(I578*(SUM(J578:M578))*68%,0)</f>
        <v/>
      </c>
      <c r="O578" s="61" t="n"/>
      <c r="P578" s="59" t="n"/>
      <c r="Q578" s="59" t="n"/>
      <c r="R578" s="58" t="n"/>
      <c r="S578" s="15">
        <f>I578*J578</f>
        <v/>
      </c>
      <c r="T578" s="15">
        <f>SUM(S578:S578)*68%</f>
        <v/>
      </c>
      <c r="U578" s="15">
        <f>I578*K578*40%*O578</f>
        <v/>
      </c>
      <c r="V578" s="15">
        <f>IF(P578&gt;=6750,(I578*K578*40%),0)</f>
        <v/>
      </c>
      <c r="W578" s="15">
        <f>IF(P578&lt;6750,0,IF(Q578="",0,IF(OR(Q578="KURANG",Q578="SANGAT KURANG"),I578*K578*10%,I578*K578*20%)))</f>
        <v/>
      </c>
      <c r="X578" s="15">
        <f>SUM(U578:W578)*68%</f>
        <v/>
      </c>
      <c r="Y578" s="15">
        <f>I578*L578</f>
        <v/>
      </c>
      <c r="Z578" s="15">
        <f>Y578 * 68%</f>
        <v/>
      </c>
      <c r="AA578" s="15">
        <f>I578*M578</f>
        <v/>
      </c>
      <c r="AB578" s="15">
        <f>AA578*68%</f>
        <v/>
      </c>
      <c r="AC578" s="16">
        <f>ROUND((T578+X578+Z578+AB578),0)</f>
        <v/>
      </c>
      <c r="AD578" s="16">
        <f>AG578</f>
        <v/>
      </c>
      <c r="AE578" s="16">
        <f>AI578</f>
        <v/>
      </c>
      <c r="AF578" s="16">
        <f>AC578+AD578+AE578</f>
        <v/>
      </c>
      <c r="AG578" s="16" t="n"/>
      <c r="AH578" s="17" t="n"/>
      <c r="AI578" s="17">
        <f>AH578*4</f>
        <v/>
      </c>
      <c r="AJ578" s="15">
        <f>AF578-AG578-AH578-AI578</f>
        <v/>
      </c>
      <c r="AK578" s="18" t="n">
        <v>571</v>
      </c>
      <c r="AL578" s="23" t="n"/>
    </row>
    <row r="579" ht="23.5" customHeight="1">
      <c r="A579" s="6" t="inlineStr">
        <is>
          <t>572</t>
        </is>
      </c>
      <c r="B579" s="24" t="n"/>
      <c r="C579" s="55" t="n"/>
      <c r="D579" s="19" t="n"/>
      <c r="E579" s="24" t="n"/>
      <c r="F579" s="25" t="n"/>
      <c r="G579" s="25" t="n"/>
      <c r="H579" s="24" t="n"/>
      <c r="I579" s="11" t="n"/>
      <c r="J579" s="57" t="n"/>
      <c r="K579" s="12" t="n"/>
      <c r="L579" s="13" t="n"/>
      <c r="M579" s="13" t="n"/>
      <c r="N579" s="14">
        <f>ROUND(I579*(SUM(J579:M579))*68%,0)</f>
        <v/>
      </c>
      <c r="O579" s="61" t="n"/>
      <c r="P579" s="59" t="n"/>
      <c r="Q579" s="59" t="n"/>
      <c r="R579" s="58" t="n"/>
      <c r="S579" s="15">
        <f>I579*J579</f>
        <v/>
      </c>
      <c r="T579" s="15">
        <f>SUM(S579:S579)*68%</f>
        <v/>
      </c>
      <c r="U579" s="15">
        <f>I579*K579*40%*O579</f>
        <v/>
      </c>
      <c r="V579" s="15">
        <f>IF(P579&gt;=6750,(I579*K579*40%),0)</f>
        <v/>
      </c>
      <c r="W579" s="15">
        <f>IF(P579&lt;6750,0,IF(Q579="",0,IF(OR(Q579="KURANG",Q579="SANGAT KURANG"),I579*K579*10%,I579*K579*20%)))</f>
        <v/>
      </c>
      <c r="X579" s="15">
        <f>SUM(U579:W579)*68%</f>
        <v/>
      </c>
      <c r="Y579" s="15">
        <f>I579*L579</f>
        <v/>
      </c>
      <c r="Z579" s="15">
        <f>Y579 * 68%</f>
        <v/>
      </c>
      <c r="AA579" s="15">
        <f>I579*M579</f>
        <v/>
      </c>
      <c r="AB579" s="15">
        <f>AA579*68%</f>
        <v/>
      </c>
      <c r="AC579" s="16">
        <f>ROUND((T579+X579+Z579+AB579),0)</f>
        <v/>
      </c>
      <c r="AD579" s="16">
        <f>AG579</f>
        <v/>
      </c>
      <c r="AE579" s="16">
        <f>AI579</f>
        <v/>
      </c>
      <c r="AF579" s="16">
        <f>AC579+AD579+AE579</f>
        <v/>
      </c>
      <c r="AG579" s="16" t="n"/>
      <c r="AH579" s="17" t="n"/>
      <c r="AI579" s="17">
        <f>AH579*4</f>
        <v/>
      </c>
      <c r="AJ579" s="15">
        <f>AF579-AG579-AH579-AI579</f>
        <v/>
      </c>
      <c r="AK579" s="18" t="n">
        <v>572</v>
      </c>
      <c r="AL579" s="40" t="n"/>
    </row>
    <row r="580" ht="23.5" customHeight="1">
      <c r="A580" s="6" t="inlineStr">
        <is>
          <t>573</t>
        </is>
      </c>
      <c r="B580" s="54" t="n"/>
      <c r="C580" s="55" t="n"/>
      <c r="D580" s="19" t="n"/>
      <c r="E580" s="26" t="n"/>
      <c r="F580" s="27" t="n"/>
      <c r="G580" s="25" t="n"/>
      <c r="H580" s="24" t="n"/>
      <c r="I580" s="11" t="n"/>
      <c r="J580" s="57" t="n"/>
      <c r="K580" s="12" t="n"/>
      <c r="L580" s="13" t="n"/>
      <c r="M580" s="13" t="n"/>
      <c r="N580" s="14">
        <f>ROUND(I580*(SUM(J580:M580))*68%,0)</f>
        <v/>
      </c>
      <c r="O580" s="61" t="n"/>
      <c r="P580" s="59" t="n"/>
      <c r="Q580" s="59" t="n"/>
      <c r="R580" s="58" t="n"/>
      <c r="S580" s="15">
        <f>I580*J580</f>
        <v/>
      </c>
      <c r="T580" s="15">
        <f>SUM(S580:S580)*68%</f>
        <v/>
      </c>
      <c r="U580" s="15">
        <f>I580*K580*40%*O580</f>
        <v/>
      </c>
      <c r="V580" s="15">
        <f>IF(P580&gt;=6750,(I580*K580*40%),0)</f>
        <v/>
      </c>
      <c r="W580" s="15">
        <f>IF(P580&lt;6750,0,IF(Q580="",0,IF(OR(Q580="KURANG",Q580="SANGAT KURANG"),I580*K580*10%,I580*K580*20%)))</f>
        <v/>
      </c>
      <c r="X580" s="15">
        <f>SUM(U580:W580)*68%</f>
        <v/>
      </c>
      <c r="Y580" s="15">
        <f>I580*L580</f>
        <v/>
      </c>
      <c r="Z580" s="15">
        <f>Y580 * 68%</f>
        <v/>
      </c>
      <c r="AA580" s="15">
        <f>I580*M580</f>
        <v/>
      </c>
      <c r="AB580" s="15">
        <f>AA580*68%</f>
        <v/>
      </c>
      <c r="AC580" s="16">
        <f>ROUND((T580+X580+Z580+AB580),0)</f>
        <v/>
      </c>
      <c r="AD580" s="16">
        <f>AG580</f>
        <v/>
      </c>
      <c r="AE580" s="16">
        <f>AI580</f>
        <v/>
      </c>
      <c r="AF580" s="16">
        <f>AC580+AD580+AE580</f>
        <v/>
      </c>
      <c r="AG580" s="16" t="n"/>
      <c r="AH580" s="17" t="n"/>
      <c r="AI580" s="17">
        <f>AH580*4</f>
        <v/>
      </c>
      <c r="AJ580" s="15">
        <f>AF580-AG580-AH580-AI580</f>
        <v/>
      </c>
      <c r="AK580" s="18" t="n">
        <v>573</v>
      </c>
      <c r="AL580" s="23" t="n"/>
    </row>
    <row r="581" ht="23.5" customHeight="1">
      <c r="A581" s="6" t="inlineStr">
        <is>
          <t>574</t>
        </is>
      </c>
      <c r="B581" s="28" t="n"/>
      <c r="C581" s="55" t="n"/>
      <c r="D581" s="19" t="n"/>
      <c r="E581" s="24" t="n"/>
      <c r="F581" s="27" t="n"/>
      <c r="G581" s="25" t="n"/>
      <c r="H581" s="24" t="n"/>
      <c r="I581" s="11" t="n"/>
      <c r="J581" s="57" t="n"/>
      <c r="K581" s="12" t="n"/>
      <c r="L581" s="13" t="n"/>
      <c r="M581" s="13" t="n"/>
      <c r="N581" s="14">
        <f>ROUND(I581*(SUM(J581:M581))*68%,0)</f>
        <v/>
      </c>
      <c r="O581" s="61" t="n"/>
      <c r="P581" s="59" t="n"/>
      <c r="Q581" s="59" t="n"/>
      <c r="R581" s="58" t="n"/>
      <c r="S581" s="15">
        <f>I581*J581</f>
        <v/>
      </c>
      <c r="T581" s="15">
        <f>SUM(S581:S581)*68%</f>
        <v/>
      </c>
      <c r="U581" s="15">
        <f>I581*K581*40%*O581</f>
        <v/>
      </c>
      <c r="V581" s="15">
        <f>IF(P581&gt;=6750,(I581*K581*40%),0)</f>
        <v/>
      </c>
      <c r="W581" s="15">
        <f>IF(P581&lt;6750,0,IF(Q581="",0,IF(OR(Q581="KURANG",Q581="SANGAT KURANG"),I581*K581*10%,I581*K581*20%)))</f>
        <v/>
      </c>
      <c r="X581" s="15">
        <f>SUM(U581:W581)*68%</f>
        <v/>
      </c>
      <c r="Y581" s="15">
        <f>I581*L581</f>
        <v/>
      </c>
      <c r="Z581" s="15">
        <f>Y581 * 68%</f>
        <v/>
      </c>
      <c r="AA581" s="15">
        <f>I581*M581</f>
        <v/>
      </c>
      <c r="AB581" s="15">
        <f>AA581*68%</f>
        <v/>
      </c>
      <c r="AC581" s="16">
        <f>ROUND((T581+X581+Z581+AB581),0)</f>
        <v/>
      </c>
      <c r="AD581" s="16">
        <f>AG581</f>
        <v/>
      </c>
      <c r="AE581" s="16">
        <f>AI581</f>
        <v/>
      </c>
      <c r="AF581" s="16">
        <f>AC581+AD581+AE581</f>
        <v/>
      </c>
      <c r="AG581" s="16" t="n"/>
      <c r="AH581" s="17" t="n"/>
      <c r="AI581" s="17">
        <f>AH581*4</f>
        <v/>
      </c>
      <c r="AJ581" s="15">
        <f>AF581-AG581-AH581-AI581</f>
        <v/>
      </c>
      <c r="AK581" s="18" t="n">
        <v>574</v>
      </c>
      <c r="AL581" s="23" t="n"/>
    </row>
    <row r="582" ht="23.5" customHeight="1">
      <c r="A582" s="6" t="inlineStr">
        <is>
          <t>575</t>
        </is>
      </c>
      <c r="B582" s="28" t="n"/>
      <c r="C582" s="55" t="n"/>
      <c r="D582" s="19" t="n"/>
      <c r="E582" s="24" t="n"/>
      <c r="F582" s="25" t="n"/>
      <c r="G582" s="10" t="n"/>
      <c r="H582" s="8" t="n"/>
      <c r="I582" s="11" t="n"/>
      <c r="J582" s="57" t="n"/>
      <c r="K582" s="12" t="n"/>
      <c r="L582" s="13" t="n"/>
      <c r="M582" s="13" t="n"/>
      <c r="N582" s="14">
        <f>ROUND(I582*(SUM(J582:M582))*68%,0)</f>
        <v/>
      </c>
      <c r="O582" s="61" t="n"/>
      <c r="P582" s="59" t="n"/>
      <c r="Q582" s="59" t="n"/>
      <c r="R582" s="58" t="n"/>
      <c r="S582" s="15">
        <f>I582*J582</f>
        <v/>
      </c>
      <c r="T582" s="15">
        <f>SUM(S582:S582)*68%</f>
        <v/>
      </c>
      <c r="U582" s="15">
        <f>I582*K582*40%*O582</f>
        <v/>
      </c>
      <c r="V582" s="15">
        <f>IF(P582&gt;=6750,(I582*K582*40%),0)</f>
        <v/>
      </c>
      <c r="W582" s="15">
        <f>IF(P582&lt;6750,0,IF(Q582="",0,IF(OR(Q582="KURANG",Q582="SANGAT KURANG"),I582*K582*10%,I582*K582*20%)))</f>
        <v/>
      </c>
      <c r="X582" s="15">
        <f>SUM(U582:W582)*68%</f>
        <v/>
      </c>
      <c r="Y582" s="15">
        <f>I582*L582</f>
        <v/>
      </c>
      <c r="Z582" s="15">
        <f>Y582 * 68%</f>
        <v/>
      </c>
      <c r="AA582" s="15">
        <f>I582*M582</f>
        <v/>
      </c>
      <c r="AB582" s="15">
        <f>AA582*68%</f>
        <v/>
      </c>
      <c r="AC582" s="16">
        <f>ROUND((T582+X582+Z582+AB582),0)</f>
        <v/>
      </c>
      <c r="AD582" s="16">
        <f>AG582</f>
        <v/>
      </c>
      <c r="AE582" s="16">
        <f>AI582</f>
        <v/>
      </c>
      <c r="AF582" s="16">
        <f>AC582+AD582+AE582</f>
        <v/>
      </c>
      <c r="AG582" s="16" t="n"/>
      <c r="AH582" s="17" t="n"/>
      <c r="AI582" s="17">
        <f>AH582*4</f>
        <v/>
      </c>
      <c r="AJ582" s="15">
        <f>AF582-AG582-AH582-AI582</f>
        <v/>
      </c>
      <c r="AK582" s="18" t="n">
        <v>575</v>
      </c>
      <c r="AL582" s="40" t="n"/>
    </row>
    <row r="583" ht="23.5" customHeight="1">
      <c r="A583" s="6" t="inlineStr">
        <is>
          <t>576</t>
        </is>
      </c>
      <c r="B583" s="24" t="n"/>
      <c r="C583" s="55" t="n"/>
      <c r="D583" s="19" t="n"/>
      <c r="E583" s="24" t="n"/>
      <c r="F583" s="25" t="n"/>
      <c r="G583" s="10" t="n"/>
      <c r="H583" s="8" t="n"/>
      <c r="I583" s="11" t="n"/>
      <c r="J583" s="57" t="n"/>
      <c r="K583" s="12" t="n"/>
      <c r="L583" s="13" t="n"/>
      <c r="M583" s="13" t="n"/>
      <c r="N583" s="14">
        <f>ROUND(I583*(SUM(J583:M583))*68%,0)</f>
        <v/>
      </c>
      <c r="O583" s="61" t="n"/>
      <c r="P583" s="59" t="n"/>
      <c r="Q583" s="59" t="n"/>
      <c r="R583" s="58" t="n"/>
      <c r="S583" s="15">
        <f>I583*J583</f>
        <v/>
      </c>
      <c r="T583" s="15">
        <f>SUM(S583:S583)*68%</f>
        <v/>
      </c>
      <c r="U583" s="15">
        <f>I583*K583*40%*O583</f>
        <v/>
      </c>
      <c r="V583" s="15">
        <f>IF(P583&gt;=6750,(I583*K583*40%),0)</f>
        <v/>
      </c>
      <c r="W583" s="15">
        <f>IF(P583&lt;6750,0,IF(Q583="",0,IF(OR(Q583="KURANG",Q583="SANGAT KURANG"),I583*K583*10%,I583*K583*20%)))</f>
        <v/>
      </c>
      <c r="X583" s="15">
        <f>SUM(U583:W583)*68%</f>
        <v/>
      </c>
      <c r="Y583" s="15">
        <f>I583*L583</f>
        <v/>
      </c>
      <c r="Z583" s="15">
        <f>Y583 * 68%</f>
        <v/>
      </c>
      <c r="AA583" s="15">
        <f>I583*M583</f>
        <v/>
      </c>
      <c r="AB583" s="15">
        <f>AA583*68%</f>
        <v/>
      </c>
      <c r="AC583" s="16">
        <f>ROUND((T583+X583+Z583+AB583),0)</f>
        <v/>
      </c>
      <c r="AD583" s="16">
        <f>AG583</f>
        <v/>
      </c>
      <c r="AE583" s="16">
        <f>AI583</f>
        <v/>
      </c>
      <c r="AF583" s="16">
        <f>AC583+AD583+AE583</f>
        <v/>
      </c>
      <c r="AG583" s="16" t="n"/>
      <c r="AH583" s="17" t="n"/>
      <c r="AI583" s="17">
        <f>AH583*4</f>
        <v/>
      </c>
      <c r="AJ583" s="15">
        <f>AF583-AG583-AH583-AI583</f>
        <v/>
      </c>
      <c r="AK583" s="18" t="n">
        <v>576</v>
      </c>
      <c r="AL583" s="23" t="n"/>
    </row>
    <row r="584" ht="23.5" customHeight="1">
      <c r="A584" s="6" t="inlineStr">
        <is>
          <t>577</t>
        </is>
      </c>
      <c r="B584" s="28" t="n"/>
      <c r="C584" s="55" t="n"/>
      <c r="D584" s="19" t="n"/>
      <c r="E584" s="24" t="n"/>
      <c r="F584" s="25" t="n"/>
      <c r="G584" s="10" t="n"/>
      <c r="H584" s="8" t="n"/>
      <c r="I584" s="11" t="n"/>
      <c r="J584" s="57" t="n"/>
      <c r="K584" s="12" t="n"/>
      <c r="L584" s="13" t="n"/>
      <c r="M584" s="13" t="n"/>
      <c r="N584" s="14">
        <f>ROUND(I584*(SUM(J584:M584))*68%,0)</f>
        <v/>
      </c>
      <c r="O584" s="61" t="n"/>
      <c r="P584" s="59" t="n"/>
      <c r="Q584" s="59" t="n"/>
      <c r="R584" s="58" t="n"/>
      <c r="S584" s="15">
        <f>I584*J584</f>
        <v/>
      </c>
      <c r="T584" s="15">
        <f>SUM(S584:S584)*68%</f>
        <v/>
      </c>
      <c r="U584" s="15">
        <f>I584*K584*40%*O584</f>
        <v/>
      </c>
      <c r="V584" s="15">
        <f>IF(P584&gt;=6750,(I584*K584*40%),0)</f>
        <v/>
      </c>
      <c r="W584" s="15">
        <f>IF(P584&lt;6750,0,IF(Q584="",0,IF(OR(Q584="KURANG",Q584="SANGAT KURANG"),I584*K584*10%,I584*K584*20%)))</f>
        <v/>
      </c>
      <c r="X584" s="15">
        <f>SUM(U584:W584)*68%</f>
        <v/>
      </c>
      <c r="Y584" s="15">
        <f>I584*L584</f>
        <v/>
      </c>
      <c r="Z584" s="15">
        <f>Y584 * 68%</f>
        <v/>
      </c>
      <c r="AA584" s="15">
        <f>I584*M584</f>
        <v/>
      </c>
      <c r="AB584" s="15">
        <f>AA584*68%</f>
        <v/>
      </c>
      <c r="AC584" s="16">
        <f>ROUND((T584+X584+Z584+AB584),0)</f>
        <v/>
      </c>
      <c r="AD584" s="16">
        <f>AG584</f>
        <v/>
      </c>
      <c r="AE584" s="16">
        <f>AI584</f>
        <v/>
      </c>
      <c r="AF584" s="16">
        <f>AC584+AD584+AE584</f>
        <v/>
      </c>
      <c r="AG584" s="16" t="n"/>
      <c r="AH584" s="17" t="n"/>
      <c r="AI584" s="17">
        <f>AH584*4</f>
        <v/>
      </c>
      <c r="AJ584" s="15">
        <f>AF584-AG584-AH584-AI584</f>
        <v/>
      </c>
      <c r="AK584" s="18" t="n">
        <v>577</v>
      </c>
      <c r="AL584" s="23" t="n"/>
    </row>
    <row r="585" ht="23.5" customHeight="1">
      <c r="A585" s="6" t="inlineStr">
        <is>
          <t>578</t>
        </is>
      </c>
      <c r="B585" s="28" t="n"/>
      <c r="C585" s="55" t="n"/>
      <c r="D585" s="19" t="n"/>
      <c r="E585" s="24" t="n"/>
      <c r="F585" s="25" t="n"/>
      <c r="G585" s="10" t="n"/>
      <c r="H585" s="8" t="n"/>
      <c r="I585" s="11" t="n"/>
      <c r="J585" s="57" t="n"/>
      <c r="K585" s="12" t="n"/>
      <c r="L585" s="13" t="n"/>
      <c r="M585" s="13" t="n"/>
      <c r="N585" s="14">
        <f>ROUND(I585*(SUM(J585:M585))*68%,0)</f>
        <v/>
      </c>
      <c r="O585" s="61" t="n"/>
      <c r="P585" s="59" t="n"/>
      <c r="Q585" s="59" t="n"/>
      <c r="R585" s="58" t="n"/>
      <c r="S585" s="15">
        <f>I585*J585</f>
        <v/>
      </c>
      <c r="T585" s="15">
        <f>SUM(S585:S585)*68%</f>
        <v/>
      </c>
      <c r="U585" s="15">
        <f>I585*K585*40%*O585</f>
        <v/>
      </c>
      <c r="V585" s="15">
        <f>IF(P585&gt;=6750,(I585*K585*40%),0)</f>
        <v/>
      </c>
      <c r="W585" s="15">
        <f>IF(P585&lt;6750,0,IF(Q585="",0,IF(OR(Q585="KURANG",Q585="SANGAT KURANG"),I585*K585*10%,I585*K585*20%)))</f>
        <v/>
      </c>
      <c r="X585" s="15">
        <f>SUM(U585:W585)*68%</f>
        <v/>
      </c>
      <c r="Y585" s="15">
        <f>I585*L585</f>
        <v/>
      </c>
      <c r="Z585" s="15">
        <f>Y585 * 68%</f>
        <v/>
      </c>
      <c r="AA585" s="15">
        <f>I585*M585</f>
        <v/>
      </c>
      <c r="AB585" s="15">
        <f>AA585*68%</f>
        <v/>
      </c>
      <c r="AC585" s="16">
        <f>ROUND((T585+X585+Z585+AB585),0)</f>
        <v/>
      </c>
      <c r="AD585" s="16">
        <f>AG585</f>
        <v/>
      </c>
      <c r="AE585" s="16">
        <f>AI585</f>
        <v/>
      </c>
      <c r="AF585" s="16">
        <f>AC585+AD585+AE585</f>
        <v/>
      </c>
      <c r="AG585" s="16" t="n"/>
      <c r="AH585" s="17" t="n"/>
      <c r="AI585" s="17">
        <f>AH585*4</f>
        <v/>
      </c>
      <c r="AJ585" s="15">
        <f>AF585-AG585-AH585-AI585</f>
        <v/>
      </c>
      <c r="AK585" s="18" t="n">
        <v>578</v>
      </c>
      <c r="AL585" s="40" t="n"/>
    </row>
    <row r="586" ht="23.5" customHeight="1">
      <c r="A586" s="6" t="inlineStr">
        <is>
          <t>579</t>
        </is>
      </c>
      <c r="B586" s="24" t="n"/>
      <c r="C586" s="55" t="n"/>
      <c r="D586" s="19" t="n"/>
      <c r="E586" s="24" t="n"/>
      <c r="F586" s="25" t="n"/>
      <c r="G586" s="10" t="n"/>
      <c r="H586" s="8" t="n"/>
      <c r="I586" s="11" t="n"/>
      <c r="J586" s="57" t="n"/>
      <c r="K586" s="12" t="n"/>
      <c r="L586" s="13" t="n"/>
      <c r="M586" s="13" t="n"/>
      <c r="N586" s="14">
        <f>ROUND(I586*(SUM(J586:M586))*68%,0)</f>
        <v/>
      </c>
      <c r="O586" s="61" t="n"/>
      <c r="P586" s="59" t="n"/>
      <c r="Q586" s="59" t="n"/>
      <c r="R586" s="58" t="n"/>
      <c r="S586" s="15">
        <f>I586*J586</f>
        <v/>
      </c>
      <c r="T586" s="15">
        <f>SUM(S586:S586)*68%</f>
        <v/>
      </c>
      <c r="U586" s="15">
        <f>I586*K586*40%*O586</f>
        <v/>
      </c>
      <c r="V586" s="15">
        <f>IF(P586&gt;=6750,(I586*K586*40%),0)</f>
        <v/>
      </c>
      <c r="W586" s="15">
        <f>IF(P586&lt;6750,0,IF(Q586="",0,IF(OR(Q586="KURANG",Q586="SANGAT KURANG"),I586*K586*10%,I586*K586*20%)))</f>
        <v/>
      </c>
      <c r="X586" s="15">
        <f>SUM(U586:W586)*68%</f>
        <v/>
      </c>
      <c r="Y586" s="15">
        <f>I586*L586</f>
        <v/>
      </c>
      <c r="Z586" s="15">
        <f>Y586 * 68%</f>
        <v/>
      </c>
      <c r="AA586" s="15">
        <f>I586*M586</f>
        <v/>
      </c>
      <c r="AB586" s="15">
        <f>AA586*68%</f>
        <v/>
      </c>
      <c r="AC586" s="16">
        <f>ROUND((T586+X586+Z586+AB586),0)</f>
        <v/>
      </c>
      <c r="AD586" s="16">
        <f>AG586</f>
        <v/>
      </c>
      <c r="AE586" s="16">
        <f>AI586</f>
        <v/>
      </c>
      <c r="AF586" s="16">
        <f>AC586+AD586+AE586</f>
        <v/>
      </c>
      <c r="AG586" s="16" t="n"/>
      <c r="AH586" s="17" t="n"/>
      <c r="AI586" s="17">
        <f>AH586*4</f>
        <v/>
      </c>
      <c r="AJ586" s="15">
        <f>AF586-AG586-AH586-AI586</f>
        <v/>
      </c>
      <c r="AK586" s="18" t="n">
        <v>579</v>
      </c>
      <c r="AL586" s="23" t="n"/>
    </row>
    <row r="587" ht="23.5" customHeight="1">
      <c r="A587" s="6" t="inlineStr">
        <is>
          <t>580</t>
        </is>
      </c>
      <c r="B587" s="24" t="n"/>
      <c r="C587" s="55" t="n"/>
      <c r="D587" s="19" t="n"/>
      <c r="E587" s="24" t="n"/>
      <c r="F587" s="25" t="n"/>
      <c r="G587" s="10" t="n"/>
      <c r="H587" s="8" t="n"/>
      <c r="I587" s="11" t="n"/>
      <c r="J587" s="57" t="n"/>
      <c r="K587" s="12" t="n"/>
      <c r="L587" s="13" t="n"/>
      <c r="M587" s="13" t="n"/>
      <c r="N587" s="14">
        <f>ROUND(I587*(SUM(J587:M587))*68%,0)</f>
        <v/>
      </c>
      <c r="O587" s="61" t="n"/>
      <c r="P587" s="59" t="n"/>
      <c r="Q587" s="59" t="n"/>
      <c r="R587" s="58" t="n"/>
      <c r="S587" s="15">
        <f>I587*J587</f>
        <v/>
      </c>
      <c r="T587" s="15">
        <f>SUM(S587:S587)*68%</f>
        <v/>
      </c>
      <c r="U587" s="15">
        <f>I587*K587*40%*O587</f>
        <v/>
      </c>
      <c r="V587" s="15">
        <f>IF(P587&gt;=6750,(I587*K587*40%),0)</f>
        <v/>
      </c>
      <c r="W587" s="15">
        <f>IF(P587&lt;6750,0,IF(Q587="",0,IF(OR(Q587="KURANG",Q587="SANGAT KURANG"),I587*K587*10%,I587*K587*20%)))</f>
        <v/>
      </c>
      <c r="X587" s="15">
        <f>SUM(U587:W587)*68%</f>
        <v/>
      </c>
      <c r="Y587" s="15">
        <f>I587*L587</f>
        <v/>
      </c>
      <c r="Z587" s="15">
        <f>Y587 * 68%</f>
        <v/>
      </c>
      <c r="AA587" s="15">
        <f>I587*M587</f>
        <v/>
      </c>
      <c r="AB587" s="15">
        <f>AA587*68%</f>
        <v/>
      </c>
      <c r="AC587" s="16">
        <f>ROUND((T587+X587+Z587+AB587),0)</f>
        <v/>
      </c>
      <c r="AD587" s="16">
        <f>AG587</f>
        <v/>
      </c>
      <c r="AE587" s="16">
        <f>AI587</f>
        <v/>
      </c>
      <c r="AF587" s="16">
        <f>AC587+AD587+AE587</f>
        <v/>
      </c>
      <c r="AG587" s="16" t="n"/>
      <c r="AH587" s="17" t="n"/>
      <c r="AI587" s="17">
        <f>AH587*4</f>
        <v/>
      </c>
      <c r="AJ587" s="15">
        <f>AF587-AG587-AH587-AI587</f>
        <v/>
      </c>
      <c r="AK587" s="18" t="n">
        <v>580</v>
      </c>
      <c r="AL587" s="23" t="n"/>
    </row>
    <row r="588" ht="23.5" customHeight="1">
      <c r="A588" s="6" t="inlineStr">
        <is>
          <t>581</t>
        </is>
      </c>
      <c r="B588" s="24" t="n"/>
      <c r="C588" s="55" t="n"/>
      <c r="D588" s="19" t="n"/>
      <c r="E588" s="24" t="n"/>
      <c r="F588" s="25" t="n"/>
      <c r="G588" s="10" t="n"/>
      <c r="H588" s="8" t="n"/>
      <c r="I588" s="11" t="n"/>
      <c r="J588" s="57" t="n"/>
      <c r="K588" s="12" t="n"/>
      <c r="L588" s="13" t="n"/>
      <c r="M588" s="13" t="n"/>
      <c r="N588" s="14">
        <f>ROUND(I588*(SUM(J588:M588))*68%,0)</f>
        <v/>
      </c>
      <c r="O588" s="61" t="n"/>
      <c r="P588" s="59" t="n"/>
      <c r="Q588" s="59" t="n"/>
      <c r="R588" s="58" t="n"/>
      <c r="S588" s="15">
        <f>I588*J588</f>
        <v/>
      </c>
      <c r="T588" s="15">
        <f>SUM(S588:S588)*68%</f>
        <v/>
      </c>
      <c r="U588" s="15">
        <f>I588*K588*40%*O588</f>
        <v/>
      </c>
      <c r="V588" s="15">
        <f>IF(P588&gt;=6750,(I588*K588*40%),0)</f>
        <v/>
      </c>
      <c r="W588" s="15">
        <f>IF(P588&lt;6750,0,IF(Q588="",0,IF(OR(Q588="KURANG",Q588="SANGAT KURANG"),I588*K588*10%,I588*K588*20%)))</f>
        <v/>
      </c>
      <c r="X588" s="15">
        <f>SUM(U588:W588)*68%</f>
        <v/>
      </c>
      <c r="Y588" s="15">
        <f>I588*L588</f>
        <v/>
      </c>
      <c r="Z588" s="15">
        <f>Y588 * 68%</f>
        <v/>
      </c>
      <c r="AA588" s="15">
        <f>I588*M588</f>
        <v/>
      </c>
      <c r="AB588" s="15">
        <f>AA588*68%</f>
        <v/>
      </c>
      <c r="AC588" s="16">
        <f>ROUND((T588+X588+Z588+AB588),0)</f>
        <v/>
      </c>
      <c r="AD588" s="16">
        <f>AG588</f>
        <v/>
      </c>
      <c r="AE588" s="16">
        <f>AI588</f>
        <v/>
      </c>
      <c r="AF588" s="16">
        <f>AC588+AD588+AE588</f>
        <v/>
      </c>
      <c r="AG588" s="16" t="n"/>
      <c r="AH588" s="17" t="n"/>
      <c r="AI588" s="17">
        <f>AH588*4</f>
        <v/>
      </c>
      <c r="AJ588" s="15">
        <f>AF588-AG588-AH588-AI588</f>
        <v/>
      </c>
      <c r="AK588" s="18" t="n">
        <v>581</v>
      </c>
      <c r="AL588" s="40" t="n"/>
    </row>
    <row r="589" ht="23.5" customHeight="1">
      <c r="A589" s="6" t="inlineStr">
        <is>
          <t>582</t>
        </is>
      </c>
      <c r="B589" s="28" t="n"/>
      <c r="C589" s="55" t="n"/>
      <c r="D589" s="19" t="n"/>
      <c r="E589" s="24" t="n"/>
      <c r="F589" s="25" t="n"/>
      <c r="G589" s="10" t="n"/>
      <c r="H589" s="8" t="n"/>
      <c r="I589" s="11" t="n"/>
      <c r="J589" s="57" t="n"/>
      <c r="K589" s="12" t="n"/>
      <c r="L589" s="13" t="n"/>
      <c r="M589" s="13" t="n"/>
      <c r="N589" s="14">
        <f>ROUND(I589*(SUM(J589:M589))*68%,0)</f>
        <v/>
      </c>
      <c r="O589" s="61" t="n"/>
      <c r="P589" s="59" t="n"/>
      <c r="Q589" s="59" t="n"/>
      <c r="R589" s="58" t="n"/>
      <c r="S589" s="15">
        <f>I589*J589</f>
        <v/>
      </c>
      <c r="T589" s="15">
        <f>SUM(S589:S589)*68%</f>
        <v/>
      </c>
      <c r="U589" s="15">
        <f>I589*K589*40%*O589</f>
        <v/>
      </c>
      <c r="V589" s="15">
        <f>IF(P589&gt;=6750,(I589*K589*40%),0)</f>
        <v/>
      </c>
      <c r="W589" s="15">
        <f>IF(P589&lt;6750,0,IF(Q589="",0,IF(OR(Q589="KURANG",Q589="SANGAT KURANG"),I589*K589*10%,I589*K589*20%)))</f>
        <v/>
      </c>
      <c r="X589" s="15">
        <f>SUM(U589:W589)*68%</f>
        <v/>
      </c>
      <c r="Y589" s="15">
        <f>I589*L589</f>
        <v/>
      </c>
      <c r="Z589" s="15">
        <f>Y589 * 68%</f>
        <v/>
      </c>
      <c r="AA589" s="15">
        <f>I589*M589</f>
        <v/>
      </c>
      <c r="AB589" s="15">
        <f>AA589*68%</f>
        <v/>
      </c>
      <c r="AC589" s="16">
        <f>ROUND((T589+X589+Z589+AB589),0)</f>
        <v/>
      </c>
      <c r="AD589" s="16">
        <f>AG589</f>
        <v/>
      </c>
      <c r="AE589" s="16">
        <f>AI589</f>
        <v/>
      </c>
      <c r="AF589" s="16">
        <f>AC589+AD589+AE589</f>
        <v/>
      </c>
      <c r="AG589" s="16" t="n"/>
      <c r="AH589" s="17" t="n"/>
      <c r="AI589" s="17">
        <f>AH589*4</f>
        <v/>
      </c>
      <c r="AJ589" s="15">
        <f>AF589-AG589-AH589-AI589</f>
        <v/>
      </c>
      <c r="AK589" s="18" t="n">
        <v>582</v>
      </c>
      <c r="AL589" s="23" t="n"/>
    </row>
    <row r="590" ht="23.5" customHeight="1">
      <c r="A590" s="6" t="inlineStr">
        <is>
          <t>583</t>
        </is>
      </c>
      <c r="B590" s="24" t="n"/>
      <c r="C590" s="55" t="n"/>
      <c r="D590" s="19" t="n"/>
      <c r="E590" s="24" t="n"/>
      <c r="F590" s="25" t="n"/>
      <c r="G590" s="10" t="n"/>
      <c r="H590" s="8" t="n"/>
      <c r="I590" s="11" t="n"/>
      <c r="J590" s="57" t="n"/>
      <c r="K590" s="12" t="n"/>
      <c r="L590" s="22" t="n"/>
      <c r="M590" s="13" t="n"/>
      <c r="N590" s="14">
        <f>ROUND(I590*(SUM(J590:M590))*68%,0)</f>
        <v/>
      </c>
      <c r="O590" s="61" t="n"/>
      <c r="P590" s="59" t="n"/>
      <c r="Q590" s="59" t="n"/>
      <c r="R590" s="58" t="n"/>
      <c r="S590" s="15">
        <f>I590*J590</f>
        <v/>
      </c>
      <c r="T590" s="15">
        <f>SUM(S590:S590)*68%</f>
        <v/>
      </c>
      <c r="U590" s="15">
        <f>I590*K590*40%*O590</f>
        <v/>
      </c>
      <c r="V590" s="15">
        <f>IF(P590&gt;=6750,(I590*K590*40%),0)</f>
        <v/>
      </c>
      <c r="W590" s="15">
        <f>IF(P590&lt;6750,0,IF(Q590="",0,IF(OR(Q590="KURANG",Q590="SANGAT KURANG"),I590*K590*10%,I590*K590*20%)))</f>
        <v/>
      </c>
      <c r="X590" s="15">
        <f>SUM(U590:W590)*68%</f>
        <v/>
      </c>
      <c r="Y590" s="15">
        <f>I590*L590</f>
        <v/>
      </c>
      <c r="Z590" s="15">
        <f>Y590 * 68%</f>
        <v/>
      </c>
      <c r="AA590" s="15">
        <f>I590*M590</f>
        <v/>
      </c>
      <c r="AB590" s="15">
        <f>AA590*68%</f>
        <v/>
      </c>
      <c r="AC590" s="16">
        <f>ROUND((T590+X590+Z590+AB590),0)</f>
        <v/>
      </c>
      <c r="AD590" s="16">
        <f>AG590</f>
        <v/>
      </c>
      <c r="AE590" s="16">
        <f>AI590</f>
        <v/>
      </c>
      <c r="AF590" s="16">
        <f>AC590+AD590+AE590</f>
        <v/>
      </c>
      <c r="AG590" s="16" t="n"/>
      <c r="AH590" s="17" t="n"/>
      <c r="AI590" s="17">
        <f>AH590*4</f>
        <v/>
      </c>
      <c r="AJ590" s="15">
        <f>AF590-AG590-AH590-AI590</f>
        <v/>
      </c>
      <c r="AK590" s="18" t="n">
        <v>583</v>
      </c>
      <c r="AL590" s="23" t="n"/>
    </row>
    <row r="591" ht="23.5" customHeight="1">
      <c r="A591" s="6" t="inlineStr">
        <is>
          <t>584</t>
        </is>
      </c>
      <c r="B591" s="28" t="n"/>
      <c r="C591" s="55" t="n"/>
      <c r="D591" s="19" t="n"/>
      <c r="E591" s="24" t="n"/>
      <c r="F591" s="25" t="n"/>
      <c r="G591" s="10" t="n"/>
      <c r="H591" s="8" t="n"/>
      <c r="I591" s="11" t="n"/>
      <c r="J591" s="57" t="n"/>
      <c r="K591" s="12" t="n"/>
      <c r="L591" s="22" t="n"/>
      <c r="M591" s="13" t="n"/>
      <c r="N591" s="14">
        <f>ROUND(I591*(SUM(J591:M591))*68%,0)</f>
        <v/>
      </c>
      <c r="O591" s="61" t="n"/>
      <c r="P591" s="59" t="n"/>
      <c r="Q591" s="59" t="n"/>
      <c r="R591" s="58" t="n"/>
      <c r="S591" s="15">
        <f>I591*J591</f>
        <v/>
      </c>
      <c r="T591" s="15">
        <f>SUM(S591:S591)*68%</f>
        <v/>
      </c>
      <c r="U591" s="15">
        <f>I591*K591*40%*O591</f>
        <v/>
      </c>
      <c r="V591" s="15">
        <f>IF(P591&gt;=6750,(I591*K591*40%),0)</f>
        <v/>
      </c>
      <c r="W591" s="15">
        <f>IF(P591&lt;6750,0,IF(Q591="",0,IF(OR(Q591="KURANG",Q591="SANGAT KURANG"),I591*K591*10%,I591*K591*20%)))</f>
        <v/>
      </c>
      <c r="X591" s="15">
        <f>SUM(U591:W591)*68%</f>
        <v/>
      </c>
      <c r="Y591" s="15">
        <f>I591*L591</f>
        <v/>
      </c>
      <c r="Z591" s="15">
        <f>Y591 * 68%</f>
        <v/>
      </c>
      <c r="AA591" s="15">
        <f>I591*M591</f>
        <v/>
      </c>
      <c r="AB591" s="15">
        <f>AA591*68%</f>
        <v/>
      </c>
      <c r="AC591" s="16">
        <f>ROUND((T591+X591+Z591+AB591),0)</f>
        <v/>
      </c>
      <c r="AD591" s="16">
        <f>AG591</f>
        <v/>
      </c>
      <c r="AE591" s="16">
        <f>AI591</f>
        <v/>
      </c>
      <c r="AF591" s="16">
        <f>AC591+AD591+AE591</f>
        <v/>
      </c>
      <c r="AG591" s="16" t="n"/>
      <c r="AH591" s="17" t="n"/>
      <c r="AI591" s="17">
        <f>AH591*4</f>
        <v/>
      </c>
      <c r="AJ591" s="15">
        <f>AF591-AG591-AH591-AI591</f>
        <v/>
      </c>
      <c r="AK591" s="18" t="n">
        <v>584</v>
      </c>
      <c r="AL591" s="40" t="n"/>
    </row>
    <row r="592" ht="23.5" customHeight="1">
      <c r="A592" s="6" t="inlineStr">
        <is>
          <t>585</t>
        </is>
      </c>
      <c r="B592" s="24" t="n"/>
      <c r="C592" s="55" t="n"/>
      <c r="D592" s="19" t="n"/>
      <c r="E592" s="24" t="n"/>
      <c r="F592" s="25" t="n"/>
      <c r="G592" s="10" t="n"/>
      <c r="H592" s="8" t="n"/>
      <c r="I592" s="11" t="n"/>
      <c r="J592" s="57" t="n"/>
      <c r="K592" s="12" t="n"/>
      <c r="L592" s="22" t="n"/>
      <c r="M592" s="13" t="n"/>
      <c r="N592" s="14">
        <f>ROUND(I592*(SUM(J592:M592))*68%,0)</f>
        <v/>
      </c>
      <c r="O592" s="61" t="n"/>
      <c r="P592" s="59" t="n"/>
      <c r="Q592" s="59" t="n"/>
      <c r="R592" s="58" t="n"/>
      <c r="S592" s="15">
        <f>I592*J592</f>
        <v/>
      </c>
      <c r="T592" s="15">
        <f>SUM(S592:S592)*68%</f>
        <v/>
      </c>
      <c r="U592" s="15">
        <f>I592*K592*40%*O592</f>
        <v/>
      </c>
      <c r="V592" s="15">
        <f>IF(P592&gt;=6750,(I592*K592*40%),0)</f>
        <v/>
      </c>
      <c r="W592" s="15">
        <f>IF(P592&lt;6750,0,IF(Q592="",0,IF(OR(Q592="KURANG",Q592="SANGAT KURANG"),I592*K592*10%,I592*K592*20%)))</f>
        <v/>
      </c>
      <c r="X592" s="15">
        <f>SUM(U592:W592)*68%</f>
        <v/>
      </c>
      <c r="Y592" s="15">
        <f>I592*L592</f>
        <v/>
      </c>
      <c r="Z592" s="15">
        <f>Y592 * 68%</f>
        <v/>
      </c>
      <c r="AA592" s="15">
        <f>I592*M592</f>
        <v/>
      </c>
      <c r="AB592" s="15">
        <f>AA592*68%</f>
        <v/>
      </c>
      <c r="AC592" s="16">
        <f>ROUND((T592+X592+Z592+AB592),0)</f>
        <v/>
      </c>
      <c r="AD592" s="16">
        <f>AG592</f>
        <v/>
      </c>
      <c r="AE592" s="16">
        <f>AI592</f>
        <v/>
      </c>
      <c r="AF592" s="16">
        <f>AC592+AD592+AE592</f>
        <v/>
      </c>
      <c r="AG592" s="16" t="n"/>
      <c r="AH592" s="17" t="n"/>
      <c r="AI592" s="17">
        <f>AH592*4</f>
        <v/>
      </c>
      <c r="AJ592" s="15">
        <f>AF592-AG592-AH592-AI592</f>
        <v/>
      </c>
      <c r="AK592" s="18" t="n">
        <v>585</v>
      </c>
      <c r="AL592" s="23" t="n"/>
    </row>
    <row r="593" ht="23.5" customHeight="1">
      <c r="A593" s="6" t="inlineStr">
        <is>
          <t>586</t>
        </is>
      </c>
      <c r="B593" s="24" t="n"/>
      <c r="C593" s="55" t="n"/>
      <c r="D593" s="19" t="n"/>
      <c r="E593" s="24" t="n"/>
      <c r="F593" s="25" t="n"/>
      <c r="G593" s="10" t="n"/>
      <c r="H593" s="8" t="n"/>
      <c r="I593" s="11" t="n"/>
      <c r="J593" s="57" t="n"/>
      <c r="K593" s="12" t="n"/>
      <c r="L593" s="22" t="n"/>
      <c r="M593" s="13" t="n"/>
      <c r="N593" s="14">
        <f>ROUND(I593*(SUM(J593:M593))*68%,0)</f>
        <v/>
      </c>
      <c r="O593" s="61" t="n"/>
      <c r="P593" s="59" t="n"/>
      <c r="Q593" s="59" t="n"/>
      <c r="R593" s="58" t="n"/>
      <c r="S593" s="15">
        <f>I593*J593</f>
        <v/>
      </c>
      <c r="T593" s="15">
        <f>SUM(S593:S593)*68%</f>
        <v/>
      </c>
      <c r="U593" s="15">
        <f>I593*K593*40%*O593</f>
        <v/>
      </c>
      <c r="V593" s="15">
        <f>IF(P593&gt;=6750,(I593*K593*40%),0)</f>
        <v/>
      </c>
      <c r="W593" s="15">
        <f>IF(P593&lt;6750,0,IF(Q593="",0,IF(OR(Q593="KURANG",Q593="SANGAT KURANG"),I593*K593*10%,I593*K593*20%)))</f>
        <v/>
      </c>
      <c r="X593" s="15">
        <f>SUM(U593:W593)*68%</f>
        <v/>
      </c>
      <c r="Y593" s="15">
        <f>I593*L593</f>
        <v/>
      </c>
      <c r="Z593" s="15">
        <f>Y593 * 68%</f>
        <v/>
      </c>
      <c r="AA593" s="15">
        <f>I593*M593</f>
        <v/>
      </c>
      <c r="AB593" s="15">
        <f>AA593*68%</f>
        <v/>
      </c>
      <c r="AC593" s="16">
        <f>ROUND((T593+X593+Z593+AB593),0)</f>
        <v/>
      </c>
      <c r="AD593" s="16">
        <f>AG593</f>
        <v/>
      </c>
      <c r="AE593" s="16">
        <f>AI593</f>
        <v/>
      </c>
      <c r="AF593" s="16">
        <f>AC593+AD593+AE593</f>
        <v/>
      </c>
      <c r="AG593" s="16" t="n"/>
      <c r="AH593" s="17" t="n"/>
      <c r="AI593" s="17">
        <f>AH593*4</f>
        <v/>
      </c>
      <c r="AJ593" s="15">
        <f>AF593-AG593-AH593-AI593</f>
        <v/>
      </c>
      <c r="AK593" s="18" t="n">
        <v>586</v>
      </c>
      <c r="AL593" s="23" t="n"/>
    </row>
    <row r="594" ht="23.5" customHeight="1">
      <c r="A594" s="6" t="inlineStr">
        <is>
          <t>587</t>
        </is>
      </c>
      <c r="B594" s="24" t="n"/>
      <c r="C594" s="55" t="n"/>
      <c r="D594" s="19" t="n"/>
      <c r="E594" s="24" t="n"/>
      <c r="F594" s="25" t="n"/>
      <c r="G594" s="10" t="n"/>
      <c r="H594" s="8" t="n"/>
      <c r="I594" s="11" t="n"/>
      <c r="J594" s="57" t="n"/>
      <c r="K594" s="12" t="n"/>
      <c r="L594" s="22" t="n"/>
      <c r="M594" s="13" t="n"/>
      <c r="N594" s="14">
        <f>ROUND(I594*(SUM(J594:M594))*68%,0)</f>
        <v/>
      </c>
      <c r="O594" s="61" t="n"/>
      <c r="P594" s="59" t="n"/>
      <c r="Q594" s="59" t="n"/>
      <c r="R594" s="58" t="n"/>
      <c r="S594" s="15">
        <f>I594*J594</f>
        <v/>
      </c>
      <c r="T594" s="15">
        <f>SUM(S594:S594)*68%</f>
        <v/>
      </c>
      <c r="U594" s="15">
        <f>I594*K594*40%*O594</f>
        <v/>
      </c>
      <c r="V594" s="15">
        <f>IF(P594&gt;=6750,(I594*K594*40%),0)</f>
        <v/>
      </c>
      <c r="W594" s="15">
        <f>IF(P594&lt;6750,0,IF(Q594="",0,IF(OR(Q594="KURANG",Q594="SANGAT KURANG"),I594*K594*10%,I594*K594*20%)))</f>
        <v/>
      </c>
      <c r="X594" s="15">
        <f>SUM(U594:W594)*68%</f>
        <v/>
      </c>
      <c r="Y594" s="15">
        <f>I594*L594</f>
        <v/>
      </c>
      <c r="Z594" s="15">
        <f>Y594 * 68%</f>
        <v/>
      </c>
      <c r="AA594" s="15">
        <f>I594*M594</f>
        <v/>
      </c>
      <c r="AB594" s="15">
        <f>AA594*68%</f>
        <v/>
      </c>
      <c r="AC594" s="16">
        <f>ROUND((T594+X594+Z594+AB594),0)</f>
        <v/>
      </c>
      <c r="AD594" s="16">
        <f>AG594</f>
        <v/>
      </c>
      <c r="AE594" s="16">
        <f>AI594</f>
        <v/>
      </c>
      <c r="AF594" s="16">
        <f>AC594+AD594+AE594</f>
        <v/>
      </c>
      <c r="AG594" s="16" t="n"/>
      <c r="AH594" s="17" t="n"/>
      <c r="AI594" s="17">
        <f>AH594*4</f>
        <v/>
      </c>
      <c r="AJ594" s="15">
        <f>AF594-AG594-AH594-AI594</f>
        <v/>
      </c>
      <c r="AK594" s="18" t="n">
        <v>587</v>
      </c>
      <c r="AL594" s="40" t="n"/>
    </row>
    <row r="595" ht="23.5" customHeight="1">
      <c r="A595" s="6" t="inlineStr">
        <is>
          <t>588</t>
        </is>
      </c>
      <c r="B595" s="24" t="n"/>
      <c r="C595" s="55" t="n"/>
      <c r="D595" s="19" t="n"/>
      <c r="E595" s="24" t="n"/>
      <c r="F595" s="25" t="n"/>
      <c r="G595" s="10" t="n"/>
      <c r="H595" s="8" t="n"/>
      <c r="I595" s="11" t="n"/>
      <c r="J595" s="57" t="n"/>
      <c r="K595" s="12" t="n"/>
      <c r="L595" s="22" t="n"/>
      <c r="M595" s="13" t="n"/>
      <c r="N595" s="14">
        <f>ROUND(I595*(SUM(J595:M595))*68%,0)</f>
        <v/>
      </c>
      <c r="O595" s="61" t="n"/>
      <c r="P595" s="59" t="n"/>
      <c r="Q595" s="59" t="n"/>
      <c r="R595" s="58" t="n"/>
      <c r="S595" s="15">
        <f>I595*J595</f>
        <v/>
      </c>
      <c r="T595" s="15">
        <f>SUM(S595:S595)*68%</f>
        <v/>
      </c>
      <c r="U595" s="15">
        <f>I595*K595*40%*O595</f>
        <v/>
      </c>
      <c r="V595" s="15">
        <f>IF(P595&gt;=6750,(I595*K595*40%),0)</f>
        <v/>
      </c>
      <c r="W595" s="15">
        <f>IF(P595&lt;6750,0,IF(Q595="",0,IF(OR(Q595="KURANG",Q595="SANGAT KURANG"),I595*K595*10%,I595*K595*20%)))</f>
        <v/>
      </c>
      <c r="X595" s="15">
        <f>SUM(U595:W595)*68%</f>
        <v/>
      </c>
      <c r="Y595" s="15">
        <f>I595*L595</f>
        <v/>
      </c>
      <c r="Z595" s="15">
        <f>Y595 * 68%</f>
        <v/>
      </c>
      <c r="AA595" s="15">
        <f>I595*M595</f>
        <v/>
      </c>
      <c r="AB595" s="15">
        <f>AA595*68%</f>
        <v/>
      </c>
      <c r="AC595" s="16">
        <f>ROUND((T595+X595+Z595+AB595),0)</f>
        <v/>
      </c>
      <c r="AD595" s="16">
        <f>AG595</f>
        <v/>
      </c>
      <c r="AE595" s="16">
        <f>AI595</f>
        <v/>
      </c>
      <c r="AF595" s="16">
        <f>AC595+AD595+AE595</f>
        <v/>
      </c>
      <c r="AG595" s="16" t="n"/>
      <c r="AH595" s="17" t="n"/>
      <c r="AI595" s="17">
        <f>AH595*4</f>
        <v/>
      </c>
      <c r="AJ595" s="15">
        <f>AF595-AG595-AH595-AI595</f>
        <v/>
      </c>
      <c r="AK595" s="18" t="n">
        <v>588</v>
      </c>
      <c r="AL595" s="23" t="n"/>
    </row>
    <row r="596" ht="23.5" customHeight="1">
      <c r="A596" s="6" t="inlineStr">
        <is>
          <t>589</t>
        </is>
      </c>
      <c r="B596" s="24" t="n"/>
      <c r="C596" s="55" t="n"/>
      <c r="D596" s="19" t="n"/>
      <c r="E596" s="24" t="n"/>
      <c r="F596" s="25" t="n"/>
      <c r="G596" s="10" t="n"/>
      <c r="H596" s="8" t="n"/>
      <c r="I596" s="11" t="n"/>
      <c r="J596" s="57" t="n"/>
      <c r="K596" s="12" t="n"/>
      <c r="L596" s="22" t="n"/>
      <c r="M596" s="13" t="n"/>
      <c r="N596" s="14">
        <f>ROUND(I596*(SUM(J596:M596))*68%,0)</f>
        <v/>
      </c>
      <c r="O596" s="61" t="n"/>
      <c r="P596" s="59" t="n"/>
      <c r="Q596" s="59" t="n"/>
      <c r="R596" s="58" t="n"/>
      <c r="S596" s="15">
        <f>I596*J596</f>
        <v/>
      </c>
      <c r="T596" s="15">
        <f>SUM(S596:S596)*68%</f>
        <v/>
      </c>
      <c r="U596" s="15">
        <f>I596*K596*40%*O596</f>
        <v/>
      </c>
      <c r="V596" s="15">
        <f>IF(P596&gt;=6750,(I596*K596*40%),0)</f>
        <v/>
      </c>
      <c r="W596" s="15">
        <f>IF(P596&lt;6750,0,IF(Q596="",0,IF(OR(Q596="KURANG",Q596="SANGAT KURANG"),I596*K596*10%,I596*K596*20%)))</f>
        <v/>
      </c>
      <c r="X596" s="15">
        <f>SUM(U596:W596)*68%</f>
        <v/>
      </c>
      <c r="Y596" s="15">
        <f>I596*L596</f>
        <v/>
      </c>
      <c r="Z596" s="15">
        <f>Y596 * 68%</f>
        <v/>
      </c>
      <c r="AA596" s="15">
        <f>I596*M596</f>
        <v/>
      </c>
      <c r="AB596" s="15">
        <f>AA596*68%</f>
        <v/>
      </c>
      <c r="AC596" s="16">
        <f>ROUND((T596+X596+Z596+AB596),0)</f>
        <v/>
      </c>
      <c r="AD596" s="16">
        <f>AG596</f>
        <v/>
      </c>
      <c r="AE596" s="16">
        <f>AI596</f>
        <v/>
      </c>
      <c r="AF596" s="16">
        <f>AC596+AD596+AE596</f>
        <v/>
      </c>
      <c r="AG596" s="16" t="n"/>
      <c r="AH596" s="17" t="n"/>
      <c r="AI596" s="17">
        <f>AH596*4</f>
        <v/>
      </c>
      <c r="AJ596" s="15">
        <f>AF596-AG596-AH596-AI596</f>
        <v/>
      </c>
      <c r="AK596" s="18" t="n">
        <v>589</v>
      </c>
      <c r="AL596" s="23" t="n"/>
    </row>
    <row r="597" ht="23.5" customHeight="1">
      <c r="A597" s="6" t="inlineStr">
        <is>
          <t>590</t>
        </is>
      </c>
      <c r="B597" s="28" t="n"/>
      <c r="C597" s="55" t="n"/>
      <c r="D597" s="19" t="n"/>
      <c r="E597" s="24" t="n"/>
      <c r="F597" s="25" t="n"/>
      <c r="G597" s="10" t="n"/>
      <c r="H597" s="8" t="n"/>
      <c r="I597" s="11" t="n"/>
      <c r="J597" s="57" t="n"/>
      <c r="K597" s="12" t="n"/>
      <c r="L597" s="22" t="n"/>
      <c r="M597" s="13" t="n"/>
      <c r="N597" s="14">
        <f>ROUND(I597*(SUM(J597:M597))*68%,0)</f>
        <v/>
      </c>
      <c r="O597" s="61" t="n"/>
      <c r="P597" s="59" t="n"/>
      <c r="Q597" s="59" t="n"/>
      <c r="R597" s="58" t="n"/>
      <c r="S597" s="15">
        <f>I597*J597</f>
        <v/>
      </c>
      <c r="T597" s="15">
        <f>SUM(S597:S597)*68%</f>
        <v/>
      </c>
      <c r="U597" s="15">
        <f>I597*K597*40%*O597</f>
        <v/>
      </c>
      <c r="V597" s="15">
        <f>IF(P597&gt;=6750,(I597*K597*40%),0)</f>
        <v/>
      </c>
      <c r="W597" s="15">
        <f>IF(P597&lt;6750,0,IF(Q597="",0,IF(OR(Q597="KURANG",Q597="SANGAT KURANG"),I597*K597*10%,I597*K597*20%)))</f>
        <v/>
      </c>
      <c r="X597" s="15">
        <f>SUM(U597:W597)*68%</f>
        <v/>
      </c>
      <c r="Y597" s="15">
        <f>I597*L597</f>
        <v/>
      </c>
      <c r="Z597" s="15">
        <f>Y597 * 68%</f>
        <v/>
      </c>
      <c r="AA597" s="15">
        <f>I597*M597</f>
        <v/>
      </c>
      <c r="AB597" s="15">
        <f>AA597*68%</f>
        <v/>
      </c>
      <c r="AC597" s="16">
        <f>ROUND((T597+X597+Z597+AB597),0)</f>
        <v/>
      </c>
      <c r="AD597" s="16">
        <f>AG597</f>
        <v/>
      </c>
      <c r="AE597" s="16">
        <f>AI597</f>
        <v/>
      </c>
      <c r="AF597" s="16">
        <f>AC597+AD597+AE597</f>
        <v/>
      </c>
      <c r="AG597" s="16" t="n"/>
      <c r="AH597" s="17" t="n"/>
      <c r="AI597" s="17">
        <f>AH597*4</f>
        <v/>
      </c>
      <c r="AJ597" s="15">
        <f>AF597-AG597-AH597-AI597</f>
        <v/>
      </c>
      <c r="AK597" s="18" t="n">
        <v>590</v>
      </c>
      <c r="AL597" s="40" t="n"/>
    </row>
    <row r="598" ht="23.5" customHeight="1">
      <c r="A598" s="6" t="inlineStr">
        <is>
          <t>591</t>
        </is>
      </c>
      <c r="B598" s="30" t="n"/>
      <c r="C598" s="55" t="n"/>
      <c r="D598" s="29" t="n"/>
      <c r="E598" s="30" t="n"/>
      <c r="F598" s="31" t="n"/>
      <c r="G598" s="32" t="n"/>
      <c r="H598" s="33" t="n"/>
      <c r="I598" s="11" t="n"/>
      <c r="J598" s="57" t="n"/>
      <c r="K598" s="12" t="n"/>
      <c r="L598" s="22" t="n"/>
      <c r="M598" s="13" t="n"/>
      <c r="N598" s="14">
        <f>ROUND(I598*(SUM(J598:M598))*68%,0)</f>
        <v/>
      </c>
      <c r="O598" s="61" t="n"/>
      <c r="P598" s="59" t="n"/>
      <c r="Q598" s="59" t="n"/>
      <c r="R598" s="58" t="n"/>
      <c r="S598" s="15">
        <f>I598*J598</f>
        <v/>
      </c>
      <c r="T598" s="15">
        <f>SUM(S598:S598)*68%</f>
        <v/>
      </c>
      <c r="U598" s="15">
        <f>I598*K598*40%*O598</f>
        <v/>
      </c>
      <c r="V598" s="15">
        <f>IF(P598&gt;=6750,(I598*K598*40%),0)</f>
        <v/>
      </c>
      <c r="W598" s="15">
        <f>IF(P598&lt;6750,0,IF(Q598="",0,IF(OR(Q598="KURANG",Q598="SANGAT KURANG"),I598*K598*10%,I598*K598*20%)))</f>
        <v/>
      </c>
      <c r="X598" s="15">
        <f>SUM(U598:W598)*68%</f>
        <v/>
      </c>
      <c r="Y598" s="15">
        <f>I598*L598</f>
        <v/>
      </c>
      <c r="Z598" s="15">
        <f>Y598 * 68%</f>
        <v/>
      </c>
      <c r="AA598" s="15">
        <f>I598*M598</f>
        <v/>
      </c>
      <c r="AB598" s="15">
        <f>AA598*68%</f>
        <v/>
      </c>
      <c r="AC598" s="16">
        <f>ROUND((T598+X598+Z598+AB598),0)</f>
        <v/>
      </c>
      <c r="AD598" s="16">
        <f>AG598</f>
        <v/>
      </c>
      <c r="AE598" s="16">
        <f>AI598</f>
        <v/>
      </c>
      <c r="AF598" s="16">
        <f>AC598+AD598+AE598</f>
        <v/>
      </c>
      <c r="AG598" s="16" t="n"/>
      <c r="AH598" s="17" t="n"/>
      <c r="AI598" s="17">
        <f>AH598*4</f>
        <v/>
      </c>
      <c r="AJ598" s="15">
        <f>AF598-AG598-AH598-AI598</f>
        <v/>
      </c>
      <c r="AK598" s="18" t="n">
        <v>591</v>
      </c>
      <c r="AL598" s="23" t="n"/>
    </row>
    <row r="599" ht="23.5" customHeight="1">
      <c r="A599" s="6" t="inlineStr">
        <is>
          <t>592</t>
        </is>
      </c>
      <c r="B599" s="24" t="n"/>
      <c r="C599" s="55" t="n"/>
      <c r="D599" s="19" t="n"/>
      <c r="E599" s="24" t="n"/>
      <c r="F599" s="25" t="n"/>
      <c r="G599" s="25" t="n"/>
      <c r="H599" s="24" t="n"/>
      <c r="I599" s="11" t="n"/>
      <c r="J599" s="57" t="n"/>
      <c r="K599" s="12" t="n"/>
      <c r="L599" s="22" t="n"/>
      <c r="M599" s="13" t="n"/>
      <c r="N599" s="14">
        <f>ROUND(I599*(SUM(J599:M599))*68%,0)</f>
        <v/>
      </c>
      <c r="O599" s="61" t="n"/>
      <c r="P599" s="59" t="n"/>
      <c r="Q599" s="59" t="n"/>
      <c r="R599" s="58" t="n"/>
      <c r="S599" s="15">
        <f>I599*J599</f>
        <v/>
      </c>
      <c r="T599" s="15">
        <f>SUM(S599:S599)*68%</f>
        <v/>
      </c>
      <c r="U599" s="15">
        <f>I599*K599*40%*O599</f>
        <v/>
      </c>
      <c r="V599" s="15">
        <f>IF(P599&gt;=6750,(I599*K599*40%),0)</f>
        <v/>
      </c>
      <c r="W599" s="15">
        <f>IF(P599&lt;6750,0,IF(Q599="",0,IF(OR(Q599="KURANG",Q599="SANGAT KURANG"),I599*K599*10%,I599*K599*20%)))</f>
        <v/>
      </c>
      <c r="X599" s="15">
        <f>SUM(U599:W599)*68%</f>
        <v/>
      </c>
      <c r="Y599" s="15">
        <f>I599*L599</f>
        <v/>
      </c>
      <c r="Z599" s="15">
        <f>Y599 * 68%</f>
        <v/>
      </c>
      <c r="AA599" s="15">
        <f>I599*M599</f>
        <v/>
      </c>
      <c r="AB599" s="15">
        <f>AA599*68%</f>
        <v/>
      </c>
      <c r="AC599" s="16">
        <f>ROUND((T599+X599+Z599+AB599),0)</f>
        <v/>
      </c>
      <c r="AD599" s="16">
        <f>AG599</f>
        <v/>
      </c>
      <c r="AE599" s="16">
        <f>AI599</f>
        <v/>
      </c>
      <c r="AF599" s="16">
        <f>AC599+AD599+AE599</f>
        <v/>
      </c>
      <c r="AG599" s="16" t="n"/>
      <c r="AH599" s="17" t="n"/>
      <c r="AI599" s="17">
        <f>AH599*4</f>
        <v/>
      </c>
      <c r="AJ599" s="15">
        <f>AF599-AG599-AH599-AI599</f>
        <v/>
      </c>
      <c r="AK599" s="18" t="n">
        <v>592</v>
      </c>
      <c r="AL599" s="23" t="n"/>
    </row>
    <row r="600" ht="23.5" customHeight="1">
      <c r="A600" s="6" t="inlineStr">
        <is>
          <t>593</t>
        </is>
      </c>
      <c r="B600" s="24" t="n"/>
      <c r="C600" s="55" t="n"/>
      <c r="D600" s="19" t="n"/>
      <c r="E600" s="24" t="n"/>
      <c r="F600" s="25" t="n"/>
      <c r="G600" s="25" t="n"/>
      <c r="H600" s="24" t="n"/>
      <c r="I600" s="11" t="n"/>
      <c r="J600" s="57" t="n"/>
      <c r="K600" s="12" t="n"/>
      <c r="L600" s="22" t="n"/>
      <c r="M600" s="13" t="n"/>
      <c r="N600" s="14">
        <f>ROUND(I600*(SUM(J600:M600))*68%,0)</f>
        <v/>
      </c>
      <c r="O600" s="61" t="n"/>
      <c r="P600" s="59" t="n"/>
      <c r="Q600" s="59" t="n"/>
      <c r="R600" s="58" t="n"/>
      <c r="S600" s="15">
        <f>I600*J600</f>
        <v/>
      </c>
      <c r="T600" s="15">
        <f>SUM(S600:S600)*68%</f>
        <v/>
      </c>
      <c r="U600" s="15">
        <f>I600*K600*40%*O600</f>
        <v/>
      </c>
      <c r="V600" s="15">
        <f>IF(P600&gt;=6750,(I600*K600*40%),0)</f>
        <v/>
      </c>
      <c r="W600" s="15">
        <f>IF(P600&lt;6750,0,IF(Q600="",0,IF(OR(Q600="KURANG",Q600="SANGAT KURANG"),I600*K600*10%,I600*K600*20%)))</f>
        <v/>
      </c>
      <c r="X600" s="15">
        <f>SUM(U600:W600)*68%</f>
        <v/>
      </c>
      <c r="Y600" s="15">
        <f>I600*L600</f>
        <v/>
      </c>
      <c r="Z600" s="15">
        <f>Y600 * 68%</f>
        <v/>
      </c>
      <c r="AA600" s="15">
        <f>I600*M600</f>
        <v/>
      </c>
      <c r="AB600" s="15">
        <f>AA600*68%</f>
        <v/>
      </c>
      <c r="AC600" s="16">
        <f>ROUND((T600+X600+Z600+AB600),0)</f>
        <v/>
      </c>
      <c r="AD600" s="16">
        <f>AG600</f>
        <v/>
      </c>
      <c r="AE600" s="16">
        <f>AI600</f>
        <v/>
      </c>
      <c r="AF600" s="16">
        <f>AC600+AD600+AE600</f>
        <v/>
      </c>
      <c r="AG600" s="16" t="n"/>
      <c r="AH600" s="17" t="n"/>
      <c r="AI600" s="17">
        <f>AH600*4</f>
        <v/>
      </c>
      <c r="AJ600" s="15">
        <f>AF600-AG600-AH600-AI600</f>
        <v/>
      </c>
      <c r="AK600" s="18" t="n">
        <v>593</v>
      </c>
      <c r="AL600" s="40" t="n"/>
    </row>
    <row r="601" ht="23.5" customHeight="1">
      <c r="A601" s="6" t="inlineStr">
        <is>
          <t>594</t>
        </is>
      </c>
      <c r="B601" s="24" t="n"/>
      <c r="C601" s="55" t="n"/>
      <c r="D601" s="19" t="n"/>
      <c r="E601" s="24" t="n"/>
      <c r="F601" s="25" t="n"/>
      <c r="G601" s="25" t="n"/>
      <c r="H601" s="24" t="n"/>
      <c r="I601" s="11" t="n"/>
      <c r="J601" s="57" t="n"/>
      <c r="K601" s="12" t="n"/>
      <c r="L601" s="22" t="n"/>
      <c r="M601" s="13" t="n"/>
      <c r="N601" s="14">
        <f>ROUND(I601*(SUM(J601:M601))*68%,0)</f>
        <v/>
      </c>
      <c r="O601" s="61" t="n"/>
      <c r="P601" s="59" t="n"/>
      <c r="Q601" s="59" t="n"/>
      <c r="R601" s="58" t="n"/>
      <c r="S601" s="15">
        <f>I601*J601</f>
        <v/>
      </c>
      <c r="T601" s="15">
        <f>SUM(S601:S601)*68%</f>
        <v/>
      </c>
      <c r="U601" s="15">
        <f>I601*K601*40%*O601</f>
        <v/>
      </c>
      <c r="V601" s="15">
        <f>IF(P601&gt;=6750,(I601*K601*40%),0)</f>
        <v/>
      </c>
      <c r="W601" s="15">
        <f>IF(P601&lt;6750,0,IF(Q601="",0,IF(OR(Q601="KURANG",Q601="SANGAT KURANG"),I601*K601*10%,I601*K601*20%)))</f>
        <v/>
      </c>
      <c r="X601" s="15">
        <f>SUM(U601:W601)*68%</f>
        <v/>
      </c>
      <c r="Y601" s="15">
        <f>I601*L601</f>
        <v/>
      </c>
      <c r="Z601" s="15">
        <f>Y601 * 68%</f>
        <v/>
      </c>
      <c r="AA601" s="15">
        <f>I601*M601</f>
        <v/>
      </c>
      <c r="AB601" s="15">
        <f>AA601*68%</f>
        <v/>
      </c>
      <c r="AC601" s="16">
        <f>ROUND((T601+X601+Z601+AB601),0)</f>
        <v/>
      </c>
      <c r="AD601" s="16">
        <f>AG601</f>
        <v/>
      </c>
      <c r="AE601" s="16">
        <f>AI601</f>
        <v/>
      </c>
      <c r="AF601" s="16">
        <f>AC601+AD601+AE601</f>
        <v/>
      </c>
      <c r="AG601" s="16" t="n"/>
      <c r="AH601" s="17" t="n"/>
      <c r="AI601" s="17">
        <f>AH601*4</f>
        <v/>
      </c>
      <c r="AJ601" s="15">
        <f>AF601-AG601-AH601-AI601</f>
        <v/>
      </c>
      <c r="AK601" s="18" t="n">
        <v>594</v>
      </c>
      <c r="AL601" s="23" t="n"/>
    </row>
    <row r="602" ht="23.5" customHeight="1">
      <c r="A602" s="6" t="inlineStr">
        <is>
          <t>595</t>
        </is>
      </c>
      <c r="B602" s="28" t="n"/>
      <c r="C602" s="55" t="n"/>
      <c r="D602" s="19" t="n"/>
      <c r="E602" s="24" t="n"/>
      <c r="F602" s="25" t="n"/>
      <c r="G602" s="25" t="n"/>
      <c r="H602" s="25" t="n"/>
      <c r="I602" s="11" t="n"/>
      <c r="J602" s="57" t="n"/>
      <c r="K602" s="12" t="n"/>
      <c r="L602" s="22" t="n"/>
      <c r="M602" s="13" t="n"/>
      <c r="N602" s="14">
        <f>ROUND(I602*(SUM(J602:M602))*68%,0)</f>
        <v/>
      </c>
      <c r="O602" s="61" t="n"/>
      <c r="P602" s="59" t="n"/>
      <c r="Q602" s="59" t="n"/>
      <c r="R602" s="58" t="n"/>
      <c r="S602" s="15">
        <f>I602*J602</f>
        <v/>
      </c>
      <c r="T602" s="15">
        <f>SUM(S602:S602)*68%</f>
        <v/>
      </c>
      <c r="U602" s="15">
        <f>I602*K602*40%*O602</f>
        <v/>
      </c>
      <c r="V602" s="15">
        <f>IF(P602&gt;=6750,(I602*K602*40%),0)</f>
        <v/>
      </c>
      <c r="W602" s="15">
        <f>IF(P602&lt;6750,0,IF(Q602="",0,IF(OR(Q602="KURANG",Q602="SANGAT KURANG"),I602*K602*10%,I602*K602*20%)))</f>
        <v/>
      </c>
      <c r="X602" s="15">
        <f>SUM(U602:W602)*68%</f>
        <v/>
      </c>
      <c r="Y602" s="15">
        <f>I602*L602</f>
        <v/>
      </c>
      <c r="Z602" s="15">
        <f>Y602 * 68%</f>
        <v/>
      </c>
      <c r="AA602" s="15">
        <f>I602*M602</f>
        <v/>
      </c>
      <c r="AB602" s="15">
        <f>AA602*68%</f>
        <v/>
      </c>
      <c r="AC602" s="16">
        <f>ROUND((T602+X602+Z602+AB602),0)</f>
        <v/>
      </c>
      <c r="AD602" s="16">
        <f>AG602</f>
        <v/>
      </c>
      <c r="AE602" s="16">
        <f>AI602</f>
        <v/>
      </c>
      <c r="AF602" s="16">
        <f>AC602+AD602+AE602</f>
        <v/>
      </c>
      <c r="AG602" s="16" t="n"/>
      <c r="AH602" s="17" t="n"/>
      <c r="AI602" s="17">
        <f>AH602*4</f>
        <v/>
      </c>
      <c r="AJ602" s="15">
        <f>AF602-AG602-AH602-AI602</f>
        <v/>
      </c>
      <c r="AK602" s="18" t="n">
        <v>595</v>
      </c>
      <c r="AL602" s="23" t="n"/>
    </row>
    <row r="603" ht="23.5" customHeight="1">
      <c r="A603" s="6" t="inlineStr">
        <is>
          <t>596</t>
        </is>
      </c>
      <c r="B603" s="28" t="n"/>
      <c r="C603" s="55" t="n"/>
      <c r="D603" s="19" t="n"/>
      <c r="E603" s="24" t="n"/>
      <c r="F603" s="25" t="n"/>
      <c r="G603" s="25" t="n"/>
      <c r="H603" s="25" t="n"/>
      <c r="I603" s="11" t="n"/>
      <c r="J603" s="57" t="n"/>
      <c r="K603" s="12" t="n"/>
      <c r="L603" s="22" t="n"/>
      <c r="M603" s="13" t="n"/>
      <c r="N603" s="14">
        <f>ROUND(I603*(SUM(J603:M603))*68%,0)</f>
        <v/>
      </c>
      <c r="O603" s="61" t="n"/>
      <c r="P603" s="59" t="n"/>
      <c r="Q603" s="59" t="n"/>
      <c r="R603" s="58" t="n"/>
      <c r="S603" s="15">
        <f>I603*J603</f>
        <v/>
      </c>
      <c r="T603" s="15">
        <f>SUM(S603:S603)*68%</f>
        <v/>
      </c>
      <c r="U603" s="15">
        <f>I603*K603*40%*O603</f>
        <v/>
      </c>
      <c r="V603" s="15">
        <f>IF(P603&gt;=6750,(I603*K603*40%),0)</f>
        <v/>
      </c>
      <c r="W603" s="15">
        <f>IF(P603&lt;6750,0,IF(Q603="",0,IF(OR(Q603="KURANG",Q603="SANGAT KURANG"),I603*K603*10%,I603*K603*20%)))</f>
        <v/>
      </c>
      <c r="X603" s="15">
        <f>SUM(U603:W603)*68%</f>
        <v/>
      </c>
      <c r="Y603" s="15">
        <f>I603*L603</f>
        <v/>
      </c>
      <c r="Z603" s="15">
        <f>Y603 * 68%</f>
        <v/>
      </c>
      <c r="AA603" s="15">
        <f>I603*M603</f>
        <v/>
      </c>
      <c r="AB603" s="15">
        <f>AA603*68%</f>
        <v/>
      </c>
      <c r="AC603" s="16">
        <f>ROUND((T603+X603+Z603+AB603),0)</f>
        <v/>
      </c>
      <c r="AD603" s="16">
        <f>AG603</f>
        <v/>
      </c>
      <c r="AE603" s="16">
        <f>AI603</f>
        <v/>
      </c>
      <c r="AF603" s="16">
        <f>AC603+AD603+AE603</f>
        <v/>
      </c>
      <c r="AG603" s="16" t="n"/>
      <c r="AH603" s="17" t="n"/>
      <c r="AI603" s="17">
        <f>AH603*4</f>
        <v/>
      </c>
      <c r="AJ603" s="15">
        <f>AF603-AG603-AH603-AI603</f>
        <v/>
      </c>
      <c r="AK603" s="18" t="n">
        <v>596</v>
      </c>
      <c r="AL603" s="40" t="n"/>
    </row>
    <row r="604" ht="23.5" customHeight="1">
      <c r="A604" s="6" t="inlineStr">
        <is>
          <t>597</t>
        </is>
      </c>
      <c r="B604" s="28" t="n"/>
      <c r="C604" s="55" t="n"/>
      <c r="D604" s="19" t="n"/>
      <c r="E604" s="24" t="n"/>
      <c r="F604" s="25" t="n"/>
      <c r="G604" s="25" t="n"/>
      <c r="H604" s="25" t="n"/>
      <c r="I604" s="11" t="n"/>
      <c r="J604" s="57" t="n"/>
      <c r="K604" s="12" t="n"/>
      <c r="L604" s="22" t="n"/>
      <c r="M604" s="13" t="n"/>
      <c r="N604" s="14">
        <f>ROUND(I604*(SUM(J604:M604))*68%,0)</f>
        <v/>
      </c>
      <c r="O604" s="61" t="n"/>
      <c r="P604" s="59" t="n"/>
      <c r="Q604" s="59" t="n"/>
      <c r="R604" s="58" t="n"/>
      <c r="S604" s="15">
        <f>I604*J604</f>
        <v/>
      </c>
      <c r="T604" s="15">
        <f>SUM(S604:S604)*68%</f>
        <v/>
      </c>
      <c r="U604" s="15">
        <f>I604*K604*40%*O604</f>
        <v/>
      </c>
      <c r="V604" s="15">
        <f>IF(P604&gt;=6750,(I604*K604*40%),0)</f>
        <v/>
      </c>
      <c r="W604" s="15">
        <f>IF(P604&lt;6750,0,IF(Q604="",0,IF(OR(Q604="KURANG",Q604="SANGAT KURANG"),I604*K604*10%,I604*K604*20%)))</f>
        <v/>
      </c>
      <c r="X604" s="15">
        <f>SUM(U604:W604)*68%</f>
        <v/>
      </c>
      <c r="Y604" s="15">
        <f>I604*L604</f>
        <v/>
      </c>
      <c r="Z604" s="15">
        <f>Y604 * 68%</f>
        <v/>
      </c>
      <c r="AA604" s="15">
        <f>I604*M604</f>
        <v/>
      </c>
      <c r="AB604" s="15">
        <f>AA604*68%</f>
        <v/>
      </c>
      <c r="AC604" s="16">
        <f>ROUND((T604+X604+Z604+AB604),0)</f>
        <v/>
      </c>
      <c r="AD604" s="16">
        <f>AG604</f>
        <v/>
      </c>
      <c r="AE604" s="16">
        <f>AI604</f>
        <v/>
      </c>
      <c r="AF604" s="16">
        <f>AC604+AD604+AE604</f>
        <v/>
      </c>
      <c r="AG604" s="16" t="n"/>
      <c r="AH604" s="17" t="n"/>
      <c r="AI604" s="17">
        <f>AH604*4</f>
        <v/>
      </c>
      <c r="AJ604" s="15">
        <f>AF604-AG604-AH604-AI604</f>
        <v/>
      </c>
      <c r="AK604" s="18" t="n">
        <v>597</v>
      </c>
      <c r="AL604" s="23" t="n"/>
    </row>
    <row r="605" ht="23.5" customHeight="1">
      <c r="A605" s="6" t="inlineStr">
        <is>
          <t>598</t>
        </is>
      </c>
      <c r="B605" s="24" t="n"/>
      <c r="C605" s="55" t="n"/>
      <c r="D605" s="19" t="n"/>
      <c r="E605" s="24" t="n"/>
      <c r="F605" s="25" t="n"/>
      <c r="G605" s="25" t="n"/>
      <c r="H605" s="25" t="n"/>
      <c r="I605" s="11" t="n"/>
      <c r="J605" s="57" t="n"/>
      <c r="K605" s="12" t="n"/>
      <c r="L605" s="22" t="n"/>
      <c r="M605" s="13" t="n"/>
      <c r="N605" s="14">
        <f>ROUND(I605*(SUM(J605:M605))*68%,0)</f>
        <v/>
      </c>
      <c r="O605" s="61" t="n"/>
      <c r="P605" s="59" t="n"/>
      <c r="Q605" s="59" t="n"/>
      <c r="R605" s="58" t="n"/>
      <c r="S605" s="15">
        <f>I605*J605</f>
        <v/>
      </c>
      <c r="T605" s="15">
        <f>SUM(S605:S605)*68%</f>
        <v/>
      </c>
      <c r="U605" s="15">
        <f>I605*K605*40%*O605</f>
        <v/>
      </c>
      <c r="V605" s="15">
        <f>IF(P605&gt;=6750,(I605*K605*40%),0)</f>
        <v/>
      </c>
      <c r="W605" s="15">
        <f>IF(P605&lt;6750,0,IF(Q605="",0,IF(OR(Q605="KURANG",Q605="SANGAT KURANG"),I605*K605*10%,I605*K605*20%)))</f>
        <v/>
      </c>
      <c r="X605" s="15">
        <f>SUM(U605:W605)*68%</f>
        <v/>
      </c>
      <c r="Y605" s="15">
        <f>I605*L605</f>
        <v/>
      </c>
      <c r="Z605" s="15">
        <f>Y605 * 68%</f>
        <v/>
      </c>
      <c r="AA605" s="15">
        <f>I605*M605</f>
        <v/>
      </c>
      <c r="AB605" s="15">
        <f>AA605*68%</f>
        <v/>
      </c>
      <c r="AC605" s="16">
        <f>ROUND((T605+X605+Z605+AB605),0)</f>
        <v/>
      </c>
      <c r="AD605" s="16">
        <f>AG605</f>
        <v/>
      </c>
      <c r="AE605" s="16">
        <f>AI605</f>
        <v/>
      </c>
      <c r="AF605" s="16">
        <f>AC605+AD605+AE605</f>
        <v/>
      </c>
      <c r="AG605" s="16" t="n"/>
      <c r="AH605" s="17" t="n"/>
      <c r="AI605" s="17">
        <f>AH605*4</f>
        <v/>
      </c>
      <c r="AJ605" s="15">
        <f>AF605-AG605-AH605-AI605</f>
        <v/>
      </c>
      <c r="AK605" s="18" t="n">
        <v>598</v>
      </c>
      <c r="AL605" s="23" t="n"/>
    </row>
    <row r="606" ht="23.5" customHeight="1">
      <c r="A606" s="6" t="inlineStr">
        <is>
          <t>599</t>
        </is>
      </c>
      <c r="B606" s="24" t="n"/>
      <c r="C606" s="55" t="n"/>
      <c r="D606" s="19" t="n"/>
      <c r="E606" s="24" t="n"/>
      <c r="F606" s="25" t="n"/>
      <c r="G606" s="25" t="n"/>
      <c r="H606" s="25" t="n"/>
      <c r="I606" s="11" t="n"/>
      <c r="J606" s="57" t="n"/>
      <c r="K606" s="12" t="n"/>
      <c r="L606" s="22" t="n"/>
      <c r="M606" s="13" t="n"/>
      <c r="N606" s="14">
        <f>ROUND(I606*(SUM(J606:M606))*68%,0)</f>
        <v/>
      </c>
      <c r="O606" s="61" t="n"/>
      <c r="P606" s="59" t="n"/>
      <c r="Q606" s="59" t="n"/>
      <c r="R606" s="58" t="n"/>
      <c r="S606" s="15">
        <f>I606*J606</f>
        <v/>
      </c>
      <c r="T606" s="15">
        <f>SUM(S606:S606)*68%</f>
        <v/>
      </c>
      <c r="U606" s="15">
        <f>I606*K606*40%*O606</f>
        <v/>
      </c>
      <c r="V606" s="15">
        <f>IF(P606&gt;=6750,(I606*K606*40%),0)</f>
        <v/>
      </c>
      <c r="W606" s="15">
        <f>IF(P606&lt;6750,0,IF(Q606="",0,IF(OR(Q606="KURANG",Q606="SANGAT KURANG"),I606*K606*10%,I606*K606*20%)))</f>
        <v/>
      </c>
      <c r="X606" s="15">
        <f>SUM(U606:W606)*68%</f>
        <v/>
      </c>
      <c r="Y606" s="15">
        <f>I606*L606</f>
        <v/>
      </c>
      <c r="Z606" s="15">
        <f>Y606 * 68%</f>
        <v/>
      </c>
      <c r="AA606" s="15">
        <f>I606*M606</f>
        <v/>
      </c>
      <c r="AB606" s="15">
        <f>AA606*68%</f>
        <v/>
      </c>
      <c r="AC606" s="16">
        <f>ROUND((T606+X606+Z606+AB606),0)</f>
        <v/>
      </c>
      <c r="AD606" s="16">
        <f>AG606</f>
        <v/>
      </c>
      <c r="AE606" s="16">
        <f>AI606</f>
        <v/>
      </c>
      <c r="AF606" s="16">
        <f>AC606+AD606+AE606</f>
        <v/>
      </c>
      <c r="AG606" s="16" t="n"/>
      <c r="AH606" s="17" t="n"/>
      <c r="AI606" s="17">
        <f>AH606*4</f>
        <v/>
      </c>
      <c r="AJ606" s="15">
        <f>AF606-AG606-AH606-AI606</f>
        <v/>
      </c>
      <c r="AK606" s="18" t="n">
        <v>599</v>
      </c>
      <c r="AL606" s="40" t="n"/>
    </row>
    <row r="607" ht="23.5" customHeight="1">
      <c r="A607" s="6" t="inlineStr">
        <is>
          <t>600</t>
        </is>
      </c>
      <c r="B607" s="28" t="n"/>
      <c r="C607" s="55" t="n"/>
      <c r="D607" s="19" t="n"/>
      <c r="E607" s="24" t="n"/>
      <c r="F607" s="25" t="n"/>
      <c r="G607" s="25" t="n"/>
      <c r="H607" s="25" t="n"/>
      <c r="I607" s="11" t="n"/>
      <c r="J607" s="57" t="n"/>
      <c r="K607" s="12" t="n"/>
      <c r="L607" s="22" t="n"/>
      <c r="M607" s="13" t="n"/>
      <c r="N607" s="14">
        <f>ROUND(I607*(SUM(J607:M607))*68%,0)</f>
        <v/>
      </c>
      <c r="O607" s="61" t="n"/>
      <c r="P607" s="59" t="n"/>
      <c r="Q607" s="59" t="n"/>
      <c r="R607" s="58" t="n"/>
      <c r="S607" s="15">
        <f>I607*J607</f>
        <v/>
      </c>
      <c r="T607" s="15">
        <f>SUM(S607:S607)*68%</f>
        <v/>
      </c>
      <c r="U607" s="15">
        <f>I607*K607*40%*O607</f>
        <v/>
      </c>
      <c r="V607" s="15">
        <f>IF(P607&gt;=6750,(I607*K607*40%),0)</f>
        <v/>
      </c>
      <c r="W607" s="15">
        <f>IF(P607&lt;6750,0,IF(Q607="",0,IF(OR(Q607="KURANG",Q607="SANGAT KURANG"),I607*K607*10%,I607*K607*20%)))</f>
        <v/>
      </c>
      <c r="X607" s="15">
        <f>SUM(U607:W607)*68%</f>
        <v/>
      </c>
      <c r="Y607" s="15">
        <f>I607*L607</f>
        <v/>
      </c>
      <c r="Z607" s="15">
        <f>Y607 * 68%</f>
        <v/>
      </c>
      <c r="AA607" s="15">
        <f>I607*M607</f>
        <v/>
      </c>
      <c r="AB607" s="15">
        <f>AA607*68%</f>
        <v/>
      </c>
      <c r="AC607" s="16">
        <f>ROUND((T607+X607+Z607+AB607),0)</f>
        <v/>
      </c>
      <c r="AD607" s="16">
        <f>AG607</f>
        <v/>
      </c>
      <c r="AE607" s="16">
        <f>AI607</f>
        <v/>
      </c>
      <c r="AF607" s="16">
        <f>AC607+AD607+AE607</f>
        <v/>
      </c>
      <c r="AG607" s="16" t="n"/>
      <c r="AH607" s="17" t="n"/>
      <c r="AI607" s="17">
        <f>AH607*4</f>
        <v/>
      </c>
      <c r="AJ607" s="15">
        <f>AF607-AG607-AH607-AI607</f>
        <v/>
      </c>
      <c r="AK607" s="18" t="n">
        <v>600</v>
      </c>
      <c r="AL607" s="23" t="n"/>
    </row>
    <row r="608" ht="23.5" customHeight="1">
      <c r="A608" s="6" t="inlineStr">
        <is>
          <t>601</t>
        </is>
      </c>
      <c r="B608" s="28" t="n"/>
      <c r="C608" s="55" t="n"/>
      <c r="D608" s="19" t="n"/>
      <c r="E608" s="24" t="n"/>
      <c r="F608" s="25" t="n"/>
      <c r="G608" s="25" t="n"/>
      <c r="H608" s="25" t="n"/>
      <c r="I608" s="11" t="n"/>
      <c r="J608" s="57" t="n"/>
      <c r="K608" s="12" t="n"/>
      <c r="L608" s="22" t="n"/>
      <c r="M608" s="13" t="n"/>
      <c r="N608" s="14">
        <f>ROUND(I608*(SUM(J608:M608))*68%,0)</f>
        <v/>
      </c>
      <c r="O608" s="61" t="n"/>
      <c r="P608" s="59" t="n"/>
      <c r="Q608" s="59" t="n"/>
      <c r="R608" s="58" t="n"/>
      <c r="S608" s="15">
        <f>I608*J608</f>
        <v/>
      </c>
      <c r="T608" s="15">
        <f>SUM(S608:S608)*68%</f>
        <v/>
      </c>
      <c r="U608" s="15">
        <f>I608*K608*40%*O608</f>
        <v/>
      </c>
      <c r="V608" s="15">
        <f>IF(P608&gt;=6750,(I608*K608*40%),0)</f>
        <v/>
      </c>
      <c r="W608" s="15">
        <f>IF(P608&lt;6750,0,IF(Q608="",0,IF(OR(Q608="KURANG",Q608="SANGAT KURANG"),I608*K608*10%,I608*K608*20%)))</f>
        <v/>
      </c>
      <c r="X608" s="15">
        <f>SUM(U608:W608)*68%</f>
        <v/>
      </c>
      <c r="Y608" s="15">
        <f>I608*L608</f>
        <v/>
      </c>
      <c r="Z608" s="15">
        <f>Y608 * 68%</f>
        <v/>
      </c>
      <c r="AA608" s="15">
        <f>I608*M608</f>
        <v/>
      </c>
      <c r="AB608" s="15">
        <f>AA608*68%</f>
        <v/>
      </c>
      <c r="AC608" s="16">
        <f>ROUND((T608+X608+Z608+AB608),0)</f>
        <v/>
      </c>
      <c r="AD608" s="16">
        <f>AG608</f>
        <v/>
      </c>
      <c r="AE608" s="16">
        <f>AI608</f>
        <v/>
      </c>
      <c r="AF608" s="16">
        <f>AC608+AD608+AE608</f>
        <v/>
      </c>
      <c r="AG608" s="16" t="n"/>
      <c r="AH608" s="17" t="n"/>
      <c r="AI608" s="17">
        <f>AH608*4</f>
        <v/>
      </c>
      <c r="AJ608" s="15">
        <f>AF608-AG608-AH608-AI608</f>
        <v/>
      </c>
      <c r="AK608" s="18" t="n">
        <v>601</v>
      </c>
      <c r="AL608" s="23" t="n"/>
    </row>
    <row r="609" ht="23.5" customHeight="1">
      <c r="A609" s="6" t="inlineStr">
        <is>
          <t>602</t>
        </is>
      </c>
      <c r="B609" s="24" t="n"/>
      <c r="C609" s="55" t="n"/>
      <c r="D609" s="19" t="n"/>
      <c r="E609" s="24" t="n"/>
      <c r="F609" s="25" t="n"/>
      <c r="G609" s="25" t="n"/>
      <c r="H609" s="25" t="n"/>
      <c r="I609" s="11" t="n"/>
      <c r="J609" s="57" t="n"/>
      <c r="K609" s="12" t="n"/>
      <c r="L609" s="22" t="n"/>
      <c r="M609" s="13" t="n"/>
      <c r="N609" s="14">
        <f>ROUND(I609*(SUM(J609:M609))*68%,0)</f>
        <v/>
      </c>
      <c r="O609" s="61" t="n"/>
      <c r="P609" s="59" t="n"/>
      <c r="Q609" s="59" t="n"/>
      <c r="R609" s="58" t="n"/>
      <c r="S609" s="15">
        <f>I609*J609</f>
        <v/>
      </c>
      <c r="T609" s="15">
        <f>SUM(S609:S609)*68%</f>
        <v/>
      </c>
      <c r="U609" s="15">
        <f>I609*K609*40%*O609</f>
        <v/>
      </c>
      <c r="V609" s="15">
        <f>IF(P609&gt;=6750,(I609*K609*40%),0)</f>
        <v/>
      </c>
      <c r="W609" s="15">
        <f>IF(P609&lt;6750,0,IF(Q609="",0,IF(OR(Q609="KURANG",Q609="SANGAT KURANG"),I609*K609*10%,I609*K609*20%)))</f>
        <v/>
      </c>
      <c r="X609" s="15">
        <f>SUM(U609:W609)*68%</f>
        <v/>
      </c>
      <c r="Y609" s="15">
        <f>I609*L609</f>
        <v/>
      </c>
      <c r="Z609" s="15">
        <f>Y609 * 68%</f>
        <v/>
      </c>
      <c r="AA609" s="15">
        <f>I609*M609</f>
        <v/>
      </c>
      <c r="AB609" s="15">
        <f>AA609*68%</f>
        <v/>
      </c>
      <c r="AC609" s="16">
        <f>ROUND((T609+X609+Z609+AB609),0)</f>
        <v/>
      </c>
      <c r="AD609" s="16">
        <f>AG609</f>
        <v/>
      </c>
      <c r="AE609" s="16">
        <f>AI609</f>
        <v/>
      </c>
      <c r="AF609" s="16">
        <f>AC609+AD609+AE609</f>
        <v/>
      </c>
      <c r="AG609" s="16" t="n"/>
      <c r="AH609" s="17" t="n"/>
      <c r="AI609" s="17">
        <f>AH609*4</f>
        <v/>
      </c>
      <c r="AJ609" s="15">
        <f>AF609-AG609-AH609-AI609</f>
        <v/>
      </c>
      <c r="AK609" s="18" t="n">
        <v>602</v>
      </c>
      <c r="AL609" s="40" t="n"/>
    </row>
    <row r="610" ht="23.5" customHeight="1">
      <c r="A610" s="6" t="inlineStr">
        <is>
          <t>603</t>
        </is>
      </c>
      <c r="B610" s="24" t="n"/>
      <c r="C610" s="55" t="n"/>
      <c r="D610" s="19" t="n"/>
      <c r="E610" s="24" t="n"/>
      <c r="F610" s="25" t="n"/>
      <c r="G610" s="25" t="n"/>
      <c r="H610" s="25" t="n"/>
      <c r="I610" s="11" t="n"/>
      <c r="J610" s="57" t="n"/>
      <c r="K610" s="12" t="n"/>
      <c r="L610" s="22" t="n"/>
      <c r="M610" s="13" t="n"/>
      <c r="N610" s="14">
        <f>ROUND(I610*(SUM(J610:M610))*68%,0)</f>
        <v/>
      </c>
      <c r="O610" s="61" t="n"/>
      <c r="P610" s="59" t="n"/>
      <c r="Q610" s="59" t="n"/>
      <c r="R610" s="58" t="n"/>
      <c r="S610" s="15">
        <f>I610*J610</f>
        <v/>
      </c>
      <c r="T610" s="15">
        <f>SUM(S610:S610)*68%</f>
        <v/>
      </c>
      <c r="U610" s="15">
        <f>I610*K610*40%*O610</f>
        <v/>
      </c>
      <c r="V610" s="15">
        <f>IF(P610&gt;=6750,(I610*K610*40%),0)</f>
        <v/>
      </c>
      <c r="W610" s="15">
        <f>IF(P610&lt;6750,0,IF(Q610="",0,IF(OR(Q610="KURANG",Q610="SANGAT KURANG"),I610*K610*10%,I610*K610*20%)))</f>
        <v/>
      </c>
      <c r="X610" s="15">
        <f>SUM(U610:W610)*68%</f>
        <v/>
      </c>
      <c r="Y610" s="15">
        <f>I610*L610</f>
        <v/>
      </c>
      <c r="Z610" s="15">
        <f>Y610 * 68%</f>
        <v/>
      </c>
      <c r="AA610" s="15">
        <f>I610*M610</f>
        <v/>
      </c>
      <c r="AB610" s="15">
        <f>AA610*68%</f>
        <v/>
      </c>
      <c r="AC610" s="16">
        <f>ROUND((T610+X610+Z610+AB610),0)</f>
        <v/>
      </c>
      <c r="AD610" s="16">
        <f>AG610</f>
        <v/>
      </c>
      <c r="AE610" s="16">
        <f>AI610</f>
        <v/>
      </c>
      <c r="AF610" s="16">
        <f>AC610+AD610+AE610</f>
        <v/>
      </c>
      <c r="AG610" s="16" t="n"/>
      <c r="AH610" s="17" t="n"/>
      <c r="AI610" s="17">
        <f>AH610*4</f>
        <v/>
      </c>
      <c r="AJ610" s="15">
        <f>AF610-AG610-AH610-AI610</f>
        <v/>
      </c>
      <c r="AK610" s="18" t="n">
        <v>603</v>
      </c>
      <c r="AL610" s="23" t="n"/>
    </row>
    <row r="611" ht="23.5" customHeight="1">
      <c r="A611" s="6" t="inlineStr">
        <is>
          <t>604</t>
        </is>
      </c>
      <c r="B611" s="24" t="n"/>
      <c r="C611" s="55" t="n"/>
      <c r="D611" s="19" t="n"/>
      <c r="E611" s="24" t="n"/>
      <c r="F611" s="25" t="n"/>
      <c r="G611" s="25" t="n"/>
      <c r="H611" s="25" t="n"/>
      <c r="I611" s="11" t="n"/>
      <c r="J611" s="57" t="n"/>
      <c r="K611" s="12" t="n"/>
      <c r="L611" s="22" t="n"/>
      <c r="M611" s="13" t="n"/>
      <c r="N611" s="14">
        <f>ROUND(I611*(SUM(J611:M611))*68%,0)</f>
        <v/>
      </c>
      <c r="O611" s="61" t="n"/>
      <c r="P611" s="59" t="n"/>
      <c r="Q611" s="59" t="n"/>
      <c r="R611" s="58" t="n"/>
      <c r="S611" s="15">
        <f>I611*J611</f>
        <v/>
      </c>
      <c r="T611" s="15">
        <f>SUM(S611:S611)*68%</f>
        <v/>
      </c>
      <c r="U611" s="15">
        <f>I611*K611*40%*O611</f>
        <v/>
      </c>
      <c r="V611" s="15">
        <f>IF(P611&gt;=6750,(I611*K611*40%),0)</f>
        <v/>
      </c>
      <c r="W611" s="15">
        <f>IF(P611&lt;6750,0,IF(Q611="",0,IF(OR(Q611="KURANG",Q611="SANGAT KURANG"),I611*K611*10%,I611*K611*20%)))</f>
        <v/>
      </c>
      <c r="X611" s="15">
        <f>SUM(U611:W611)*68%</f>
        <v/>
      </c>
      <c r="Y611" s="15">
        <f>I611*L611</f>
        <v/>
      </c>
      <c r="Z611" s="15">
        <f>Y611 * 68%</f>
        <v/>
      </c>
      <c r="AA611" s="15">
        <f>I611*M611</f>
        <v/>
      </c>
      <c r="AB611" s="15">
        <f>AA611*68%</f>
        <v/>
      </c>
      <c r="AC611" s="16">
        <f>ROUND((T611+X611+Z611+AB611),0)</f>
        <v/>
      </c>
      <c r="AD611" s="16">
        <f>AG611</f>
        <v/>
      </c>
      <c r="AE611" s="16">
        <f>AI611</f>
        <v/>
      </c>
      <c r="AF611" s="16">
        <f>AC611+AD611+AE611</f>
        <v/>
      </c>
      <c r="AG611" s="16" t="n"/>
      <c r="AH611" s="17" t="n"/>
      <c r="AI611" s="17">
        <f>AH611*4</f>
        <v/>
      </c>
      <c r="AJ611" s="15">
        <f>AF611-AG611-AH611-AI611</f>
        <v/>
      </c>
      <c r="AK611" s="18" t="n">
        <v>604</v>
      </c>
      <c r="AL611" s="23" t="n"/>
    </row>
    <row r="612" ht="23.5" customHeight="1">
      <c r="A612" s="6" t="inlineStr">
        <is>
          <t>605</t>
        </is>
      </c>
      <c r="B612" s="24" t="n"/>
      <c r="C612" s="55" t="n"/>
      <c r="D612" s="19" t="n"/>
      <c r="E612" s="24" t="n"/>
      <c r="F612" s="25" t="n"/>
      <c r="G612" s="25" t="n"/>
      <c r="H612" s="25" t="n"/>
      <c r="I612" s="11" t="n"/>
      <c r="J612" s="57" t="n"/>
      <c r="K612" s="12" t="n"/>
      <c r="L612" s="22" t="n"/>
      <c r="M612" s="13" t="n"/>
      <c r="N612" s="14">
        <f>ROUND(I612*(SUM(J612:M612))*68%,0)</f>
        <v/>
      </c>
      <c r="O612" s="61" t="n"/>
      <c r="P612" s="59" t="n"/>
      <c r="Q612" s="59" t="n"/>
      <c r="R612" s="58" t="n"/>
      <c r="S612" s="15">
        <f>I612*J612</f>
        <v/>
      </c>
      <c r="T612" s="15">
        <f>SUM(S612:S612)*68%</f>
        <v/>
      </c>
      <c r="U612" s="15">
        <f>I612*K612*40%*O612</f>
        <v/>
      </c>
      <c r="V612" s="15">
        <f>IF(P612&gt;=6750,(I612*K612*40%),0)</f>
        <v/>
      </c>
      <c r="W612" s="15">
        <f>IF(P612&lt;6750,0,IF(Q612="",0,IF(OR(Q612="KURANG",Q612="SANGAT KURANG"),I612*K612*10%,I612*K612*20%)))</f>
        <v/>
      </c>
      <c r="X612" s="15">
        <f>SUM(U612:W612)*68%</f>
        <v/>
      </c>
      <c r="Y612" s="15">
        <f>I612*L612</f>
        <v/>
      </c>
      <c r="Z612" s="15">
        <f>Y612 * 68%</f>
        <v/>
      </c>
      <c r="AA612" s="15">
        <f>I612*M612</f>
        <v/>
      </c>
      <c r="AB612" s="15">
        <f>AA612*68%</f>
        <v/>
      </c>
      <c r="AC612" s="16">
        <f>ROUND((T612+X612+Z612+AB612),0)</f>
        <v/>
      </c>
      <c r="AD612" s="16">
        <f>AG612</f>
        <v/>
      </c>
      <c r="AE612" s="16">
        <f>AI612</f>
        <v/>
      </c>
      <c r="AF612" s="16">
        <f>AC612+AD612+AE612</f>
        <v/>
      </c>
      <c r="AG612" s="16" t="n"/>
      <c r="AH612" s="17" t="n"/>
      <c r="AI612" s="17">
        <f>AH612*4</f>
        <v/>
      </c>
      <c r="AJ612" s="15">
        <f>AF612-AG612-AH612-AI612</f>
        <v/>
      </c>
      <c r="AK612" s="18" t="n">
        <v>605</v>
      </c>
      <c r="AL612" s="40" t="n"/>
    </row>
    <row r="613" ht="23.5" customHeight="1">
      <c r="A613" s="6" t="inlineStr">
        <is>
          <t>606</t>
        </is>
      </c>
      <c r="B613" s="24" t="n"/>
      <c r="C613" s="55" t="n"/>
      <c r="D613" s="19" t="n"/>
      <c r="E613" s="24" t="n"/>
      <c r="F613" s="25" t="n"/>
      <c r="G613" s="25" t="n"/>
      <c r="H613" s="25" t="n"/>
      <c r="I613" s="11" t="n"/>
      <c r="J613" s="57" t="n"/>
      <c r="K613" s="12" t="n"/>
      <c r="L613" s="22" t="n"/>
      <c r="M613" s="13" t="n"/>
      <c r="N613" s="14">
        <f>ROUND(I613*(SUM(J613:M613))*68%,0)</f>
        <v/>
      </c>
      <c r="O613" s="61" t="n"/>
      <c r="P613" s="59" t="n"/>
      <c r="Q613" s="59" t="n"/>
      <c r="R613" s="58" t="n"/>
      <c r="S613" s="15">
        <f>I613*J613</f>
        <v/>
      </c>
      <c r="T613" s="15">
        <f>SUM(S613:S613)*68%</f>
        <v/>
      </c>
      <c r="U613" s="15">
        <f>I613*K613*40%*O613</f>
        <v/>
      </c>
      <c r="V613" s="15">
        <f>IF(P613&gt;=6750,(I613*K613*40%),0)</f>
        <v/>
      </c>
      <c r="W613" s="15">
        <f>IF(P613&lt;6750,0,IF(Q613="",0,IF(OR(Q613="KURANG",Q613="SANGAT KURANG"),I613*K613*10%,I613*K613*20%)))</f>
        <v/>
      </c>
      <c r="X613" s="15">
        <f>SUM(U613:W613)*68%</f>
        <v/>
      </c>
      <c r="Y613" s="15">
        <f>I613*L613</f>
        <v/>
      </c>
      <c r="Z613" s="15">
        <f>Y613 * 68%</f>
        <v/>
      </c>
      <c r="AA613" s="15">
        <f>I613*M613</f>
        <v/>
      </c>
      <c r="AB613" s="15">
        <f>AA613*68%</f>
        <v/>
      </c>
      <c r="AC613" s="16">
        <f>ROUND((T613+X613+Z613+AB613),0)</f>
        <v/>
      </c>
      <c r="AD613" s="16">
        <f>AG613</f>
        <v/>
      </c>
      <c r="AE613" s="16">
        <f>AI613</f>
        <v/>
      </c>
      <c r="AF613" s="16">
        <f>AC613+AD613+AE613</f>
        <v/>
      </c>
      <c r="AG613" s="16" t="n"/>
      <c r="AH613" s="17" t="n"/>
      <c r="AI613" s="17">
        <f>AH613*4</f>
        <v/>
      </c>
      <c r="AJ613" s="15">
        <f>AF613-AG613-AH613-AI613</f>
        <v/>
      </c>
      <c r="AK613" s="18" t="n">
        <v>606</v>
      </c>
      <c r="AL613" s="23" t="n"/>
    </row>
    <row r="614" ht="23.5" customHeight="1">
      <c r="A614" s="6" t="inlineStr">
        <is>
          <t>607</t>
        </is>
      </c>
      <c r="B614" s="24" t="n"/>
      <c r="C614" s="55" t="n"/>
      <c r="D614" s="19" t="n"/>
      <c r="E614" s="24" t="n"/>
      <c r="F614" s="25" t="n"/>
      <c r="G614" s="25" t="n"/>
      <c r="H614" s="25" t="n"/>
      <c r="I614" s="11" t="n"/>
      <c r="J614" s="57" t="n"/>
      <c r="K614" s="12" t="n"/>
      <c r="L614" s="22" t="n"/>
      <c r="M614" s="13" t="n"/>
      <c r="N614" s="14">
        <f>ROUND(I614*(SUM(J614:M614))*68%,0)</f>
        <v/>
      </c>
      <c r="O614" s="61" t="n"/>
      <c r="P614" s="59" t="n"/>
      <c r="Q614" s="59" t="n"/>
      <c r="R614" s="58" t="n"/>
      <c r="S614" s="15">
        <f>I614*J614</f>
        <v/>
      </c>
      <c r="T614" s="15">
        <f>SUM(S614:S614)*68%</f>
        <v/>
      </c>
      <c r="U614" s="15">
        <f>I614*K614*40%*O614</f>
        <v/>
      </c>
      <c r="V614" s="15">
        <f>IF(P614&gt;=6750,(I614*K614*40%),0)</f>
        <v/>
      </c>
      <c r="W614" s="15">
        <f>IF(P614&lt;6750,0,IF(Q614="",0,IF(OR(Q614="KURANG",Q614="SANGAT KURANG"),I614*K614*10%,I614*K614*20%)))</f>
        <v/>
      </c>
      <c r="X614" s="15">
        <f>SUM(U614:W614)*68%</f>
        <v/>
      </c>
      <c r="Y614" s="15">
        <f>I614*L614</f>
        <v/>
      </c>
      <c r="Z614" s="15">
        <f>Y614 * 68%</f>
        <v/>
      </c>
      <c r="AA614" s="15">
        <f>I614*M614</f>
        <v/>
      </c>
      <c r="AB614" s="15">
        <f>AA614*68%</f>
        <v/>
      </c>
      <c r="AC614" s="16">
        <f>ROUND((T614+X614+Z614+AB614),0)</f>
        <v/>
      </c>
      <c r="AD614" s="16">
        <f>AG614</f>
        <v/>
      </c>
      <c r="AE614" s="16">
        <f>AI614</f>
        <v/>
      </c>
      <c r="AF614" s="16">
        <f>AC614+AD614+AE614</f>
        <v/>
      </c>
      <c r="AG614" s="16" t="n"/>
      <c r="AH614" s="17" t="n"/>
      <c r="AI614" s="17">
        <f>AH614*4</f>
        <v/>
      </c>
      <c r="AJ614" s="15">
        <f>AF614-AG614-AH614-AI614</f>
        <v/>
      </c>
      <c r="AK614" s="18" t="n">
        <v>607</v>
      </c>
      <c r="AL614" s="23" t="n"/>
    </row>
    <row r="615" ht="23.5" customHeight="1">
      <c r="A615" s="6" t="inlineStr">
        <is>
          <t>608</t>
        </is>
      </c>
      <c r="B615" s="28" t="n"/>
      <c r="C615" s="55" t="n"/>
      <c r="D615" s="19" t="n"/>
      <c r="E615" s="24" t="n"/>
      <c r="F615" s="25" t="n"/>
      <c r="G615" s="25" t="n"/>
      <c r="H615" s="25" t="n"/>
      <c r="I615" s="11" t="n"/>
      <c r="J615" s="57" t="n"/>
      <c r="K615" s="12" t="n"/>
      <c r="L615" s="22" t="n"/>
      <c r="M615" s="13" t="n"/>
      <c r="N615" s="14">
        <f>ROUND(I615*(SUM(J615:M615))*68%,0)</f>
        <v/>
      </c>
      <c r="O615" s="61" t="n"/>
      <c r="P615" s="59" t="n"/>
      <c r="Q615" s="59" t="n"/>
      <c r="R615" s="58" t="n"/>
      <c r="S615" s="15">
        <f>I615*J615</f>
        <v/>
      </c>
      <c r="T615" s="15">
        <f>SUM(S615:S615)*68%</f>
        <v/>
      </c>
      <c r="U615" s="15">
        <f>I615*K615*40%*O615</f>
        <v/>
      </c>
      <c r="V615" s="15">
        <f>IF(P615&gt;=6750,(I615*K615*40%),0)</f>
        <v/>
      </c>
      <c r="W615" s="15">
        <f>IF(P615&lt;6750,0,IF(Q615="",0,IF(OR(Q615="KURANG",Q615="SANGAT KURANG"),I615*K615*10%,I615*K615*20%)))</f>
        <v/>
      </c>
      <c r="X615" s="15">
        <f>SUM(U615:W615)*68%</f>
        <v/>
      </c>
      <c r="Y615" s="15">
        <f>I615*L615</f>
        <v/>
      </c>
      <c r="Z615" s="15">
        <f>Y615 * 68%</f>
        <v/>
      </c>
      <c r="AA615" s="15">
        <f>I615*M615</f>
        <v/>
      </c>
      <c r="AB615" s="15">
        <f>AA615*68%</f>
        <v/>
      </c>
      <c r="AC615" s="16">
        <f>ROUND((T615+X615+Z615+AB615),0)</f>
        <v/>
      </c>
      <c r="AD615" s="16">
        <f>AG615</f>
        <v/>
      </c>
      <c r="AE615" s="16">
        <f>AI615</f>
        <v/>
      </c>
      <c r="AF615" s="16">
        <f>AC615+AD615+AE615</f>
        <v/>
      </c>
      <c r="AG615" s="16" t="n"/>
      <c r="AH615" s="17" t="n"/>
      <c r="AI615" s="17">
        <f>AH615*4</f>
        <v/>
      </c>
      <c r="AJ615" s="15">
        <f>AF615-AG615-AH615-AI615</f>
        <v/>
      </c>
      <c r="AK615" s="18" t="n">
        <v>608</v>
      </c>
      <c r="AL615" s="40" t="n"/>
    </row>
    <row r="616" ht="23.5" customHeight="1">
      <c r="A616" s="6" t="inlineStr">
        <is>
          <t>609</t>
        </is>
      </c>
      <c r="B616" s="28" t="n"/>
      <c r="C616" s="55" t="n"/>
      <c r="D616" s="19" t="n"/>
      <c r="E616" s="24" t="n"/>
      <c r="F616" s="25" t="n"/>
      <c r="G616" s="25" t="n"/>
      <c r="H616" s="25" t="n"/>
      <c r="I616" s="11" t="n"/>
      <c r="J616" s="57" t="n"/>
      <c r="K616" s="12" t="n"/>
      <c r="L616" s="22" t="n"/>
      <c r="M616" s="13" t="n"/>
      <c r="N616" s="14">
        <f>ROUND(I616*(SUM(J616:M616))*68%,0)</f>
        <v/>
      </c>
      <c r="O616" s="61" t="n"/>
      <c r="P616" s="59" t="n"/>
      <c r="Q616" s="59" t="n"/>
      <c r="R616" s="58" t="n"/>
      <c r="S616" s="15">
        <f>I616*J616</f>
        <v/>
      </c>
      <c r="T616" s="15">
        <f>SUM(S616:S616)*68%</f>
        <v/>
      </c>
      <c r="U616" s="15">
        <f>I616*K616*40%*O616</f>
        <v/>
      </c>
      <c r="V616" s="15">
        <f>IF(P616&gt;=6750,(I616*K616*40%),0)</f>
        <v/>
      </c>
      <c r="W616" s="15">
        <f>IF(P616&lt;6750,0,IF(Q616="",0,IF(OR(Q616="KURANG",Q616="SANGAT KURANG"),I616*K616*10%,I616*K616*20%)))</f>
        <v/>
      </c>
      <c r="X616" s="15">
        <f>SUM(U616:W616)*68%</f>
        <v/>
      </c>
      <c r="Y616" s="15">
        <f>I616*L616</f>
        <v/>
      </c>
      <c r="Z616" s="15">
        <f>Y616 * 68%</f>
        <v/>
      </c>
      <c r="AA616" s="15">
        <f>I616*M616</f>
        <v/>
      </c>
      <c r="AB616" s="15">
        <f>AA616*68%</f>
        <v/>
      </c>
      <c r="AC616" s="16">
        <f>ROUND((T616+X616+Z616+AB616),0)</f>
        <v/>
      </c>
      <c r="AD616" s="16">
        <f>AG616</f>
        <v/>
      </c>
      <c r="AE616" s="16">
        <f>AI616</f>
        <v/>
      </c>
      <c r="AF616" s="16">
        <f>AC616+AD616+AE616</f>
        <v/>
      </c>
      <c r="AG616" s="16" t="n"/>
      <c r="AH616" s="17" t="n"/>
      <c r="AI616" s="17">
        <f>AH616*4</f>
        <v/>
      </c>
      <c r="AJ616" s="15">
        <f>AF616-AG616-AH616-AI616</f>
        <v/>
      </c>
      <c r="AK616" s="18" t="n">
        <v>609</v>
      </c>
      <c r="AL616" s="23" t="n"/>
    </row>
    <row r="617" ht="23.5" customHeight="1">
      <c r="A617" s="6" t="inlineStr">
        <is>
          <t>610</t>
        </is>
      </c>
      <c r="B617" s="24" t="n"/>
      <c r="C617" s="55" t="n"/>
      <c r="D617" s="19" t="n"/>
      <c r="E617" s="24" t="n"/>
      <c r="F617" s="25" t="n"/>
      <c r="G617" s="25" t="n"/>
      <c r="H617" s="25" t="n"/>
      <c r="I617" s="11" t="n"/>
      <c r="J617" s="57" t="n"/>
      <c r="K617" s="12" t="n"/>
      <c r="L617" s="22" t="n"/>
      <c r="M617" s="13" t="n"/>
      <c r="N617" s="14">
        <f>ROUND(I617*(SUM(J617:M617))*68%,0)</f>
        <v/>
      </c>
      <c r="O617" s="61" t="n"/>
      <c r="P617" s="59" t="n"/>
      <c r="Q617" s="59" t="n"/>
      <c r="R617" s="58" t="n"/>
      <c r="S617" s="15">
        <f>I617*J617</f>
        <v/>
      </c>
      <c r="T617" s="15">
        <f>SUM(S617:S617)*68%</f>
        <v/>
      </c>
      <c r="U617" s="15">
        <f>I617*K617*40%*O617</f>
        <v/>
      </c>
      <c r="V617" s="15">
        <f>IF(P617&gt;=6750,(I617*K617*40%),0)</f>
        <v/>
      </c>
      <c r="W617" s="15">
        <f>IF(P617&lt;6750,0,IF(Q617="",0,IF(OR(Q617="KURANG",Q617="SANGAT KURANG"),I617*K617*10%,I617*K617*20%)))</f>
        <v/>
      </c>
      <c r="X617" s="15">
        <f>SUM(U617:W617)*68%</f>
        <v/>
      </c>
      <c r="Y617" s="15">
        <f>I617*L617</f>
        <v/>
      </c>
      <c r="Z617" s="15">
        <f>Y617 * 68%</f>
        <v/>
      </c>
      <c r="AA617" s="15">
        <f>I617*M617</f>
        <v/>
      </c>
      <c r="AB617" s="15">
        <f>AA617*68%</f>
        <v/>
      </c>
      <c r="AC617" s="16">
        <f>ROUND((T617+X617+Z617+AB617),0)</f>
        <v/>
      </c>
      <c r="AD617" s="16">
        <f>AG617</f>
        <v/>
      </c>
      <c r="AE617" s="16">
        <f>AI617</f>
        <v/>
      </c>
      <c r="AF617" s="16">
        <f>AC617+AD617+AE617</f>
        <v/>
      </c>
      <c r="AG617" s="16" t="n"/>
      <c r="AH617" s="17" t="n"/>
      <c r="AI617" s="17">
        <f>AH617*4</f>
        <v/>
      </c>
      <c r="AJ617" s="15">
        <f>AF617-AG617-AH617-AI617</f>
        <v/>
      </c>
      <c r="AK617" s="18" t="n">
        <v>610</v>
      </c>
      <c r="AL617" s="23" t="n"/>
    </row>
    <row r="618" ht="23.5" customHeight="1">
      <c r="A618" s="6" t="inlineStr">
        <is>
          <t>611</t>
        </is>
      </c>
      <c r="B618" s="24" t="n"/>
      <c r="C618" s="55" t="n"/>
      <c r="D618" s="19" t="n"/>
      <c r="E618" s="24" t="n"/>
      <c r="F618" s="25" t="n"/>
      <c r="G618" s="25" t="n"/>
      <c r="H618" s="25" t="n"/>
      <c r="I618" s="11" t="n"/>
      <c r="J618" s="57" t="n"/>
      <c r="K618" s="12" t="n"/>
      <c r="L618" s="22" t="n"/>
      <c r="M618" s="13" t="n"/>
      <c r="N618" s="14">
        <f>ROUND(I618*(SUM(J618:M618))*68%,0)</f>
        <v/>
      </c>
      <c r="O618" s="61" t="n"/>
      <c r="P618" s="59" t="n"/>
      <c r="Q618" s="59" t="n"/>
      <c r="R618" s="58" t="n"/>
      <c r="S618" s="15">
        <f>I618*J618</f>
        <v/>
      </c>
      <c r="T618" s="15">
        <f>SUM(S618:S618)*68%</f>
        <v/>
      </c>
      <c r="U618" s="15">
        <f>I618*K618*40%*O618</f>
        <v/>
      </c>
      <c r="V618" s="15">
        <f>IF(P618&gt;=6750,(I618*K618*40%),0)</f>
        <v/>
      </c>
      <c r="W618" s="15">
        <f>IF(P618&lt;6750,0,IF(Q618="",0,IF(OR(Q618="KURANG",Q618="SANGAT KURANG"),I618*K618*10%,I618*K618*20%)))</f>
        <v/>
      </c>
      <c r="X618" s="15">
        <f>SUM(U618:W618)*68%</f>
        <v/>
      </c>
      <c r="Y618" s="15">
        <f>I618*L618</f>
        <v/>
      </c>
      <c r="Z618" s="15">
        <f>Y618 * 68%</f>
        <v/>
      </c>
      <c r="AA618" s="15">
        <f>I618*M618</f>
        <v/>
      </c>
      <c r="AB618" s="15">
        <f>AA618*68%</f>
        <v/>
      </c>
      <c r="AC618" s="16">
        <f>ROUND((T618+X618+Z618+AB618),0)</f>
        <v/>
      </c>
      <c r="AD618" s="16">
        <f>AG618</f>
        <v/>
      </c>
      <c r="AE618" s="16">
        <f>AI618</f>
        <v/>
      </c>
      <c r="AF618" s="16">
        <f>AC618+AD618+AE618</f>
        <v/>
      </c>
      <c r="AG618" s="16" t="n"/>
      <c r="AH618" s="17" t="n"/>
      <c r="AI618" s="17">
        <f>AH618*4</f>
        <v/>
      </c>
      <c r="AJ618" s="15">
        <f>AF618-AG618-AH618-AI618</f>
        <v/>
      </c>
      <c r="AK618" s="18" t="n">
        <v>611</v>
      </c>
      <c r="AL618" s="40" t="n"/>
    </row>
    <row r="619" ht="23.5" customHeight="1">
      <c r="A619" s="6" t="inlineStr">
        <is>
          <t>612</t>
        </is>
      </c>
      <c r="B619" s="24" t="n"/>
      <c r="C619" s="55" t="n"/>
      <c r="D619" s="19" t="n"/>
      <c r="E619" s="24" t="n"/>
      <c r="F619" s="25" t="n"/>
      <c r="G619" s="25" t="n"/>
      <c r="H619" s="25" t="n"/>
      <c r="I619" s="11" t="n"/>
      <c r="J619" s="57" t="n"/>
      <c r="K619" s="12" t="n"/>
      <c r="L619" s="22" t="n"/>
      <c r="M619" s="13" t="n"/>
      <c r="N619" s="14">
        <f>ROUND(I619*(SUM(J619:M619))*68%,0)</f>
        <v/>
      </c>
      <c r="O619" s="61" t="n"/>
      <c r="P619" s="59" t="n"/>
      <c r="Q619" s="59" t="n"/>
      <c r="R619" s="58" t="n"/>
      <c r="S619" s="15">
        <f>I619*J619</f>
        <v/>
      </c>
      <c r="T619" s="15">
        <f>SUM(S619:S619)*68%</f>
        <v/>
      </c>
      <c r="U619" s="15">
        <f>I619*K619*40%*O619</f>
        <v/>
      </c>
      <c r="V619" s="15">
        <f>IF(P619&gt;=6750,(I619*K619*40%),0)</f>
        <v/>
      </c>
      <c r="W619" s="15">
        <f>IF(P619&lt;6750,0,IF(Q619="",0,IF(OR(Q619="KURANG",Q619="SANGAT KURANG"),I619*K619*10%,I619*K619*20%)))</f>
        <v/>
      </c>
      <c r="X619" s="15">
        <f>SUM(U619:W619)*68%</f>
        <v/>
      </c>
      <c r="Y619" s="15">
        <f>I619*L619</f>
        <v/>
      </c>
      <c r="Z619" s="15">
        <f>Y619 * 68%</f>
        <v/>
      </c>
      <c r="AA619" s="15">
        <f>I619*M619</f>
        <v/>
      </c>
      <c r="AB619" s="15">
        <f>AA619*68%</f>
        <v/>
      </c>
      <c r="AC619" s="16">
        <f>ROUND((T619+X619+Z619+AB619),0)</f>
        <v/>
      </c>
      <c r="AD619" s="16">
        <f>AG619</f>
        <v/>
      </c>
      <c r="AE619" s="16">
        <f>AI619</f>
        <v/>
      </c>
      <c r="AF619" s="16">
        <f>AC619+AD619+AE619</f>
        <v/>
      </c>
      <c r="AG619" s="16" t="n"/>
      <c r="AH619" s="17" t="n"/>
      <c r="AI619" s="17">
        <f>AH619*4</f>
        <v/>
      </c>
      <c r="AJ619" s="15">
        <f>AF619-AG619-AH619-AI619</f>
        <v/>
      </c>
      <c r="AK619" s="18" t="n">
        <v>612</v>
      </c>
      <c r="AL619" s="23" t="n"/>
    </row>
    <row r="620" ht="23.5" customHeight="1">
      <c r="A620" s="6" t="inlineStr">
        <is>
          <t>613</t>
        </is>
      </c>
      <c r="B620" s="24" t="n"/>
      <c r="C620" s="55" t="n"/>
      <c r="D620" s="19" t="n"/>
      <c r="E620" s="24" t="n"/>
      <c r="F620" s="25" t="n"/>
      <c r="G620" s="25" t="n"/>
      <c r="H620" s="25" t="n"/>
      <c r="I620" s="11" t="n"/>
      <c r="J620" s="57" t="n"/>
      <c r="K620" s="12" t="n"/>
      <c r="L620" s="22" t="n"/>
      <c r="M620" s="13" t="n"/>
      <c r="N620" s="14">
        <f>ROUND(I620*(SUM(J620:M620))*68%,0)</f>
        <v/>
      </c>
      <c r="O620" s="61" t="n"/>
      <c r="P620" s="59" t="n"/>
      <c r="Q620" s="59" t="n"/>
      <c r="R620" s="58" t="n"/>
      <c r="S620" s="15">
        <f>I620*J620</f>
        <v/>
      </c>
      <c r="T620" s="15">
        <f>SUM(S620:S620)*68%</f>
        <v/>
      </c>
      <c r="U620" s="15">
        <f>I620*K620*40%*O620</f>
        <v/>
      </c>
      <c r="V620" s="15">
        <f>IF(P620&gt;=6750,(I620*K620*40%),0)</f>
        <v/>
      </c>
      <c r="W620" s="15">
        <f>IF(P620&lt;6750,0,IF(Q620="",0,IF(OR(Q620="KURANG",Q620="SANGAT KURANG"),I620*K620*10%,I620*K620*20%)))</f>
        <v/>
      </c>
      <c r="X620" s="15">
        <f>SUM(U620:W620)*68%</f>
        <v/>
      </c>
      <c r="Y620" s="15">
        <f>I620*L620</f>
        <v/>
      </c>
      <c r="Z620" s="15">
        <f>Y620 * 68%</f>
        <v/>
      </c>
      <c r="AA620" s="15">
        <f>I620*M620</f>
        <v/>
      </c>
      <c r="AB620" s="15">
        <f>AA620*68%</f>
        <v/>
      </c>
      <c r="AC620" s="16">
        <f>ROUND((T620+X620+Z620+AB620),0)</f>
        <v/>
      </c>
      <c r="AD620" s="16">
        <f>AG620</f>
        <v/>
      </c>
      <c r="AE620" s="16">
        <f>AI620</f>
        <v/>
      </c>
      <c r="AF620" s="16">
        <f>AC620+AD620+AE620</f>
        <v/>
      </c>
      <c r="AG620" s="16" t="n"/>
      <c r="AH620" s="17" t="n"/>
      <c r="AI620" s="17">
        <f>AH620*4</f>
        <v/>
      </c>
      <c r="AJ620" s="15">
        <f>AF620-AG620-AH620-AI620</f>
        <v/>
      </c>
      <c r="AK620" s="18" t="n">
        <v>613</v>
      </c>
      <c r="AL620" s="23" t="n"/>
    </row>
    <row r="621" ht="23.5" customHeight="1">
      <c r="A621" s="6" t="inlineStr">
        <is>
          <t>614</t>
        </is>
      </c>
      <c r="B621" s="24" t="n"/>
      <c r="C621" s="55" t="n"/>
      <c r="D621" s="19" t="n"/>
      <c r="E621" s="24" t="n"/>
      <c r="F621" s="25" t="n"/>
      <c r="G621" s="25" t="n"/>
      <c r="H621" s="25" t="n"/>
      <c r="I621" s="11" t="n"/>
      <c r="J621" s="57" t="n"/>
      <c r="K621" s="12" t="n"/>
      <c r="L621" s="22" t="n"/>
      <c r="M621" s="13" t="n"/>
      <c r="N621" s="14">
        <f>ROUND(I621*(SUM(J621:M621))*68%,0)</f>
        <v/>
      </c>
      <c r="O621" s="61" t="n"/>
      <c r="P621" s="59" t="n"/>
      <c r="Q621" s="59" t="n"/>
      <c r="R621" s="58" t="n"/>
      <c r="S621" s="15">
        <f>I621*J621</f>
        <v/>
      </c>
      <c r="T621" s="15">
        <f>SUM(S621:S621)*68%</f>
        <v/>
      </c>
      <c r="U621" s="15">
        <f>I621*K621*40%*O621</f>
        <v/>
      </c>
      <c r="V621" s="15">
        <f>IF(P621&gt;=6750,(I621*K621*40%),0)</f>
        <v/>
      </c>
      <c r="W621" s="15">
        <f>IF(P621&lt;6750,0,IF(Q621="",0,IF(OR(Q621="KURANG",Q621="SANGAT KURANG"),I621*K621*10%,I621*K621*20%)))</f>
        <v/>
      </c>
      <c r="X621" s="15">
        <f>SUM(U621:W621)*68%</f>
        <v/>
      </c>
      <c r="Y621" s="15">
        <f>I621*L621</f>
        <v/>
      </c>
      <c r="Z621" s="15">
        <f>Y621 * 68%</f>
        <v/>
      </c>
      <c r="AA621" s="15">
        <f>I621*M621</f>
        <v/>
      </c>
      <c r="AB621" s="15">
        <f>AA621*68%</f>
        <v/>
      </c>
      <c r="AC621" s="16">
        <f>ROUND((T621+X621+Z621+AB621),0)</f>
        <v/>
      </c>
      <c r="AD621" s="16">
        <f>AG621</f>
        <v/>
      </c>
      <c r="AE621" s="16">
        <f>AI621</f>
        <v/>
      </c>
      <c r="AF621" s="16">
        <f>AC621+AD621+AE621</f>
        <v/>
      </c>
      <c r="AG621" s="16" t="n"/>
      <c r="AH621" s="17" t="n"/>
      <c r="AI621" s="17">
        <f>AH621*4</f>
        <v/>
      </c>
      <c r="AJ621" s="15">
        <f>AF621-AG621-AH621-AI621</f>
        <v/>
      </c>
      <c r="AK621" s="18" t="n">
        <v>614</v>
      </c>
      <c r="AL621" s="40" t="n"/>
    </row>
    <row r="622" ht="23.5" customHeight="1">
      <c r="A622" s="6" t="inlineStr">
        <is>
          <t>615</t>
        </is>
      </c>
      <c r="B622" s="24" t="n"/>
      <c r="C622" s="55" t="n"/>
      <c r="D622" s="19" t="n"/>
      <c r="E622" s="24" t="n"/>
      <c r="F622" s="25" t="n"/>
      <c r="G622" s="25" t="n"/>
      <c r="H622" s="25" t="n"/>
      <c r="I622" s="11" t="n"/>
      <c r="J622" s="57" t="n"/>
      <c r="K622" s="12" t="n"/>
      <c r="L622" s="22" t="n"/>
      <c r="M622" s="13" t="n"/>
      <c r="N622" s="14">
        <f>ROUND(I622*(SUM(J622:M622))*68%,0)</f>
        <v/>
      </c>
      <c r="O622" s="61" t="n"/>
      <c r="P622" s="59" t="n"/>
      <c r="Q622" s="59" t="n"/>
      <c r="R622" s="58" t="n"/>
      <c r="S622" s="15">
        <f>I622*J622</f>
        <v/>
      </c>
      <c r="T622" s="15">
        <f>SUM(S622:S622)*68%</f>
        <v/>
      </c>
      <c r="U622" s="15">
        <f>I622*K622*40%*O622</f>
        <v/>
      </c>
      <c r="V622" s="15">
        <f>IF(P622&gt;=6750,(I622*K622*40%),0)</f>
        <v/>
      </c>
      <c r="W622" s="15">
        <f>IF(P622&lt;6750,0,IF(Q622="",0,IF(OR(Q622="KURANG",Q622="SANGAT KURANG"),I622*K622*10%,I622*K622*20%)))</f>
        <v/>
      </c>
      <c r="X622" s="15">
        <f>SUM(U622:W622)*68%</f>
        <v/>
      </c>
      <c r="Y622" s="15">
        <f>I622*L622</f>
        <v/>
      </c>
      <c r="Z622" s="15">
        <f>Y622 * 68%</f>
        <v/>
      </c>
      <c r="AA622" s="15">
        <f>I622*M622</f>
        <v/>
      </c>
      <c r="AB622" s="15">
        <f>AA622*68%</f>
        <v/>
      </c>
      <c r="AC622" s="16">
        <f>ROUND((T622+X622+Z622+AB622),0)</f>
        <v/>
      </c>
      <c r="AD622" s="16">
        <f>AG622</f>
        <v/>
      </c>
      <c r="AE622" s="16">
        <f>AI622</f>
        <v/>
      </c>
      <c r="AF622" s="16">
        <f>AC622+AD622+AE622</f>
        <v/>
      </c>
      <c r="AG622" s="16" t="n"/>
      <c r="AH622" s="17" t="n"/>
      <c r="AI622" s="17">
        <f>AH622*4</f>
        <v/>
      </c>
      <c r="AJ622" s="15">
        <f>AF622-AG622-AH622-AI622</f>
        <v/>
      </c>
      <c r="AK622" s="18" t="n">
        <v>615</v>
      </c>
      <c r="AL622" s="23" t="n"/>
    </row>
    <row r="623" ht="23.5" customHeight="1">
      <c r="A623" s="6" t="inlineStr">
        <is>
          <t>616</t>
        </is>
      </c>
      <c r="B623" s="28" t="n"/>
      <c r="C623" s="55" t="n"/>
      <c r="D623" s="19" t="n"/>
      <c r="E623" s="24" t="n"/>
      <c r="F623" s="25" t="n"/>
      <c r="G623" s="25" t="n"/>
      <c r="H623" s="25" t="n"/>
      <c r="I623" s="11" t="n"/>
      <c r="J623" s="57" t="n"/>
      <c r="K623" s="12" t="n"/>
      <c r="L623" s="22" t="n"/>
      <c r="M623" s="13" t="n"/>
      <c r="N623" s="14">
        <f>ROUND(I623*(SUM(J623:M623))*68%,0)</f>
        <v/>
      </c>
      <c r="O623" s="61" t="n"/>
      <c r="P623" s="59" t="n"/>
      <c r="Q623" s="59" t="n"/>
      <c r="R623" s="58" t="n"/>
      <c r="S623" s="15">
        <f>I623*J623</f>
        <v/>
      </c>
      <c r="T623" s="15">
        <f>SUM(S623:S623)*68%</f>
        <v/>
      </c>
      <c r="U623" s="15">
        <f>I623*K623*40%*O623</f>
        <v/>
      </c>
      <c r="V623" s="15">
        <f>IF(P623&gt;=6750,(I623*K623*40%),0)</f>
        <v/>
      </c>
      <c r="W623" s="15">
        <f>IF(P623&lt;6750,0,IF(Q623="",0,IF(OR(Q623="KURANG",Q623="SANGAT KURANG"),I623*K623*10%,I623*K623*20%)))</f>
        <v/>
      </c>
      <c r="X623" s="15">
        <f>SUM(U623:W623)*68%</f>
        <v/>
      </c>
      <c r="Y623" s="15">
        <f>I623*L623</f>
        <v/>
      </c>
      <c r="Z623" s="15">
        <f>Y623 * 68%</f>
        <v/>
      </c>
      <c r="AA623" s="15">
        <f>I623*M623</f>
        <v/>
      </c>
      <c r="AB623" s="15">
        <f>AA623*68%</f>
        <v/>
      </c>
      <c r="AC623" s="16">
        <f>ROUND((T623+X623+Z623+AB623),0)</f>
        <v/>
      </c>
      <c r="AD623" s="16">
        <f>AG623</f>
        <v/>
      </c>
      <c r="AE623" s="16">
        <f>AI623</f>
        <v/>
      </c>
      <c r="AF623" s="16">
        <f>AC623+AD623+AE623</f>
        <v/>
      </c>
      <c r="AG623" s="16" t="n"/>
      <c r="AH623" s="17" t="n"/>
      <c r="AI623" s="17">
        <f>AH623*4</f>
        <v/>
      </c>
      <c r="AJ623" s="15">
        <f>AF623-AG623-AH623-AI623</f>
        <v/>
      </c>
      <c r="AK623" s="18" t="n">
        <v>616</v>
      </c>
      <c r="AL623" s="23" t="n"/>
    </row>
    <row r="624" ht="23.5" customHeight="1">
      <c r="A624" s="6" t="inlineStr">
        <is>
          <t>617</t>
        </is>
      </c>
      <c r="B624" s="28" t="n"/>
      <c r="C624" s="55" t="n"/>
      <c r="D624" s="19" t="n"/>
      <c r="E624" s="24" t="n"/>
      <c r="F624" s="25" t="n"/>
      <c r="G624" s="25" t="n"/>
      <c r="H624" s="25" t="n"/>
      <c r="I624" s="11" t="n"/>
      <c r="J624" s="57" t="n"/>
      <c r="K624" s="12" t="n"/>
      <c r="L624" s="22" t="n"/>
      <c r="M624" s="13" t="n"/>
      <c r="N624" s="14">
        <f>ROUND(I624*(SUM(J624:M624))*68%,0)</f>
        <v/>
      </c>
      <c r="O624" s="61" t="n"/>
      <c r="P624" s="59" t="n"/>
      <c r="Q624" s="59" t="n"/>
      <c r="R624" s="58" t="n"/>
      <c r="S624" s="15">
        <f>I624*J624</f>
        <v/>
      </c>
      <c r="T624" s="15">
        <f>SUM(S624:S624)*68%</f>
        <v/>
      </c>
      <c r="U624" s="15">
        <f>I624*K624*40%*O624</f>
        <v/>
      </c>
      <c r="V624" s="15">
        <f>IF(P624&gt;=6750,(I624*K624*40%),0)</f>
        <v/>
      </c>
      <c r="W624" s="15">
        <f>IF(P624&lt;6750,0,IF(Q624="",0,IF(OR(Q624="KURANG",Q624="SANGAT KURANG"),I624*K624*10%,I624*K624*20%)))</f>
        <v/>
      </c>
      <c r="X624" s="15">
        <f>SUM(U624:W624)*68%</f>
        <v/>
      </c>
      <c r="Y624" s="15">
        <f>I624*L624</f>
        <v/>
      </c>
      <c r="Z624" s="15">
        <f>Y624 * 68%</f>
        <v/>
      </c>
      <c r="AA624" s="15">
        <f>I624*M624</f>
        <v/>
      </c>
      <c r="AB624" s="15">
        <f>AA624*68%</f>
        <v/>
      </c>
      <c r="AC624" s="16">
        <f>ROUND((T624+X624+Z624+AB624),0)</f>
        <v/>
      </c>
      <c r="AD624" s="16">
        <f>AG624</f>
        <v/>
      </c>
      <c r="AE624" s="16">
        <f>AI624</f>
        <v/>
      </c>
      <c r="AF624" s="16">
        <f>AC624+AD624+AE624</f>
        <v/>
      </c>
      <c r="AG624" s="16" t="n"/>
      <c r="AH624" s="17" t="n"/>
      <c r="AI624" s="17">
        <f>AH624*4</f>
        <v/>
      </c>
      <c r="AJ624" s="15">
        <f>AF624-AG624-AH624-AI624</f>
        <v/>
      </c>
      <c r="AK624" s="18" t="n">
        <v>617</v>
      </c>
      <c r="AL624" s="40" t="n"/>
    </row>
    <row r="625" ht="23.5" customHeight="1">
      <c r="A625" s="6" t="inlineStr">
        <is>
          <t>618</t>
        </is>
      </c>
      <c r="B625" s="24" t="n"/>
      <c r="C625" s="55" t="n"/>
      <c r="D625" s="19" t="n"/>
      <c r="E625" s="24" t="n"/>
      <c r="F625" s="25" t="n"/>
      <c r="G625" s="25" t="n"/>
      <c r="H625" s="25" t="n"/>
      <c r="I625" s="11" t="n"/>
      <c r="J625" s="57" t="n"/>
      <c r="K625" s="12" t="n"/>
      <c r="L625" s="22" t="n"/>
      <c r="M625" s="13" t="n"/>
      <c r="N625" s="14">
        <f>ROUND(I625*(SUM(J625:M625))*68%,0)</f>
        <v/>
      </c>
      <c r="O625" s="61" t="n"/>
      <c r="P625" s="59" t="n"/>
      <c r="Q625" s="59" t="n"/>
      <c r="R625" s="58" t="n"/>
      <c r="S625" s="15">
        <f>I625*J625</f>
        <v/>
      </c>
      <c r="T625" s="15">
        <f>SUM(S625:S625)*68%</f>
        <v/>
      </c>
      <c r="U625" s="15">
        <f>I625*K625*40%*O625</f>
        <v/>
      </c>
      <c r="V625" s="15">
        <f>IF(P625&gt;=6750,(I625*K625*40%),0)</f>
        <v/>
      </c>
      <c r="W625" s="15">
        <f>IF(P625&lt;6750,0,IF(Q625="",0,IF(OR(Q625="KURANG",Q625="SANGAT KURANG"),I625*K625*10%,I625*K625*20%)))</f>
        <v/>
      </c>
      <c r="X625" s="15">
        <f>SUM(U625:W625)*68%</f>
        <v/>
      </c>
      <c r="Y625" s="15">
        <f>I625*L625</f>
        <v/>
      </c>
      <c r="Z625" s="15">
        <f>Y625 * 68%</f>
        <v/>
      </c>
      <c r="AA625" s="15">
        <f>I625*M625</f>
        <v/>
      </c>
      <c r="AB625" s="15">
        <f>AA625*68%</f>
        <v/>
      </c>
      <c r="AC625" s="16">
        <f>ROUND((T625+X625+Z625+AB625),0)</f>
        <v/>
      </c>
      <c r="AD625" s="16">
        <f>AG625</f>
        <v/>
      </c>
      <c r="AE625" s="16">
        <f>AI625</f>
        <v/>
      </c>
      <c r="AF625" s="16">
        <f>AC625+AD625+AE625</f>
        <v/>
      </c>
      <c r="AG625" s="16" t="n"/>
      <c r="AH625" s="17" t="n"/>
      <c r="AI625" s="17">
        <f>AH625*4</f>
        <v/>
      </c>
      <c r="AJ625" s="15">
        <f>AF625-AG625-AH625-AI625</f>
        <v/>
      </c>
      <c r="AK625" s="18" t="n">
        <v>618</v>
      </c>
      <c r="AL625" s="23" t="n"/>
    </row>
    <row r="626" ht="23.5" customHeight="1">
      <c r="A626" s="6" t="inlineStr">
        <is>
          <t>619</t>
        </is>
      </c>
      <c r="B626" s="24" t="n"/>
      <c r="C626" s="55" t="n"/>
      <c r="D626" s="19" t="n"/>
      <c r="E626" s="24" t="n"/>
      <c r="F626" s="25" t="n"/>
      <c r="G626" s="25" t="n"/>
      <c r="H626" s="25" t="n"/>
      <c r="I626" s="11" t="n"/>
      <c r="J626" s="57" t="n"/>
      <c r="K626" s="12" t="n"/>
      <c r="L626" s="22" t="n"/>
      <c r="M626" s="13" t="n"/>
      <c r="N626" s="14">
        <f>ROUND(I626*(SUM(J626:M626))*68%,0)</f>
        <v/>
      </c>
      <c r="O626" s="61" t="n"/>
      <c r="P626" s="59" t="n"/>
      <c r="Q626" s="59" t="n"/>
      <c r="R626" s="58" t="n"/>
      <c r="S626" s="15">
        <f>I626*J626</f>
        <v/>
      </c>
      <c r="T626" s="15">
        <f>SUM(S626:S626)*68%</f>
        <v/>
      </c>
      <c r="U626" s="15">
        <f>I626*K626*40%*O626</f>
        <v/>
      </c>
      <c r="V626" s="15">
        <f>IF(P626&gt;=6750,(I626*K626*40%),0)</f>
        <v/>
      </c>
      <c r="W626" s="15">
        <f>IF(P626&lt;6750,0,IF(Q626="",0,IF(OR(Q626="KURANG",Q626="SANGAT KURANG"),I626*K626*10%,I626*K626*20%)))</f>
        <v/>
      </c>
      <c r="X626" s="15">
        <f>SUM(U626:W626)*68%</f>
        <v/>
      </c>
      <c r="Y626" s="15">
        <f>I626*L626</f>
        <v/>
      </c>
      <c r="Z626" s="15">
        <f>Y626 * 68%</f>
        <v/>
      </c>
      <c r="AA626" s="15">
        <f>I626*M626</f>
        <v/>
      </c>
      <c r="AB626" s="15">
        <f>AA626*68%</f>
        <v/>
      </c>
      <c r="AC626" s="16">
        <f>ROUND((T626+X626+Z626+AB626),0)</f>
        <v/>
      </c>
      <c r="AD626" s="16">
        <f>AG626</f>
        <v/>
      </c>
      <c r="AE626" s="16">
        <f>AI626</f>
        <v/>
      </c>
      <c r="AF626" s="16">
        <f>AC626+AD626+AE626</f>
        <v/>
      </c>
      <c r="AG626" s="16" t="n"/>
      <c r="AH626" s="17" t="n"/>
      <c r="AI626" s="17">
        <f>AH626*4</f>
        <v/>
      </c>
      <c r="AJ626" s="15">
        <f>AF626-AG626-AH626-AI626</f>
        <v/>
      </c>
      <c r="AK626" s="18" t="n">
        <v>619</v>
      </c>
      <c r="AL626" s="23" t="n"/>
    </row>
    <row r="627" ht="23.5" customHeight="1">
      <c r="A627" s="6" t="inlineStr">
        <is>
          <t>620</t>
        </is>
      </c>
      <c r="B627" s="24" t="n"/>
      <c r="C627" s="55" t="n"/>
      <c r="D627" s="19" t="n"/>
      <c r="E627" s="24" t="n"/>
      <c r="F627" s="25" t="n"/>
      <c r="G627" s="25" t="n"/>
      <c r="H627" s="25" t="n"/>
      <c r="I627" s="11" t="n"/>
      <c r="J627" s="57" t="n"/>
      <c r="K627" s="12" t="n"/>
      <c r="L627" s="22" t="n"/>
      <c r="M627" s="13" t="n"/>
      <c r="N627" s="14">
        <f>ROUND(I627*(SUM(J627:M627))*68%,0)</f>
        <v/>
      </c>
      <c r="O627" s="61" t="n"/>
      <c r="P627" s="59" t="n"/>
      <c r="Q627" s="59" t="n"/>
      <c r="R627" s="58" t="n"/>
      <c r="S627" s="15">
        <f>I627*J627</f>
        <v/>
      </c>
      <c r="T627" s="15">
        <f>SUM(S627:S627)*68%</f>
        <v/>
      </c>
      <c r="U627" s="15">
        <f>I627*K627*40%*O627</f>
        <v/>
      </c>
      <c r="V627" s="15">
        <f>IF(P627&gt;=6750,(I627*K627*40%),0)</f>
        <v/>
      </c>
      <c r="W627" s="15">
        <f>IF(P627&lt;6750,0,IF(Q627="",0,IF(OR(Q627="KURANG",Q627="SANGAT KURANG"),I627*K627*10%,I627*K627*20%)))</f>
        <v/>
      </c>
      <c r="X627" s="15">
        <f>SUM(U627:W627)*68%</f>
        <v/>
      </c>
      <c r="Y627" s="15">
        <f>I627*L627</f>
        <v/>
      </c>
      <c r="Z627" s="15">
        <f>Y627 * 68%</f>
        <v/>
      </c>
      <c r="AA627" s="15">
        <f>I627*M627</f>
        <v/>
      </c>
      <c r="AB627" s="15">
        <f>AA627*68%</f>
        <v/>
      </c>
      <c r="AC627" s="16">
        <f>ROUND((T627+X627+Z627+AB627),0)</f>
        <v/>
      </c>
      <c r="AD627" s="16">
        <f>AG627</f>
        <v/>
      </c>
      <c r="AE627" s="16">
        <f>AI627</f>
        <v/>
      </c>
      <c r="AF627" s="16">
        <f>AC627+AD627+AE627</f>
        <v/>
      </c>
      <c r="AG627" s="16" t="n"/>
      <c r="AH627" s="17" t="n"/>
      <c r="AI627" s="17">
        <f>AH627*4</f>
        <v/>
      </c>
      <c r="AJ627" s="15">
        <f>AF627-AG627-AH627-AI627</f>
        <v/>
      </c>
      <c r="AK627" s="18" t="n">
        <v>620</v>
      </c>
      <c r="AL627" s="40" t="n"/>
    </row>
    <row r="628" ht="23.5" customHeight="1">
      <c r="A628" s="6" t="inlineStr">
        <is>
          <t>621</t>
        </is>
      </c>
      <c r="B628" s="24" t="n"/>
      <c r="C628" s="55" t="n"/>
      <c r="D628" s="19" t="n"/>
      <c r="E628" s="24" t="n"/>
      <c r="F628" s="25" t="n"/>
      <c r="G628" s="25" t="n"/>
      <c r="H628" s="25" t="n"/>
      <c r="I628" s="11" t="n"/>
      <c r="J628" s="57" t="n"/>
      <c r="K628" s="12" t="n"/>
      <c r="L628" s="22" t="n"/>
      <c r="M628" s="13" t="n"/>
      <c r="N628" s="14">
        <f>ROUND(I628*(SUM(J628:M628))*68%,0)</f>
        <v/>
      </c>
      <c r="O628" s="61" t="n"/>
      <c r="P628" s="59" t="n"/>
      <c r="Q628" s="59" t="n"/>
      <c r="R628" s="58" t="n"/>
      <c r="S628" s="15">
        <f>I628*J628</f>
        <v/>
      </c>
      <c r="T628" s="15">
        <f>SUM(S628:S628)*68%</f>
        <v/>
      </c>
      <c r="U628" s="15">
        <f>I628*K628*40%*O628</f>
        <v/>
      </c>
      <c r="V628" s="15">
        <f>IF(P628&gt;=6750,(I628*K628*40%),0)</f>
        <v/>
      </c>
      <c r="W628" s="15">
        <f>IF(P628&lt;6750,0,IF(Q628="",0,IF(OR(Q628="KURANG",Q628="SANGAT KURANG"),I628*K628*10%,I628*K628*20%)))</f>
        <v/>
      </c>
      <c r="X628" s="15">
        <f>SUM(U628:W628)*68%</f>
        <v/>
      </c>
      <c r="Y628" s="15">
        <f>I628*L628</f>
        <v/>
      </c>
      <c r="Z628" s="15">
        <f>Y628 * 68%</f>
        <v/>
      </c>
      <c r="AA628" s="15">
        <f>I628*M628</f>
        <v/>
      </c>
      <c r="AB628" s="15">
        <f>AA628*68%</f>
        <v/>
      </c>
      <c r="AC628" s="16">
        <f>ROUND((T628+X628+Z628+AB628),0)</f>
        <v/>
      </c>
      <c r="AD628" s="16">
        <f>AG628</f>
        <v/>
      </c>
      <c r="AE628" s="16">
        <f>AI628</f>
        <v/>
      </c>
      <c r="AF628" s="16">
        <f>AC628+AD628+AE628</f>
        <v/>
      </c>
      <c r="AG628" s="16" t="n"/>
      <c r="AH628" s="17" t="n"/>
      <c r="AI628" s="17">
        <f>AH628*4</f>
        <v/>
      </c>
      <c r="AJ628" s="15">
        <f>AF628-AG628-AH628-AI628</f>
        <v/>
      </c>
      <c r="AK628" s="18" t="n">
        <v>621</v>
      </c>
      <c r="AL628" s="23" t="n"/>
    </row>
    <row r="629" ht="23.5" customHeight="1">
      <c r="A629" s="6" t="inlineStr">
        <is>
          <t>622</t>
        </is>
      </c>
      <c r="B629" s="24" t="n"/>
      <c r="C629" s="55" t="n"/>
      <c r="D629" s="19" t="n"/>
      <c r="E629" s="24" t="n"/>
      <c r="F629" s="25" t="n"/>
      <c r="G629" s="25" t="n"/>
      <c r="H629" s="25" t="n"/>
      <c r="I629" s="11" t="n"/>
      <c r="J629" s="57" t="n"/>
      <c r="K629" s="12" t="n"/>
      <c r="L629" s="22" t="n"/>
      <c r="M629" s="13" t="n"/>
      <c r="N629" s="14">
        <f>ROUND(I629*(SUM(J629:M629))*68%,0)</f>
        <v/>
      </c>
      <c r="O629" s="61" t="n"/>
      <c r="P629" s="59" t="n"/>
      <c r="Q629" s="59" t="n"/>
      <c r="R629" s="58" t="n"/>
      <c r="S629" s="15">
        <f>I629*J629</f>
        <v/>
      </c>
      <c r="T629" s="15">
        <f>SUM(S629:S629)*68%</f>
        <v/>
      </c>
      <c r="U629" s="15">
        <f>I629*K629*40%*O629</f>
        <v/>
      </c>
      <c r="V629" s="15">
        <f>IF(P629&gt;=6750,(I629*K629*40%),0)</f>
        <v/>
      </c>
      <c r="W629" s="15">
        <f>IF(P629&lt;6750,0,IF(Q629="",0,IF(OR(Q629="KURANG",Q629="SANGAT KURANG"),I629*K629*10%,I629*K629*20%)))</f>
        <v/>
      </c>
      <c r="X629" s="15">
        <f>SUM(U629:W629)*68%</f>
        <v/>
      </c>
      <c r="Y629" s="15">
        <f>I629*L629</f>
        <v/>
      </c>
      <c r="Z629" s="15">
        <f>Y629 * 68%</f>
        <v/>
      </c>
      <c r="AA629" s="15">
        <f>I629*M629</f>
        <v/>
      </c>
      <c r="AB629" s="15">
        <f>AA629*68%</f>
        <v/>
      </c>
      <c r="AC629" s="16">
        <f>ROUND((T629+X629+Z629+AB629),0)</f>
        <v/>
      </c>
      <c r="AD629" s="16">
        <f>AG629</f>
        <v/>
      </c>
      <c r="AE629" s="16">
        <f>AI629</f>
        <v/>
      </c>
      <c r="AF629" s="16">
        <f>AC629+AD629+AE629</f>
        <v/>
      </c>
      <c r="AG629" s="16" t="n"/>
      <c r="AH629" s="17" t="n"/>
      <c r="AI629" s="17">
        <f>AH629*4</f>
        <v/>
      </c>
      <c r="AJ629" s="15">
        <f>AF629-AG629-AH629-AI629</f>
        <v/>
      </c>
      <c r="AK629" s="18" t="n">
        <v>622</v>
      </c>
      <c r="AL629" s="23" t="n"/>
    </row>
    <row r="630" ht="23.5" customHeight="1">
      <c r="A630" s="6" t="inlineStr">
        <is>
          <t>623</t>
        </is>
      </c>
      <c r="B630" s="24" t="n"/>
      <c r="C630" s="55" t="n"/>
      <c r="D630" s="19" t="n"/>
      <c r="E630" s="24" t="n"/>
      <c r="F630" s="25" t="n"/>
      <c r="G630" s="25" t="n"/>
      <c r="H630" s="25" t="n"/>
      <c r="I630" s="11" t="n"/>
      <c r="J630" s="57" t="n"/>
      <c r="K630" s="12" t="n"/>
      <c r="L630" s="22" t="n"/>
      <c r="M630" s="13" t="n"/>
      <c r="N630" s="14">
        <f>ROUND(I630*(SUM(J630:M630))*68%,0)</f>
        <v/>
      </c>
      <c r="O630" s="61" t="n"/>
      <c r="P630" s="59" t="n"/>
      <c r="Q630" s="59" t="n"/>
      <c r="R630" s="58" t="n"/>
      <c r="S630" s="15">
        <f>I630*J630</f>
        <v/>
      </c>
      <c r="T630" s="15">
        <f>SUM(S630:S630)*68%</f>
        <v/>
      </c>
      <c r="U630" s="15">
        <f>I630*K630*40%*O630</f>
        <v/>
      </c>
      <c r="V630" s="15">
        <f>IF(P630&gt;=6750,(I630*K630*40%),0)</f>
        <v/>
      </c>
      <c r="W630" s="15">
        <f>IF(P630&lt;6750,0,IF(Q630="",0,IF(OR(Q630="KURANG",Q630="SANGAT KURANG"),I630*K630*10%,I630*K630*20%)))</f>
        <v/>
      </c>
      <c r="X630" s="15">
        <f>SUM(U630:W630)*68%</f>
        <v/>
      </c>
      <c r="Y630" s="15">
        <f>I630*L630</f>
        <v/>
      </c>
      <c r="Z630" s="15">
        <f>Y630 * 68%</f>
        <v/>
      </c>
      <c r="AA630" s="15">
        <f>I630*M630</f>
        <v/>
      </c>
      <c r="AB630" s="15">
        <f>AA630*68%</f>
        <v/>
      </c>
      <c r="AC630" s="16">
        <f>ROUND((T630+X630+Z630+AB630),0)</f>
        <v/>
      </c>
      <c r="AD630" s="16">
        <f>AG630</f>
        <v/>
      </c>
      <c r="AE630" s="16">
        <f>AI630</f>
        <v/>
      </c>
      <c r="AF630" s="16">
        <f>AC630+AD630+AE630</f>
        <v/>
      </c>
      <c r="AG630" s="16" t="n"/>
      <c r="AH630" s="17" t="n"/>
      <c r="AI630" s="17">
        <f>AH630*4</f>
        <v/>
      </c>
      <c r="AJ630" s="15">
        <f>AF630-AG630-AH630-AI630</f>
        <v/>
      </c>
      <c r="AK630" s="18" t="n">
        <v>623</v>
      </c>
      <c r="AL630" s="40" t="n"/>
    </row>
    <row r="631" ht="23.5" customHeight="1">
      <c r="A631" s="6" t="inlineStr">
        <is>
          <t>624</t>
        </is>
      </c>
      <c r="B631" s="24" t="n"/>
      <c r="C631" s="55" t="n"/>
      <c r="D631" s="19" t="n"/>
      <c r="E631" s="24" t="n"/>
      <c r="F631" s="25" t="n"/>
      <c r="G631" s="25" t="n"/>
      <c r="H631" s="25" t="n"/>
      <c r="I631" s="11" t="n"/>
      <c r="J631" s="57" t="n"/>
      <c r="K631" s="12" t="n"/>
      <c r="L631" s="22" t="n"/>
      <c r="M631" s="13" t="n"/>
      <c r="N631" s="14">
        <f>ROUND(I631*(SUM(J631:M631))*68%,0)</f>
        <v/>
      </c>
      <c r="O631" s="61" t="n"/>
      <c r="P631" s="59" t="n"/>
      <c r="Q631" s="59" t="n"/>
      <c r="R631" s="58" t="n"/>
      <c r="S631" s="15">
        <f>I631*J631</f>
        <v/>
      </c>
      <c r="T631" s="15">
        <f>SUM(S631:S631)*68%</f>
        <v/>
      </c>
      <c r="U631" s="15">
        <f>I631*K631*40%*O631</f>
        <v/>
      </c>
      <c r="V631" s="15">
        <f>IF(P631&gt;=6750,(I631*K631*40%),0)</f>
        <v/>
      </c>
      <c r="W631" s="15">
        <f>IF(P631&lt;6750,0,IF(Q631="",0,IF(OR(Q631="KURANG",Q631="SANGAT KURANG"),I631*K631*10%,I631*K631*20%)))</f>
        <v/>
      </c>
      <c r="X631" s="15">
        <f>SUM(U631:W631)*68%</f>
        <v/>
      </c>
      <c r="Y631" s="15">
        <f>I631*L631</f>
        <v/>
      </c>
      <c r="Z631" s="15">
        <f>Y631 * 68%</f>
        <v/>
      </c>
      <c r="AA631" s="15">
        <f>I631*M631</f>
        <v/>
      </c>
      <c r="AB631" s="15">
        <f>AA631*68%</f>
        <v/>
      </c>
      <c r="AC631" s="16">
        <f>ROUND((T631+X631+Z631+AB631),0)</f>
        <v/>
      </c>
      <c r="AD631" s="16">
        <f>AG631</f>
        <v/>
      </c>
      <c r="AE631" s="16">
        <f>AI631</f>
        <v/>
      </c>
      <c r="AF631" s="16">
        <f>AC631+AD631+AE631</f>
        <v/>
      </c>
      <c r="AG631" s="16" t="n"/>
      <c r="AH631" s="17" t="n"/>
      <c r="AI631" s="17">
        <f>AH631*4</f>
        <v/>
      </c>
      <c r="AJ631" s="15">
        <f>AF631-AG631-AH631-AI631</f>
        <v/>
      </c>
      <c r="AK631" s="18" t="n">
        <v>624</v>
      </c>
      <c r="AL631" s="23" t="n"/>
    </row>
    <row r="632" ht="23.5" customHeight="1">
      <c r="A632" s="6" t="inlineStr">
        <is>
          <t>625</t>
        </is>
      </c>
      <c r="B632" s="24" t="n"/>
      <c r="C632" s="55" t="n"/>
      <c r="D632" s="19" t="n"/>
      <c r="E632" s="24" t="n"/>
      <c r="F632" s="25" t="n"/>
      <c r="G632" s="25" t="n"/>
      <c r="H632" s="25" t="n"/>
      <c r="I632" s="11" t="n"/>
      <c r="J632" s="57" t="n"/>
      <c r="K632" s="12" t="n"/>
      <c r="L632" s="22" t="n"/>
      <c r="M632" s="13" t="n"/>
      <c r="N632" s="14">
        <f>ROUND(I632*(SUM(J632:M632))*68%,0)</f>
        <v/>
      </c>
      <c r="O632" s="61" t="n"/>
      <c r="P632" s="59" t="n"/>
      <c r="Q632" s="59" t="n"/>
      <c r="R632" s="58" t="n"/>
      <c r="S632" s="15">
        <f>I632*J632</f>
        <v/>
      </c>
      <c r="T632" s="15">
        <f>SUM(S632:S632)*68%</f>
        <v/>
      </c>
      <c r="U632" s="15">
        <f>I632*K632*40%*O632</f>
        <v/>
      </c>
      <c r="V632" s="15">
        <f>IF(P632&gt;=6750,(I632*K632*40%),0)</f>
        <v/>
      </c>
      <c r="W632" s="15">
        <f>IF(P632&lt;6750,0,IF(Q632="",0,IF(OR(Q632="KURANG",Q632="SANGAT KURANG"),I632*K632*10%,I632*K632*20%)))</f>
        <v/>
      </c>
      <c r="X632" s="15">
        <f>SUM(U632:W632)*68%</f>
        <v/>
      </c>
      <c r="Y632" s="15">
        <f>I632*L632</f>
        <v/>
      </c>
      <c r="Z632" s="15">
        <f>Y632 * 68%</f>
        <v/>
      </c>
      <c r="AA632" s="15">
        <f>I632*M632</f>
        <v/>
      </c>
      <c r="AB632" s="15">
        <f>AA632*68%</f>
        <v/>
      </c>
      <c r="AC632" s="16">
        <f>ROUND((T632+X632+Z632+AB632),0)</f>
        <v/>
      </c>
      <c r="AD632" s="16">
        <f>AG632</f>
        <v/>
      </c>
      <c r="AE632" s="16">
        <f>AI632</f>
        <v/>
      </c>
      <c r="AF632" s="16">
        <f>AC632+AD632+AE632</f>
        <v/>
      </c>
      <c r="AG632" s="16" t="n"/>
      <c r="AH632" s="17" t="n"/>
      <c r="AI632" s="17">
        <f>AH632*4</f>
        <v/>
      </c>
      <c r="AJ632" s="15">
        <f>AF632-AG632-AH632-AI632</f>
        <v/>
      </c>
      <c r="AK632" s="18" t="n">
        <v>625</v>
      </c>
      <c r="AL632" s="23" t="n"/>
    </row>
    <row r="633" ht="23.5" customHeight="1">
      <c r="A633" s="6" t="inlineStr">
        <is>
          <t>626</t>
        </is>
      </c>
      <c r="B633" s="24" t="n"/>
      <c r="C633" s="55" t="n"/>
      <c r="D633" s="19" t="n"/>
      <c r="E633" s="24" t="n"/>
      <c r="F633" s="25" t="n"/>
      <c r="G633" s="25" t="n"/>
      <c r="H633" s="25" t="n"/>
      <c r="I633" s="11" t="n"/>
      <c r="J633" s="57" t="n"/>
      <c r="K633" s="12" t="n"/>
      <c r="L633" s="22" t="n"/>
      <c r="M633" s="13" t="n"/>
      <c r="N633" s="14">
        <f>ROUND(I633*(SUM(J633:M633))*68%,0)</f>
        <v/>
      </c>
      <c r="O633" s="61" t="n"/>
      <c r="P633" s="59" t="n"/>
      <c r="Q633" s="59" t="n"/>
      <c r="R633" s="58" t="n"/>
      <c r="S633" s="15">
        <f>I633*J633</f>
        <v/>
      </c>
      <c r="T633" s="15">
        <f>SUM(S633:S633)*68%</f>
        <v/>
      </c>
      <c r="U633" s="15">
        <f>I633*K633*40%*O633</f>
        <v/>
      </c>
      <c r="V633" s="15">
        <f>IF(P633&gt;=6750,(I633*K633*40%),0)</f>
        <v/>
      </c>
      <c r="W633" s="15">
        <f>IF(P633&lt;6750,0,IF(Q633="",0,IF(OR(Q633="KURANG",Q633="SANGAT KURANG"),I633*K633*10%,I633*K633*20%)))</f>
        <v/>
      </c>
      <c r="X633" s="15">
        <f>SUM(U633:W633)*68%</f>
        <v/>
      </c>
      <c r="Y633" s="15">
        <f>I633*L633</f>
        <v/>
      </c>
      <c r="Z633" s="15">
        <f>Y633 * 68%</f>
        <v/>
      </c>
      <c r="AA633" s="15">
        <f>I633*M633</f>
        <v/>
      </c>
      <c r="AB633" s="15">
        <f>AA633*68%</f>
        <v/>
      </c>
      <c r="AC633" s="16">
        <f>ROUND((T633+X633+Z633+AB633),0)</f>
        <v/>
      </c>
      <c r="AD633" s="16">
        <f>AG633</f>
        <v/>
      </c>
      <c r="AE633" s="16">
        <f>AI633</f>
        <v/>
      </c>
      <c r="AF633" s="16">
        <f>AC633+AD633+AE633</f>
        <v/>
      </c>
      <c r="AG633" s="16" t="n"/>
      <c r="AH633" s="17" t="n"/>
      <c r="AI633" s="17">
        <f>AH633*4</f>
        <v/>
      </c>
      <c r="AJ633" s="15">
        <f>AF633-AG633-AH633-AI633</f>
        <v/>
      </c>
      <c r="AK633" s="18" t="n">
        <v>626</v>
      </c>
      <c r="AL633" s="40" t="n"/>
    </row>
    <row r="634" ht="23.5" customHeight="1">
      <c r="A634" s="6" t="inlineStr">
        <is>
          <t>627</t>
        </is>
      </c>
      <c r="B634" s="24" t="n"/>
      <c r="C634" s="55" t="n"/>
      <c r="D634" s="19" t="n"/>
      <c r="E634" s="24" t="n"/>
      <c r="F634" s="25" t="n"/>
      <c r="G634" s="25" t="n"/>
      <c r="H634" s="25" t="n"/>
      <c r="I634" s="11" t="n"/>
      <c r="J634" s="57" t="n"/>
      <c r="K634" s="12" t="n"/>
      <c r="L634" s="22" t="n"/>
      <c r="M634" s="13" t="n"/>
      <c r="N634" s="14">
        <f>ROUND(I634*(SUM(J634:M634))*68%,0)</f>
        <v/>
      </c>
      <c r="O634" s="61" t="n"/>
      <c r="P634" s="59" t="n"/>
      <c r="Q634" s="59" t="n"/>
      <c r="R634" s="58" t="n"/>
      <c r="S634" s="15">
        <f>I634*J634</f>
        <v/>
      </c>
      <c r="T634" s="15">
        <f>SUM(S634:S634)*68%</f>
        <v/>
      </c>
      <c r="U634" s="15">
        <f>I634*K634*40%*O634</f>
        <v/>
      </c>
      <c r="V634" s="15">
        <f>IF(P634&gt;=6750,(I634*K634*40%),0)</f>
        <v/>
      </c>
      <c r="W634" s="15">
        <f>IF(P634&lt;6750,0,IF(Q634="",0,IF(OR(Q634="KURANG",Q634="SANGAT KURANG"),I634*K634*10%,I634*K634*20%)))</f>
        <v/>
      </c>
      <c r="X634" s="15">
        <f>SUM(U634:W634)*68%</f>
        <v/>
      </c>
      <c r="Y634" s="15">
        <f>I634*L634</f>
        <v/>
      </c>
      <c r="Z634" s="15">
        <f>Y634 * 68%</f>
        <v/>
      </c>
      <c r="AA634" s="15">
        <f>I634*M634</f>
        <v/>
      </c>
      <c r="AB634" s="15">
        <f>AA634*68%</f>
        <v/>
      </c>
      <c r="AC634" s="16">
        <f>ROUND((T634+X634+Z634+AB634),0)</f>
        <v/>
      </c>
      <c r="AD634" s="16">
        <f>AG634</f>
        <v/>
      </c>
      <c r="AE634" s="16">
        <f>AI634</f>
        <v/>
      </c>
      <c r="AF634" s="16">
        <f>AC634+AD634+AE634</f>
        <v/>
      </c>
      <c r="AG634" s="16" t="n"/>
      <c r="AH634" s="17" t="n"/>
      <c r="AI634" s="17">
        <f>AH634*4</f>
        <v/>
      </c>
      <c r="AJ634" s="15">
        <f>AF634-AG634-AH634-AI634</f>
        <v/>
      </c>
      <c r="AK634" s="18" t="n">
        <v>627</v>
      </c>
      <c r="AL634" s="23" t="n"/>
    </row>
    <row r="635" ht="23.5" customHeight="1">
      <c r="A635" s="6" t="inlineStr">
        <is>
          <t>628</t>
        </is>
      </c>
      <c r="B635" s="24" t="n"/>
      <c r="C635" s="55" t="n"/>
      <c r="D635" s="19" t="n"/>
      <c r="E635" s="24" t="n"/>
      <c r="F635" s="25" t="n"/>
      <c r="G635" s="10" t="n"/>
      <c r="H635" s="8" t="n"/>
      <c r="I635" s="11" t="n"/>
      <c r="J635" s="57" t="n"/>
      <c r="K635" s="12" t="n"/>
      <c r="L635" s="13" t="n"/>
      <c r="M635" s="13" t="n"/>
      <c r="N635" s="14">
        <f>ROUND(I635*(SUM(J635:M635))*68%,0)</f>
        <v/>
      </c>
      <c r="O635" s="61" t="n"/>
      <c r="P635" s="59" t="n"/>
      <c r="Q635" s="59" t="n"/>
      <c r="R635" s="58" t="n"/>
      <c r="S635" s="15">
        <f>I635*J635</f>
        <v/>
      </c>
      <c r="T635" s="15">
        <f>SUM(S635:S635)*68%</f>
        <v/>
      </c>
      <c r="U635" s="15">
        <f>I635*K635*40%*O635</f>
        <v/>
      </c>
      <c r="V635" s="15">
        <f>IF(P635&gt;=6750,(I635*K635*40%),0)</f>
        <v/>
      </c>
      <c r="W635" s="15">
        <f>IF(P635&lt;6750,0,IF(Q635="",0,IF(OR(Q635="KURANG",Q635="SANGAT KURANG"),I635*K635*10%,I635*K635*20%)))</f>
        <v/>
      </c>
      <c r="X635" s="15">
        <f>SUM(U635:W635)*68%</f>
        <v/>
      </c>
      <c r="Y635" s="15">
        <f>I635*L635</f>
        <v/>
      </c>
      <c r="Z635" s="15">
        <f>Y635 * 68%</f>
        <v/>
      </c>
      <c r="AA635" s="15">
        <f>I635*M635</f>
        <v/>
      </c>
      <c r="AB635" s="15">
        <f>AA635*68%</f>
        <v/>
      </c>
      <c r="AC635" s="16">
        <f>ROUND((T635+X635+Z635+AB635),0)</f>
        <v/>
      </c>
      <c r="AD635" s="16">
        <f>AG635</f>
        <v/>
      </c>
      <c r="AE635" s="16">
        <f>AI635</f>
        <v/>
      </c>
      <c r="AF635" s="16">
        <f>AC635+AD635+AE635</f>
        <v/>
      </c>
      <c r="AG635" s="16" t="n"/>
      <c r="AH635" s="17" t="n"/>
      <c r="AI635" s="17">
        <f>AH635*4</f>
        <v/>
      </c>
      <c r="AJ635" s="15">
        <f>AF635-AG635-AH635-AI635</f>
        <v/>
      </c>
      <c r="AK635" s="18" t="n">
        <v>628</v>
      </c>
      <c r="AL635" s="23" t="n"/>
    </row>
    <row r="636" ht="23.5" customHeight="1">
      <c r="A636" s="6" t="inlineStr">
        <is>
          <t>629</t>
        </is>
      </c>
      <c r="B636" s="24" t="n"/>
      <c r="C636" s="55" t="n"/>
      <c r="D636" s="19" t="n"/>
      <c r="E636" s="24" t="n"/>
      <c r="F636" s="25" t="n"/>
      <c r="G636" s="10" t="n"/>
      <c r="H636" s="8" t="n"/>
      <c r="I636" s="11" t="n"/>
      <c r="J636" s="57" t="n"/>
      <c r="K636" s="12" t="n"/>
      <c r="L636" s="22" t="n"/>
      <c r="M636" s="13" t="n"/>
      <c r="N636" s="14">
        <f>ROUND(I636*(SUM(J636:M636))*68%,0)</f>
        <v/>
      </c>
      <c r="O636" s="61" t="n"/>
      <c r="P636" s="59" t="n"/>
      <c r="Q636" s="59" t="n"/>
      <c r="R636" s="58" t="n"/>
      <c r="S636" s="15">
        <f>I636*J636</f>
        <v/>
      </c>
      <c r="T636" s="15">
        <f>SUM(S636:S636)*68%</f>
        <v/>
      </c>
      <c r="U636" s="15">
        <f>I636*K636*40%*O636</f>
        <v/>
      </c>
      <c r="V636" s="15">
        <f>IF(P636&gt;=6750,(I636*K636*40%),0)</f>
        <v/>
      </c>
      <c r="W636" s="15">
        <f>IF(P636&lt;6750,0,IF(Q636="",0,IF(OR(Q636="KURANG",Q636="SANGAT KURANG"),I636*K636*10%,I636*K636*20%)))</f>
        <v/>
      </c>
      <c r="X636" s="15">
        <f>SUM(U636:W636)*68%</f>
        <v/>
      </c>
      <c r="Y636" s="15">
        <f>I636*L636</f>
        <v/>
      </c>
      <c r="Z636" s="15">
        <f>Y636 * 68%</f>
        <v/>
      </c>
      <c r="AA636" s="15">
        <f>I636*M636</f>
        <v/>
      </c>
      <c r="AB636" s="15">
        <f>AA636*68%</f>
        <v/>
      </c>
      <c r="AC636" s="16">
        <f>ROUND((T636+X636+Z636+AB636),0)</f>
        <v/>
      </c>
      <c r="AD636" s="16">
        <f>AG636</f>
        <v/>
      </c>
      <c r="AE636" s="16">
        <f>AI636</f>
        <v/>
      </c>
      <c r="AF636" s="16">
        <f>AC636+AD636+AE636</f>
        <v/>
      </c>
      <c r="AG636" s="16" t="n"/>
      <c r="AH636" s="17" t="n"/>
      <c r="AI636" s="17">
        <f>AH636*4</f>
        <v/>
      </c>
      <c r="AJ636" s="15">
        <f>AF636-AG636-AH636-AI636</f>
        <v/>
      </c>
      <c r="AK636" s="18" t="n">
        <v>629</v>
      </c>
      <c r="AL636" s="40" t="n"/>
    </row>
    <row r="637" ht="23.5" customHeight="1">
      <c r="A637" s="6" t="inlineStr">
        <is>
          <t>630</t>
        </is>
      </c>
      <c r="B637" s="28" t="n"/>
      <c r="C637" s="55" t="n"/>
      <c r="D637" s="19" t="n"/>
      <c r="E637" s="24" t="n"/>
      <c r="F637" s="25" t="n"/>
      <c r="G637" s="10" t="n"/>
      <c r="H637" s="8" t="n"/>
      <c r="I637" s="11" t="n"/>
      <c r="J637" s="57" t="n"/>
      <c r="K637" s="12" t="n"/>
      <c r="L637" s="22" t="n"/>
      <c r="M637" s="13" t="n"/>
      <c r="N637" s="14">
        <f>ROUND(I637*(SUM(J637:M637))*68%,0)</f>
        <v/>
      </c>
      <c r="O637" s="61" t="n"/>
      <c r="P637" s="59" t="n"/>
      <c r="Q637" s="59" t="n"/>
      <c r="R637" s="58" t="n"/>
      <c r="S637" s="15">
        <f>I637*J637</f>
        <v/>
      </c>
      <c r="T637" s="15">
        <f>SUM(S637:S637)*68%</f>
        <v/>
      </c>
      <c r="U637" s="15">
        <f>I637*K637*40%*O637</f>
        <v/>
      </c>
      <c r="V637" s="15">
        <f>IF(P637&gt;=6750,(I637*K637*40%),0)</f>
        <v/>
      </c>
      <c r="W637" s="15">
        <f>IF(P637&lt;6750,0,IF(Q637="",0,IF(OR(Q637="KURANG",Q637="SANGAT KURANG"),I637*K637*10%,I637*K637*20%)))</f>
        <v/>
      </c>
      <c r="X637" s="15">
        <f>SUM(U637:W637)*68%</f>
        <v/>
      </c>
      <c r="Y637" s="15">
        <f>I637*L637</f>
        <v/>
      </c>
      <c r="Z637" s="15">
        <f>Y637 * 68%</f>
        <v/>
      </c>
      <c r="AA637" s="15">
        <f>I637*M637</f>
        <v/>
      </c>
      <c r="AB637" s="15">
        <f>AA637*68%</f>
        <v/>
      </c>
      <c r="AC637" s="16">
        <f>ROUND((T637+X637+Z637+AB637),0)</f>
        <v/>
      </c>
      <c r="AD637" s="16">
        <f>AG637</f>
        <v/>
      </c>
      <c r="AE637" s="16">
        <f>AI637</f>
        <v/>
      </c>
      <c r="AF637" s="16">
        <f>AC637+AD637+AE637</f>
        <v/>
      </c>
      <c r="AG637" s="16" t="n"/>
      <c r="AH637" s="17" t="n"/>
      <c r="AI637" s="17">
        <f>AH637*4</f>
        <v/>
      </c>
      <c r="AJ637" s="15">
        <f>AF637-AG637-AH637-AI637</f>
        <v/>
      </c>
      <c r="AK637" s="18" t="n">
        <v>630</v>
      </c>
      <c r="AL637" s="23" t="n"/>
    </row>
    <row r="638" ht="23.5" customHeight="1">
      <c r="A638" s="6" t="inlineStr">
        <is>
          <t>631</t>
        </is>
      </c>
      <c r="B638" s="24" t="n"/>
      <c r="C638" s="55" t="n"/>
      <c r="D638" s="19" t="n"/>
      <c r="E638" s="24" t="n"/>
      <c r="F638" s="25" t="n"/>
      <c r="G638" s="10" t="n"/>
      <c r="H638" s="8" t="n"/>
      <c r="I638" s="11" t="n"/>
      <c r="J638" s="57" t="n"/>
      <c r="K638" s="12" t="n"/>
      <c r="L638" s="22" t="n"/>
      <c r="M638" s="13" t="n"/>
      <c r="N638" s="14">
        <f>ROUND(I638*(SUM(J638:M638))*68%,0)</f>
        <v/>
      </c>
      <c r="O638" s="61" t="n"/>
      <c r="P638" s="59" t="n"/>
      <c r="Q638" s="59" t="n"/>
      <c r="R638" s="58" t="n"/>
      <c r="S638" s="15">
        <f>I638*J638</f>
        <v/>
      </c>
      <c r="T638" s="15">
        <f>SUM(S638:S638)*68%</f>
        <v/>
      </c>
      <c r="U638" s="15">
        <f>I638*K638*40%*O638</f>
        <v/>
      </c>
      <c r="V638" s="15">
        <f>IF(P638&gt;=6750,(I638*K638*40%),0)</f>
        <v/>
      </c>
      <c r="W638" s="15">
        <f>IF(P638&lt;6750,0,IF(Q638="",0,IF(OR(Q638="KURANG",Q638="SANGAT KURANG"),I638*K638*10%,I638*K638*20%)))</f>
        <v/>
      </c>
      <c r="X638" s="15">
        <f>SUM(U638:W638)*68%</f>
        <v/>
      </c>
      <c r="Y638" s="15">
        <f>I638*L638</f>
        <v/>
      </c>
      <c r="Z638" s="15">
        <f>Y638 * 68%</f>
        <v/>
      </c>
      <c r="AA638" s="15">
        <f>I638*M638</f>
        <v/>
      </c>
      <c r="AB638" s="15">
        <f>AA638*68%</f>
        <v/>
      </c>
      <c r="AC638" s="16">
        <f>ROUND((T638+X638+Z638+AB638),0)</f>
        <v/>
      </c>
      <c r="AD638" s="16">
        <f>AG638</f>
        <v/>
      </c>
      <c r="AE638" s="16">
        <f>AI638</f>
        <v/>
      </c>
      <c r="AF638" s="16">
        <f>AC638+AD638+AE638</f>
        <v/>
      </c>
      <c r="AG638" s="16" t="n"/>
      <c r="AH638" s="17" t="n"/>
      <c r="AI638" s="17">
        <f>AH638*4</f>
        <v/>
      </c>
      <c r="AJ638" s="15">
        <f>AF638-AG638-AH638-AI638</f>
        <v/>
      </c>
      <c r="AK638" s="18" t="n">
        <v>631</v>
      </c>
      <c r="AL638" s="23" t="n"/>
    </row>
    <row r="639" ht="23.5" customHeight="1">
      <c r="A639" s="6" t="inlineStr">
        <is>
          <t>632</t>
        </is>
      </c>
      <c r="B639" s="24" t="n"/>
      <c r="C639" s="55" t="n"/>
      <c r="D639" s="19" t="n"/>
      <c r="E639" s="24" t="n"/>
      <c r="F639" s="25" t="n"/>
      <c r="G639" s="10" t="n"/>
      <c r="H639" s="8" t="n"/>
      <c r="I639" s="11" t="n"/>
      <c r="J639" s="57" t="n"/>
      <c r="K639" s="12" t="n"/>
      <c r="L639" s="22" t="n"/>
      <c r="M639" s="13" t="n"/>
      <c r="N639" s="14">
        <f>ROUND(I639*(SUM(J639:M639))*68%,0)</f>
        <v/>
      </c>
      <c r="O639" s="61" t="n"/>
      <c r="P639" s="59" t="n"/>
      <c r="Q639" s="59" t="n"/>
      <c r="R639" s="58" t="n"/>
      <c r="S639" s="15">
        <f>I639*J639</f>
        <v/>
      </c>
      <c r="T639" s="15">
        <f>SUM(S639:S639)*68%</f>
        <v/>
      </c>
      <c r="U639" s="15">
        <f>I639*K639*40%*O639</f>
        <v/>
      </c>
      <c r="V639" s="15">
        <f>IF(P639&gt;=6750,(I639*K639*40%),0)</f>
        <v/>
      </c>
      <c r="W639" s="15">
        <f>IF(P639&lt;6750,0,IF(Q639="",0,IF(OR(Q639="KURANG",Q639="SANGAT KURANG"),I639*K639*10%,I639*K639*20%)))</f>
        <v/>
      </c>
      <c r="X639" s="15">
        <f>SUM(U639:W639)*68%</f>
        <v/>
      </c>
      <c r="Y639" s="15">
        <f>I639*L639</f>
        <v/>
      </c>
      <c r="Z639" s="15">
        <f>Y639 * 68%</f>
        <v/>
      </c>
      <c r="AA639" s="15">
        <f>I639*M639</f>
        <v/>
      </c>
      <c r="AB639" s="15">
        <f>AA639*68%</f>
        <v/>
      </c>
      <c r="AC639" s="16">
        <f>ROUND((T639+X639+Z639+AB639),0)</f>
        <v/>
      </c>
      <c r="AD639" s="16">
        <f>AG639</f>
        <v/>
      </c>
      <c r="AE639" s="16">
        <f>AI639</f>
        <v/>
      </c>
      <c r="AF639" s="16">
        <f>AC639+AD639+AE639</f>
        <v/>
      </c>
      <c r="AG639" s="16" t="n"/>
      <c r="AH639" s="17" t="n"/>
      <c r="AI639" s="17">
        <f>AH639*4</f>
        <v/>
      </c>
      <c r="AJ639" s="15">
        <f>AF639-AG639-AH639-AI639</f>
        <v/>
      </c>
      <c r="AK639" s="18" t="n">
        <v>632</v>
      </c>
      <c r="AL639" s="40" t="n"/>
    </row>
    <row r="640" ht="23.5" customHeight="1">
      <c r="A640" s="6" t="inlineStr">
        <is>
          <t>633</t>
        </is>
      </c>
      <c r="B640" s="24" t="n"/>
      <c r="C640" s="55" t="n"/>
      <c r="D640" s="19" t="n"/>
      <c r="E640" s="24" t="n"/>
      <c r="F640" s="25" t="n"/>
      <c r="G640" s="10" t="n"/>
      <c r="H640" s="8" t="n"/>
      <c r="I640" s="11" t="n"/>
      <c r="J640" s="57" t="n"/>
      <c r="K640" s="12" t="n"/>
      <c r="L640" s="22" t="n"/>
      <c r="M640" s="13" t="n"/>
      <c r="N640" s="14">
        <f>ROUND(I640*(SUM(J640:M640))*68%,0)</f>
        <v/>
      </c>
      <c r="O640" s="61" t="n"/>
      <c r="P640" s="59" t="n"/>
      <c r="Q640" s="59" t="n"/>
      <c r="R640" s="58" t="n"/>
      <c r="S640" s="15">
        <f>I640*J640</f>
        <v/>
      </c>
      <c r="T640" s="15">
        <f>SUM(S640:S640)*68%</f>
        <v/>
      </c>
      <c r="U640" s="15">
        <f>I640*K640*40%*O640</f>
        <v/>
      </c>
      <c r="V640" s="15">
        <f>IF(P640&gt;=6750,(I640*K640*40%),0)</f>
        <v/>
      </c>
      <c r="W640" s="15">
        <f>IF(P640&lt;6750,0,IF(Q640="",0,IF(OR(Q640="KURANG",Q640="SANGAT KURANG"),I640*K640*10%,I640*K640*20%)))</f>
        <v/>
      </c>
      <c r="X640" s="15">
        <f>SUM(U640:W640)*68%</f>
        <v/>
      </c>
      <c r="Y640" s="15">
        <f>I640*L640</f>
        <v/>
      </c>
      <c r="Z640" s="15">
        <f>Y640 * 68%</f>
        <v/>
      </c>
      <c r="AA640" s="15">
        <f>I640*M640</f>
        <v/>
      </c>
      <c r="AB640" s="15">
        <f>AA640*68%</f>
        <v/>
      </c>
      <c r="AC640" s="16">
        <f>ROUND((T640+X640+Z640+AB640),0)</f>
        <v/>
      </c>
      <c r="AD640" s="16">
        <f>AG640</f>
        <v/>
      </c>
      <c r="AE640" s="16">
        <f>AI640</f>
        <v/>
      </c>
      <c r="AF640" s="16">
        <f>AC640+AD640+AE640</f>
        <v/>
      </c>
      <c r="AG640" s="16" t="n"/>
      <c r="AH640" s="17" t="n"/>
      <c r="AI640" s="17">
        <f>AH640*4</f>
        <v/>
      </c>
      <c r="AJ640" s="15">
        <f>AF640-AG640-AH640-AI640</f>
        <v/>
      </c>
      <c r="AK640" s="18" t="n">
        <v>633</v>
      </c>
      <c r="AL640" s="23" t="n"/>
    </row>
    <row r="641" ht="23.5" customHeight="1">
      <c r="A641" s="6" t="inlineStr">
        <is>
          <t>634</t>
        </is>
      </c>
      <c r="B641" s="24" t="n"/>
      <c r="C641" s="55" t="n"/>
      <c r="D641" s="19" t="n"/>
      <c r="E641" s="24" t="n"/>
      <c r="F641" s="25" t="n"/>
      <c r="G641" s="10" t="n"/>
      <c r="H641" s="8" t="n"/>
      <c r="I641" s="11" t="n"/>
      <c r="J641" s="57" t="n"/>
      <c r="K641" s="12" t="n"/>
      <c r="L641" s="22" t="n"/>
      <c r="M641" s="13" t="n"/>
      <c r="N641" s="14">
        <f>ROUND(I641*(SUM(J641:M641))*68%,0)</f>
        <v/>
      </c>
      <c r="O641" s="61" t="n"/>
      <c r="P641" s="59" t="n"/>
      <c r="Q641" s="59" t="n"/>
      <c r="R641" s="58" t="n"/>
      <c r="S641" s="15">
        <f>I641*J641</f>
        <v/>
      </c>
      <c r="T641" s="15">
        <f>SUM(S641:S641)*68%</f>
        <v/>
      </c>
      <c r="U641" s="15">
        <f>I641*K641*40%*O641</f>
        <v/>
      </c>
      <c r="V641" s="15">
        <f>IF(P641&gt;=6750,(I641*K641*40%),0)</f>
        <v/>
      </c>
      <c r="W641" s="15">
        <f>IF(P641&lt;6750,0,IF(Q641="",0,IF(OR(Q641="KURANG",Q641="SANGAT KURANG"),I641*K641*10%,I641*K641*20%)))</f>
        <v/>
      </c>
      <c r="X641" s="15">
        <f>SUM(U641:W641)*68%</f>
        <v/>
      </c>
      <c r="Y641" s="15">
        <f>I641*L641</f>
        <v/>
      </c>
      <c r="Z641" s="15">
        <f>Y641 * 68%</f>
        <v/>
      </c>
      <c r="AA641" s="15">
        <f>I641*M641</f>
        <v/>
      </c>
      <c r="AB641" s="15">
        <f>AA641*68%</f>
        <v/>
      </c>
      <c r="AC641" s="16">
        <f>ROUND((T641+X641+Z641+AB641),0)</f>
        <v/>
      </c>
      <c r="AD641" s="16">
        <f>AG641</f>
        <v/>
      </c>
      <c r="AE641" s="16">
        <f>AI641</f>
        <v/>
      </c>
      <c r="AF641" s="16">
        <f>AC641+AD641+AE641</f>
        <v/>
      </c>
      <c r="AG641" s="16" t="n"/>
      <c r="AH641" s="17" t="n"/>
      <c r="AI641" s="17">
        <f>AH641*4</f>
        <v/>
      </c>
      <c r="AJ641" s="15">
        <f>AF641-AG641-AH641-AI641</f>
        <v/>
      </c>
      <c r="AK641" s="18" t="n">
        <v>634</v>
      </c>
      <c r="AL641" s="23" t="n"/>
    </row>
    <row r="642" ht="23.5" customHeight="1">
      <c r="A642" s="6" t="inlineStr">
        <is>
          <t>635</t>
        </is>
      </c>
      <c r="B642" s="24" t="n"/>
      <c r="C642" s="55" t="n"/>
      <c r="D642" s="19" t="n"/>
      <c r="E642" s="24" t="n"/>
      <c r="F642" s="25" t="n"/>
      <c r="G642" s="10" t="n"/>
      <c r="H642" s="8" t="n"/>
      <c r="I642" s="11" t="n"/>
      <c r="J642" s="57" t="n"/>
      <c r="K642" s="12" t="n"/>
      <c r="L642" s="22" t="n"/>
      <c r="M642" s="13" t="n"/>
      <c r="N642" s="14">
        <f>ROUND(I642*(SUM(J642:M642))*68%,0)</f>
        <v/>
      </c>
      <c r="O642" s="61" t="n"/>
      <c r="P642" s="59" t="n"/>
      <c r="Q642" s="59" t="n"/>
      <c r="R642" s="58" t="n"/>
      <c r="S642" s="15">
        <f>I642*J642</f>
        <v/>
      </c>
      <c r="T642" s="15">
        <f>SUM(S642:S642)*68%</f>
        <v/>
      </c>
      <c r="U642" s="15">
        <f>I642*K642*40%*O642</f>
        <v/>
      </c>
      <c r="V642" s="15">
        <f>IF(P642&gt;=6750,(I642*K642*40%),0)</f>
        <v/>
      </c>
      <c r="W642" s="15">
        <f>IF(P642&lt;6750,0,IF(Q642="",0,IF(OR(Q642="KURANG",Q642="SANGAT KURANG"),I642*K642*10%,I642*K642*20%)))</f>
        <v/>
      </c>
      <c r="X642" s="15">
        <f>SUM(U642:W642)*68%</f>
        <v/>
      </c>
      <c r="Y642" s="15">
        <f>I642*L642</f>
        <v/>
      </c>
      <c r="Z642" s="15">
        <f>Y642 * 68%</f>
        <v/>
      </c>
      <c r="AA642" s="15">
        <f>I642*M642</f>
        <v/>
      </c>
      <c r="AB642" s="15">
        <f>AA642*68%</f>
        <v/>
      </c>
      <c r="AC642" s="16">
        <f>ROUND((T642+X642+Z642+AB642),0)</f>
        <v/>
      </c>
      <c r="AD642" s="16">
        <f>AG642</f>
        <v/>
      </c>
      <c r="AE642" s="16">
        <f>AI642</f>
        <v/>
      </c>
      <c r="AF642" s="16">
        <f>AC642+AD642+AE642</f>
        <v/>
      </c>
      <c r="AG642" s="16" t="n"/>
      <c r="AH642" s="17" t="n"/>
      <c r="AI642" s="17">
        <f>AH642*4</f>
        <v/>
      </c>
      <c r="AJ642" s="15">
        <f>AF642-AG642-AH642-AI642</f>
        <v/>
      </c>
      <c r="AK642" s="18" t="n">
        <v>635</v>
      </c>
      <c r="AL642" s="40" t="n"/>
    </row>
    <row r="643" ht="23.5" customHeight="1">
      <c r="A643" s="6" t="inlineStr">
        <is>
          <t>636</t>
        </is>
      </c>
      <c r="B643" s="28" t="n"/>
      <c r="C643" s="55" t="n"/>
      <c r="D643" s="19" t="n"/>
      <c r="E643" s="24" t="n"/>
      <c r="F643" s="25" t="n"/>
      <c r="G643" s="10" t="n"/>
      <c r="H643" s="8" t="n"/>
      <c r="I643" s="11" t="n"/>
      <c r="J643" s="57" t="n"/>
      <c r="K643" s="12" t="n"/>
      <c r="L643" s="22" t="n"/>
      <c r="M643" s="13" t="n"/>
      <c r="N643" s="14">
        <f>ROUND(I643*(SUM(J643:M643))*68%,0)</f>
        <v/>
      </c>
      <c r="O643" s="61" t="n"/>
      <c r="P643" s="59" t="n"/>
      <c r="Q643" s="59" t="n"/>
      <c r="R643" s="58" t="n"/>
      <c r="S643" s="15">
        <f>I643*J643</f>
        <v/>
      </c>
      <c r="T643" s="15">
        <f>SUM(S643:S643)*68%</f>
        <v/>
      </c>
      <c r="U643" s="15">
        <f>I643*K643*40%*O643</f>
        <v/>
      </c>
      <c r="V643" s="15">
        <f>IF(P643&gt;=6750,(I643*K643*40%),0)</f>
        <v/>
      </c>
      <c r="W643" s="15">
        <f>IF(P643&lt;6750,0,IF(Q643="",0,IF(OR(Q643="KURANG",Q643="SANGAT KURANG"),I643*K643*10%,I643*K643*20%)))</f>
        <v/>
      </c>
      <c r="X643" s="15">
        <f>SUM(U643:W643)*68%</f>
        <v/>
      </c>
      <c r="Y643" s="15">
        <f>I643*L643</f>
        <v/>
      </c>
      <c r="Z643" s="15">
        <f>Y643 * 68%</f>
        <v/>
      </c>
      <c r="AA643" s="15">
        <f>I643*M643</f>
        <v/>
      </c>
      <c r="AB643" s="15">
        <f>AA643*68%</f>
        <v/>
      </c>
      <c r="AC643" s="16">
        <f>ROUND((T643+X643+Z643+AB643),0)</f>
        <v/>
      </c>
      <c r="AD643" s="16">
        <f>AG643</f>
        <v/>
      </c>
      <c r="AE643" s="16">
        <f>AI643</f>
        <v/>
      </c>
      <c r="AF643" s="16">
        <f>AC643+AD643+AE643</f>
        <v/>
      </c>
      <c r="AG643" s="16" t="n"/>
      <c r="AH643" s="17" t="n"/>
      <c r="AI643" s="17">
        <f>AH643*4</f>
        <v/>
      </c>
      <c r="AJ643" s="15">
        <f>AF643-AG643-AH643-AI643</f>
        <v/>
      </c>
      <c r="AK643" s="18" t="n">
        <v>636</v>
      </c>
      <c r="AL643" s="23" t="n"/>
    </row>
    <row r="644" ht="23.5" customHeight="1">
      <c r="A644" s="6" t="inlineStr">
        <is>
          <t>637</t>
        </is>
      </c>
      <c r="B644" s="30" t="n"/>
      <c r="C644" s="55" t="n"/>
      <c r="D644" s="29" t="n"/>
      <c r="E644" s="30" t="n"/>
      <c r="F644" s="31" t="n"/>
      <c r="G644" s="32" t="n"/>
      <c r="H644" s="33" t="n"/>
      <c r="I644" s="11" t="n"/>
      <c r="J644" s="57" t="n"/>
      <c r="K644" s="12" t="n"/>
      <c r="L644" s="22" t="n"/>
      <c r="M644" s="13" t="n"/>
      <c r="N644" s="14">
        <f>ROUND(I644*(SUM(J644:M644))*68%,0)</f>
        <v/>
      </c>
      <c r="O644" s="61" t="n"/>
      <c r="P644" s="59" t="n"/>
      <c r="Q644" s="59" t="n"/>
      <c r="R644" s="58" t="n"/>
      <c r="S644" s="15">
        <f>I644*J644</f>
        <v/>
      </c>
      <c r="T644" s="15">
        <f>SUM(S644:S644)*68%</f>
        <v/>
      </c>
      <c r="U644" s="15">
        <f>I644*K644*40%*O644</f>
        <v/>
      </c>
      <c r="V644" s="15">
        <f>IF(P644&gt;=6750,(I644*K644*40%),0)</f>
        <v/>
      </c>
      <c r="W644" s="15">
        <f>IF(P644&lt;6750,0,IF(Q644="",0,IF(OR(Q644="KURANG",Q644="SANGAT KURANG"),I644*K644*10%,I644*K644*20%)))</f>
        <v/>
      </c>
      <c r="X644" s="15">
        <f>SUM(U644:W644)*68%</f>
        <v/>
      </c>
      <c r="Y644" s="15">
        <f>I644*L644</f>
        <v/>
      </c>
      <c r="Z644" s="15">
        <f>Y644 * 68%</f>
        <v/>
      </c>
      <c r="AA644" s="15">
        <f>I644*M644</f>
        <v/>
      </c>
      <c r="AB644" s="15">
        <f>AA644*68%</f>
        <v/>
      </c>
      <c r="AC644" s="16">
        <f>ROUND((T644+X644+Z644+AB644),0)</f>
        <v/>
      </c>
      <c r="AD644" s="16">
        <f>AG644</f>
        <v/>
      </c>
      <c r="AE644" s="16">
        <f>AI644</f>
        <v/>
      </c>
      <c r="AF644" s="16">
        <f>AC644+AD644+AE644</f>
        <v/>
      </c>
      <c r="AG644" s="16" t="n"/>
      <c r="AH644" s="17" t="n"/>
      <c r="AI644" s="17">
        <f>AH644*4</f>
        <v/>
      </c>
      <c r="AJ644" s="15">
        <f>AF644-AG644-AH644-AI644</f>
        <v/>
      </c>
      <c r="AK644" s="18" t="n">
        <v>637</v>
      </c>
      <c r="AL644" s="23" t="n"/>
    </row>
    <row r="645" ht="23.5" customHeight="1">
      <c r="A645" s="6" t="inlineStr">
        <is>
          <t>638</t>
        </is>
      </c>
      <c r="B645" s="24" t="n"/>
      <c r="C645" s="55" t="n"/>
      <c r="D645" s="19" t="n"/>
      <c r="E645" s="24" t="n"/>
      <c r="F645" s="25" t="n"/>
      <c r="G645" s="25" t="n"/>
      <c r="H645" s="24" t="n"/>
      <c r="I645" s="11" t="n"/>
      <c r="J645" s="57" t="n"/>
      <c r="K645" s="12" t="n"/>
      <c r="L645" s="22" t="n"/>
      <c r="M645" s="13" t="n"/>
      <c r="N645" s="14">
        <f>ROUND(I645*(SUM(J645:M645))*68%,0)</f>
        <v/>
      </c>
      <c r="O645" s="61" t="n"/>
      <c r="P645" s="59" t="n"/>
      <c r="Q645" s="59" t="n"/>
      <c r="R645" s="58" t="n"/>
      <c r="S645" s="15">
        <f>I645*J645</f>
        <v/>
      </c>
      <c r="T645" s="15">
        <f>SUM(S645:S645)*68%</f>
        <v/>
      </c>
      <c r="U645" s="15">
        <f>I645*K645*40%*O645</f>
        <v/>
      </c>
      <c r="V645" s="15">
        <f>IF(P645&gt;=6750,(I645*K645*40%),0)</f>
        <v/>
      </c>
      <c r="W645" s="15">
        <f>IF(P645&lt;6750,0,IF(Q645="",0,IF(OR(Q645="KURANG",Q645="SANGAT KURANG"),I645*K645*10%,I645*K645*20%)))</f>
        <v/>
      </c>
      <c r="X645" s="15">
        <f>SUM(U645:W645)*68%</f>
        <v/>
      </c>
      <c r="Y645" s="15">
        <f>I645*L645</f>
        <v/>
      </c>
      <c r="Z645" s="15">
        <f>Y645 * 68%</f>
        <v/>
      </c>
      <c r="AA645" s="15">
        <f>I645*M645</f>
        <v/>
      </c>
      <c r="AB645" s="15">
        <f>AA645*68%</f>
        <v/>
      </c>
      <c r="AC645" s="16">
        <f>ROUND((T645+X645+Z645+AB645),0)</f>
        <v/>
      </c>
      <c r="AD645" s="16">
        <f>AG645</f>
        <v/>
      </c>
      <c r="AE645" s="16">
        <f>AI645</f>
        <v/>
      </c>
      <c r="AF645" s="16">
        <f>AC645+AD645+AE645</f>
        <v/>
      </c>
      <c r="AG645" s="16" t="n"/>
      <c r="AH645" s="17" t="n"/>
      <c r="AI645" s="17">
        <f>AH645*4</f>
        <v/>
      </c>
      <c r="AJ645" s="15">
        <f>AF645-AG645-AH645-AI645</f>
        <v/>
      </c>
      <c r="AK645" s="18" t="n">
        <v>638</v>
      </c>
      <c r="AL645" s="40" t="n"/>
    </row>
    <row r="646" ht="23.5" customHeight="1">
      <c r="A646" s="6" t="inlineStr">
        <is>
          <t>639</t>
        </is>
      </c>
      <c r="B646" s="24" t="n"/>
      <c r="C646" s="55" t="n"/>
      <c r="D646" s="19" t="n"/>
      <c r="E646" s="24" t="n"/>
      <c r="F646" s="25" t="n"/>
      <c r="G646" s="25" t="n"/>
      <c r="H646" s="24" t="n"/>
      <c r="I646" s="11" t="n"/>
      <c r="J646" s="57" t="n"/>
      <c r="K646" s="12" t="n"/>
      <c r="L646" s="22" t="n"/>
      <c r="M646" s="13" t="n"/>
      <c r="N646" s="14">
        <f>ROUND(I646*(SUM(J646:M646))*68%,0)</f>
        <v/>
      </c>
      <c r="O646" s="61" t="n"/>
      <c r="P646" s="59" t="n"/>
      <c r="Q646" s="59" t="n"/>
      <c r="R646" s="58" t="n"/>
      <c r="S646" s="15">
        <f>I646*J646</f>
        <v/>
      </c>
      <c r="T646" s="15">
        <f>SUM(S646:S646)*68%</f>
        <v/>
      </c>
      <c r="U646" s="15">
        <f>I646*K646*40%*O646</f>
        <v/>
      </c>
      <c r="V646" s="15">
        <f>IF(P646&gt;=6750,(I646*K646*40%),0)</f>
        <v/>
      </c>
      <c r="W646" s="15">
        <f>IF(P646&lt;6750,0,IF(Q646="",0,IF(OR(Q646="KURANG",Q646="SANGAT KURANG"),I646*K646*10%,I646*K646*20%)))</f>
        <v/>
      </c>
      <c r="X646" s="15">
        <f>SUM(U646:W646)*68%</f>
        <v/>
      </c>
      <c r="Y646" s="15">
        <f>I646*L646</f>
        <v/>
      </c>
      <c r="Z646" s="15">
        <f>Y646 * 68%</f>
        <v/>
      </c>
      <c r="AA646" s="15">
        <f>I646*M646</f>
        <v/>
      </c>
      <c r="AB646" s="15">
        <f>AA646*68%</f>
        <v/>
      </c>
      <c r="AC646" s="16">
        <f>ROUND((T646+X646+Z646+AB646),0)</f>
        <v/>
      </c>
      <c r="AD646" s="16">
        <f>AG646</f>
        <v/>
      </c>
      <c r="AE646" s="16">
        <f>AI646</f>
        <v/>
      </c>
      <c r="AF646" s="16">
        <f>AC646+AD646+AE646</f>
        <v/>
      </c>
      <c r="AG646" s="16" t="n"/>
      <c r="AH646" s="17" t="n"/>
      <c r="AI646" s="17">
        <f>AH646*4</f>
        <v/>
      </c>
      <c r="AJ646" s="15">
        <f>AF646-AG646-AH646-AI646</f>
        <v/>
      </c>
      <c r="AK646" s="18" t="n">
        <v>639</v>
      </c>
      <c r="AL646" s="23" t="n"/>
    </row>
    <row r="647" ht="23.5" customHeight="1">
      <c r="A647" s="6" t="inlineStr">
        <is>
          <t>640</t>
        </is>
      </c>
      <c r="B647" s="24" t="n"/>
      <c r="C647" s="55" t="n"/>
      <c r="D647" s="19" t="n"/>
      <c r="E647" s="24" t="n"/>
      <c r="F647" s="25" t="n"/>
      <c r="G647" s="25" t="n"/>
      <c r="H647" s="24" t="n"/>
      <c r="I647" s="11" t="n"/>
      <c r="J647" s="57" t="n"/>
      <c r="K647" s="12" t="n"/>
      <c r="L647" s="22" t="n"/>
      <c r="M647" s="13" t="n"/>
      <c r="N647" s="14">
        <f>ROUND(I647*(SUM(J647:M647))*68%,0)</f>
        <v/>
      </c>
      <c r="O647" s="61" t="n"/>
      <c r="P647" s="59" t="n"/>
      <c r="Q647" s="59" t="n"/>
      <c r="R647" s="58" t="n"/>
      <c r="S647" s="15">
        <f>I647*J647</f>
        <v/>
      </c>
      <c r="T647" s="15">
        <f>SUM(S647:S647)*68%</f>
        <v/>
      </c>
      <c r="U647" s="15">
        <f>I647*K647*40%*O647</f>
        <v/>
      </c>
      <c r="V647" s="15">
        <f>IF(P647&gt;=6750,(I647*K647*40%),0)</f>
        <v/>
      </c>
      <c r="W647" s="15">
        <f>IF(P647&lt;6750,0,IF(Q647="",0,IF(OR(Q647="KURANG",Q647="SANGAT KURANG"),I647*K647*10%,I647*K647*20%)))</f>
        <v/>
      </c>
      <c r="X647" s="15">
        <f>SUM(U647:W647)*68%</f>
        <v/>
      </c>
      <c r="Y647" s="15">
        <f>I647*L647</f>
        <v/>
      </c>
      <c r="Z647" s="15">
        <f>Y647 * 68%</f>
        <v/>
      </c>
      <c r="AA647" s="15">
        <f>I647*M647</f>
        <v/>
      </c>
      <c r="AB647" s="15">
        <f>AA647*68%</f>
        <v/>
      </c>
      <c r="AC647" s="16">
        <f>ROUND((T647+X647+Z647+AB647),0)</f>
        <v/>
      </c>
      <c r="AD647" s="16">
        <f>AG647</f>
        <v/>
      </c>
      <c r="AE647" s="16">
        <f>AI647</f>
        <v/>
      </c>
      <c r="AF647" s="16">
        <f>AC647+AD647+AE647</f>
        <v/>
      </c>
      <c r="AG647" s="16" t="n"/>
      <c r="AH647" s="17" t="n"/>
      <c r="AI647" s="17">
        <f>AH647*4</f>
        <v/>
      </c>
      <c r="AJ647" s="15">
        <f>AF647-AG647-AH647-AI647</f>
        <v/>
      </c>
      <c r="AK647" s="18" t="n">
        <v>640</v>
      </c>
      <c r="AL647" s="23" t="n"/>
    </row>
    <row r="648" ht="23.5" customHeight="1">
      <c r="A648" s="6" t="inlineStr">
        <is>
          <t>641</t>
        </is>
      </c>
      <c r="B648" s="28" t="n"/>
      <c r="C648" s="55" t="n"/>
      <c r="D648" s="19" t="n"/>
      <c r="E648" s="24" t="n"/>
      <c r="F648" s="25" t="n"/>
      <c r="G648" s="25" t="n"/>
      <c r="H648" s="25" t="n"/>
      <c r="I648" s="11" t="n"/>
      <c r="J648" s="57" t="n"/>
      <c r="K648" s="12" t="n"/>
      <c r="L648" s="22" t="n"/>
      <c r="M648" s="13" t="n"/>
      <c r="N648" s="14">
        <f>ROUND(I648*(SUM(J648:M648))*68%,0)</f>
        <v/>
      </c>
      <c r="O648" s="61" t="n"/>
      <c r="P648" s="59" t="n"/>
      <c r="Q648" s="59" t="n"/>
      <c r="R648" s="58" t="n"/>
      <c r="S648" s="15">
        <f>I648*J648</f>
        <v/>
      </c>
      <c r="T648" s="15">
        <f>SUM(S648:S648)*68%</f>
        <v/>
      </c>
      <c r="U648" s="15">
        <f>I648*K648*40%*O648</f>
        <v/>
      </c>
      <c r="V648" s="15">
        <f>IF(P648&gt;=6750,(I648*K648*40%),0)</f>
        <v/>
      </c>
      <c r="W648" s="15">
        <f>IF(P648&lt;6750,0,IF(Q648="",0,IF(OR(Q648="KURANG",Q648="SANGAT KURANG"),I648*K648*10%,I648*K648*20%)))</f>
        <v/>
      </c>
      <c r="X648" s="15">
        <f>SUM(U648:W648)*68%</f>
        <v/>
      </c>
      <c r="Y648" s="15">
        <f>I648*L648</f>
        <v/>
      </c>
      <c r="Z648" s="15">
        <f>Y648 * 68%</f>
        <v/>
      </c>
      <c r="AA648" s="15">
        <f>I648*M648</f>
        <v/>
      </c>
      <c r="AB648" s="15">
        <f>AA648*68%</f>
        <v/>
      </c>
      <c r="AC648" s="16">
        <f>ROUND((T648+X648+Z648+AB648),0)</f>
        <v/>
      </c>
      <c r="AD648" s="16">
        <f>AG648</f>
        <v/>
      </c>
      <c r="AE648" s="16">
        <f>AI648</f>
        <v/>
      </c>
      <c r="AF648" s="16">
        <f>AC648+AD648+AE648</f>
        <v/>
      </c>
      <c r="AG648" s="16" t="n"/>
      <c r="AH648" s="17" t="n"/>
      <c r="AI648" s="17">
        <f>AH648*4</f>
        <v/>
      </c>
      <c r="AJ648" s="15">
        <f>AF648-AG648-AH648-AI648</f>
        <v/>
      </c>
      <c r="AK648" s="18" t="n">
        <v>641</v>
      </c>
      <c r="AL648" s="40" t="n"/>
    </row>
    <row r="649" ht="23.5" customHeight="1">
      <c r="A649" s="6" t="inlineStr">
        <is>
          <t>642</t>
        </is>
      </c>
      <c r="B649" s="28" t="n"/>
      <c r="C649" s="55" t="n"/>
      <c r="D649" s="19" t="n"/>
      <c r="E649" s="24" t="n"/>
      <c r="F649" s="25" t="n"/>
      <c r="G649" s="25" t="n"/>
      <c r="H649" s="25" t="n"/>
      <c r="I649" s="11" t="n"/>
      <c r="J649" s="57" t="n"/>
      <c r="K649" s="12" t="n"/>
      <c r="L649" s="22" t="n"/>
      <c r="M649" s="13" t="n"/>
      <c r="N649" s="14">
        <f>ROUND(I649*(SUM(J649:M649))*68%,0)</f>
        <v/>
      </c>
      <c r="O649" s="61" t="n"/>
      <c r="P649" s="59" t="n"/>
      <c r="Q649" s="59" t="n"/>
      <c r="R649" s="58" t="n"/>
      <c r="S649" s="15">
        <f>I649*J649</f>
        <v/>
      </c>
      <c r="T649" s="15">
        <f>SUM(S649:S649)*68%</f>
        <v/>
      </c>
      <c r="U649" s="15">
        <f>I649*K649*40%*O649</f>
        <v/>
      </c>
      <c r="V649" s="15">
        <f>IF(P649&gt;=6750,(I649*K649*40%),0)</f>
        <v/>
      </c>
      <c r="W649" s="15">
        <f>IF(P649&lt;6750,0,IF(Q649="",0,IF(OR(Q649="KURANG",Q649="SANGAT KURANG"),I649*K649*10%,I649*K649*20%)))</f>
        <v/>
      </c>
      <c r="X649" s="15">
        <f>SUM(U649:W649)*68%</f>
        <v/>
      </c>
      <c r="Y649" s="15">
        <f>I649*L649</f>
        <v/>
      </c>
      <c r="Z649" s="15">
        <f>Y649 * 68%</f>
        <v/>
      </c>
      <c r="AA649" s="15">
        <f>I649*M649</f>
        <v/>
      </c>
      <c r="AB649" s="15">
        <f>AA649*68%</f>
        <v/>
      </c>
      <c r="AC649" s="16">
        <f>ROUND((T649+X649+Z649+AB649),0)</f>
        <v/>
      </c>
      <c r="AD649" s="16">
        <f>AG649</f>
        <v/>
      </c>
      <c r="AE649" s="16">
        <f>AI649</f>
        <v/>
      </c>
      <c r="AF649" s="16">
        <f>AC649+AD649+AE649</f>
        <v/>
      </c>
      <c r="AG649" s="16" t="n"/>
      <c r="AH649" s="17" t="n"/>
      <c r="AI649" s="17">
        <f>AH649*4</f>
        <v/>
      </c>
      <c r="AJ649" s="15">
        <f>AF649-AG649-AH649-AI649</f>
        <v/>
      </c>
      <c r="AK649" s="18" t="n">
        <v>642</v>
      </c>
      <c r="AL649" s="23" t="n"/>
    </row>
    <row r="650" ht="23.5" customHeight="1">
      <c r="A650" s="6" t="inlineStr">
        <is>
          <t>643</t>
        </is>
      </c>
      <c r="B650" s="28" t="n"/>
      <c r="C650" s="55" t="n"/>
      <c r="D650" s="19" t="n"/>
      <c r="E650" s="24" t="n"/>
      <c r="F650" s="25" t="n"/>
      <c r="G650" s="25" t="n"/>
      <c r="H650" s="25" t="n"/>
      <c r="I650" s="11" t="n"/>
      <c r="J650" s="57" t="n"/>
      <c r="K650" s="12" t="n"/>
      <c r="L650" s="22" t="n"/>
      <c r="M650" s="13" t="n"/>
      <c r="N650" s="14">
        <f>ROUND(I650*(SUM(J650:M650))*68%,0)</f>
        <v/>
      </c>
      <c r="O650" s="61" t="n"/>
      <c r="P650" s="59" t="n"/>
      <c r="Q650" s="59" t="n"/>
      <c r="R650" s="58" t="n"/>
      <c r="S650" s="15">
        <f>I650*J650</f>
        <v/>
      </c>
      <c r="T650" s="15">
        <f>SUM(S650:S650)*68%</f>
        <v/>
      </c>
      <c r="U650" s="15">
        <f>I650*K650*40%*O650</f>
        <v/>
      </c>
      <c r="V650" s="15">
        <f>IF(P650&gt;=6750,(I650*K650*40%),0)</f>
        <v/>
      </c>
      <c r="W650" s="15">
        <f>IF(P650&lt;6750,0,IF(Q650="",0,IF(OR(Q650="KURANG",Q650="SANGAT KURANG"),I650*K650*10%,I650*K650*20%)))</f>
        <v/>
      </c>
      <c r="X650" s="15">
        <f>SUM(U650:W650)*68%</f>
        <v/>
      </c>
      <c r="Y650" s="15">
        <f>I650*L650</f>
        <v/>
      </c>
      <c r="Z650" s="15">
        <f>Y650 * 68%</f>
        <v/>
      </c>
      <c r="AA650" s="15">
        <f>I650*M650</f>
        <v/>
      </c>
      <c r="AB650" s="15">
        <f>AA650*68%</f>
        <v/>
      </c>
      <c r="AC650" s="16">
        <f>ROUND((T650+X650+Z650+AB650),0)</f>
        <v/>
      </c>
      <c r="AD650" s="16">
        <f>AG650</f>
        <v/>
      </c>
      <c r="AE650" s="16">
        <f>AI650</f>
        <v/>
      </c>
      <c r="AF650" s="16">
        <f>AC650+AD650+AE650</f>
        <v/>
      </c>
      <c r="AG650" s="16" t="n"/>
      <c r="AH650" s="17" t="n"/>
      <c r="AI650" s="17">
        <f>AH650*4</f>
        <v/>
      </c>
      <c r="AJ650" s="15">
        <f>AF650-AG650-AH650-AI650</f>
        <v/>
      </c>
      <c r="AK650" s="18" t="n">
        <v>643</v>
      </c>
      <c r="AL650" s="23" t="n"/>
    </row>
    <row r="651" ht="23.5" customHeight="1">
      <c r="A651" s="6" t="inlineStr">
        <is>
          <t>644</t>
        </is>
      </c>
      <c r="B651" s="24" t="n"/>
      <c r="C651" s="55" t="n"/>
      <c r="D651" s="19" t="n"/>
      <c r="E651" s="24" t="n"/>
      <c r="F651" s="25" t="n"/>
      <c r="G651" s="25" t="n"/>
      <c r="H651" s="25" t="n"/>
      <c r="I651" s="11" t="n"/>
      <c r="J651" s="57" t="n"/>
      <c r="K651" s="12" t="n"/>
      <c r="L651" s="22" t="n"/>
      <c r="M651" s="13" t="n"/>
      <c r="N651" s="14">
        <f>ROUND(I651*(SUM(J651:M651))*68%,0)</f>
        <v/>
      </c>
      <c r="O651" s="61" t="n"/>
      <c r="P651" s="59" t="n"/>
      <c r="Q651" s="59" t="n"/>
      <c r="R651" s="58" t="n"/>
      <c r="S651" s="15">
        <f>I651*J651</f>
        <v/>
      </c>
      <c r="T651" s="15">
        <f>SUM(S651:S651)*68%</f>
        <v/>
      </c>
      <c r="U651" s="15">
        <f>I651*K651*40%*O651</f>
        <v/>
      </c>
      <c r="V651" s="15">
        <f>IF(P651&gt;=6750,(I651*K651*40%),0)</f>
        <v/>
      </c>
      <c r="W651" s="15">
        <f>IF(P651&lt;6750,0,IF(Q651="",0,IF(OR(Q651="KURANG",Q651="SANGAT KURANG"),I651*K651*10%,I651*K651*20%)))</f>
        <v/>
      </c>
      <c r="X651" s="15">
        <f>SUM(U651:W651)*68%</f>
        <v/>
      </c>
      <c r="Y651" s="15">
        <f>I651*L651</f>
        <v/>
      </c>
      <c r="Z651" s="15">
        <f>Y651 * 68%</f>
        <v/>
      </c>
      <c r="AA651" s="15">
        <f>I651*M651</f>
        <v/>
      </c>
      <c r="AB651" s="15">
        <f>AA651*68%</f>
        <v/>
      </c>
      <c r="AC651" s="16">
        <f>ROUND((T651+X651+Z651+AB651),0)</f>
        <v/>
      </c>
      <c r="AD651" s="16">
        <f>AG651</f>
        <v/>
      </c>
      <c r="AE651" s="16">
        <f>AI651</f>
        <v/>
      </c>
      <c r="AF651" s="16">
        <f>AC651+AD651+AE651</f>
        <v/>
      </c>
      <c r="AG651" s="16" t="n"/>
      <c r="AH651" s="17" t="n"/>
      <c r="AI651" s="17">
        <f>AH651*4</f>
        <v/>
      </c>
      <c r="AJ651" s="15">
        <f>AF651-AG651-AH651-AI651</f>
        <v/>
      </c>
      <c r="AK651" s="18" t="n">
        <v>644</v>
      </c>
      <c r="AL651" s="40" t="n"/>
    </row>
    <row r="652" ht="23.5" customHeight="1">
      <c r="A652" s="6" t="inlineStr">
        <is>
          <t>645</t>
        </is>
      </c>
      <c r="B652" s="24" t="n"/>
      <c r="C652" s="55" t="n"/>
      <c r="D652" s="19" t="n"/>
      <c r="E652" s="24" t="n"/>
      <c r="F652" s="25" t="n"/>
      <c r="G652" s="25" t="n"/>
      <c r="H652" s="25" t="n"/>
      <c r="I652" s="11" t="n"/>
      <c r="J652" s="57" t="n"/>
      <c r="K652" s="12" t="n"/>
      <c r="L652" s="22" t="n"/>
      <c r="M652" s="13" t="n"/>
      <c r="N652" s="14">
        <f>ROUND(I652*(SUM(J652:M652))*68%,0)</f>
        <v/>
      </c>
      <c r="O652" s="61" t="n"/>
      <c r="P652" s="59" t="n"/>
      <c r="Q652" s="59" t="n"/>
      <c r="R652" s="58" t="n"/>
      <c r="S652" s="15">
        <f>I652*J652</f>
        <v/>
      </c>
      <c r="T652" s="15">
        <f>SUM(S652:S652)*68%</f>
        <v/>
      </c>
      <c r="U652" s="15">
        <f>I652*K652*40%*O652</f>
        <v/>
      </c>
      <c r="V652" s="15">
        <f>IF(P652&gt;=6750,(I652*K652*40%),0)</f>
        <v/>
      </c>
      <c r="W652" s="15">
        <f>IF(P652&lt;6750,0,IF(Q652="",0,IF(OR(Q652="KURANG",Q652="SANGAT KURANG"),I652*K652*10%,I652*K652*20%)))</f>
        <v/>
      </c>
      <c r="X652" s="15">
        <f>SUM(U652:W652)*68%</f>
        <v/>
      </c>
      <c r="Y652" s="15">
        <f>I652*L652</f>
        <v/>
      </c>
      <c r="Z652" s="15">
        <f>Y652 * 68%</f>
        <v/>
      </c>
      <c r="AA652" s="15">
        <f>I652*M652</f>
        <v/>
      </c>
      <c r="AB652" s="15">
        <f>AA652*68%</f>
        <v/>
      </c>
      <c r="AC652" s="16">
        <f>ROUND((T652+X652+Z652+AB652),0)</f>
        <v/>
      </c>
      <c r="AD652" s="16">
        <f>AG652</f>
        <v/>
      </c>
      <c r="AE652" s="16">
        <f>AI652</f>
        <v/>
      </c>
      <c r="AF652" s="16">
        <f>AC652+AD652+AE652</f>
        <v/>
      </c>
      <c r="AG652" s="16" t="n"/>
      <c r="AH652" s="17" t="n"/>
      <c r="AI652" s="17">
        <f>AH652*4</f>
        <v/>
      </c>
      <c r="AJ652" s="15">
        <f>AF652-AG652-AH652-AI652</f>
        <v/>
      </c>
      <c r="AK652" s="18" t="n">
        <v>645</v>
      </c>
      <c r="AL652" s="23" t="n"/>
    </row>
    <row r="653" ht="23.5" customHeight="1">
      <c r="A653" s="6" t="inlineStr">
        <is>
          <t>646</t>
        </is>
      </c>
      <c r="B653" s="28" t="n"/>
      <c r="C653" s="55" t="n"/>
      <c r="D653" s="19" t="n"/>
      <c r="E653" s="24" t="n"/>
      <c r="F653" s="25" t="n"/>
      <c r="G653" s="25" t="n"/>
      <c r="H653" s="25" t="n"/>
      <c r="I653" s="11" t="n"/>
      <c r="J653" s="57" t="n"/>
      <c r="K653" s="12" t="n"/>
      <c r="L653" s="22" t="n"/>
      <c r="M653" s="13" t="n"/>
      <c r="N653" s="14">
        <f>ROUND(I653*(SUM(J653:M653))*68%,0)</f>
        <v/>
      </c>
      <c r="O653" s="61" t="n"/>
      <c r="P653" s="59" t="n"/>
      <c r="Q653" s="59" t="n"/>
      <c r="R653" s="58" t="n"/>
      <c r="S653" s="15">
        <f>I653*J653</f>
        <v/>
      </c>
      <c r="T653" s="15">
        <f>SUM(S653:S653)*68%</f>
        <v/>
      </c>
      <c r="U653" s="15">
        <f>I653*K653*40%*O653</f>
        <v/>
      </c>
      <c r="V653" s="15">
        <f>IF(P653&gt;=6750,(I653*K653*40%),0)</f>
        <v/>
      </c>
      <c r="W653" s="15">
        <f>IF(P653&lt;6750,0,IF(Q653="",0,IF(OR(Q653="KURANG",Q653="SANGAT KURANG"),I653*K653*10%,I653*K653*20%)))</f>
        <v/>
      </c>
      <c r="X653" s="15">
        <f>SUM(U653:W653)*68%</f>
        <v/>
      </c>
      <c r="Y653" s="15">
        <f>I653*L653</f>
        <v/>
      </c>
      <c r="Z653" s="15">
        <f>Y653 * 68%</f>
        <v/>
      </c>
      <c r="AA653" s="15">
        <f>I653*M653</f>
        <v/>
      </c>
      <c r="AB653" s="15">
        <f>AA653*68%</f>
        <v/>
      </c>
      <c r="AC653" s="16">
        <f>ROUND((T653+X653+Z653+AB653),0)</f>
        <v/>
      </c>
      <c r="AD653" s="16">
        <f>AG653</f>
        <v/>
      </c>
      <c r="AE653" s="16">
        <f>AI653</f>
        <v/>
      </c>
      <c r="AF653" s="16">
        <f>AC653+AD653+AE653</f>
        <v/>
      </c>
      <c r="AG653" s="16" t="n"/>
      <c r="AH653" s="17" t="n"/>
      <c r="AI653" s="17">
        <f>AH653*4</f>
        <v/>
      </c>
      <c r="AJ653" s="15">
        <f>AF653-AG653-AH653-AI653</f>
        <v/>
      </c>
      <c r="AK653" s="18" t="n">
        <v>646</v>
      </c>
      <c r="AL653" s="23" t="n"/>
    </row>
    <row r="654" ht="23.5" customHeight="1">
      <c r="A654" s="6" t="inlineStr">
        <is>
          <t>647</t>
        </is>
      </c>
      <c r="B654" s="28" t="n"/>
      <c r="C654" s="55" t="n"/>
      <c r="D654" s="19" t="n"/>
      <c r="E654" s="24" t="n"/>
      <c r="F654" s="25" t="n"/>
      <c r="G654" s="25" t="n"/>
      <c r="H654" s="25" t="n"/>
      <c r="I654" s="11" t="n"/>
      <c r="J654" s="57" t="n"/>
      <c r="K654" s="12" t="n"/>
      <c r="L654" s="22" t="n"/>
      <c r="M654" s="13" t="n"/>
      <c r="N654" s="14">
        <f>ROUND(I654*(SUM(J654:M654))*68%,0)</f>
        <v/>
      </c>
      <c r="O654" s="61" t="n"/>
      <c r="P654" s="59" t="n"/>
      <c r="Q654" s="59" t="n"/>
      <c r="R654" s="58" t="n"/>
      <c r="S654" s="15">
        <f>I654*J654</f>
        <v/>
      </c>
      <c r="T654" s="15">
        <f>SUM(S654:S654)*68%</f>
        <v/>
      </c>
      <c r="U654" s="15">
        <f>I654*K654*40%*O654</f>
        <v/>
      </c>
      <c r="V654" s="15">
        <f>IF(P654&gt;=6750,(I654*K654*40%),0)</f>
        <v/>
      </c>
      <c r="W654" s="15">
        <f>IF(P654&lt;6750,0,IF(Q654="",0,IF(OR(Q654="KURANG",Q654="SANGAT KURANG"),I654*K654*10%,I654*K654*20%)))</f>
        <v/>
      </c>
      <c r="X654" s="15">
        <f>SUM(U654:W654)*68%</f>
        <v/>
      </c>
      <c r="Y654" s="15">
        <f>I654*L654</f>
        <v/>
      </c>
      <c r="Z654" s="15">
        <f>Y654 * 68%</f>
        <v/>
      </c>
      <c r="AA654" s="15">
        <f>I654*M654</f>
        <v/>
      </c>
      <c r="AB654" s="15">
        <f>AA654*68%</f>
        <v/>
      </c>
      <c r="AC654" s="16">
        <f>ROUND((T654+X654+Z654+AB654),0)</f>
        <v/>
      </c>
      <c r="AD654" s="16">
        <f>AG654</f>
        <v/>
      </c>
      <c r="AE654" s="16">
        <f>AI654</f>
        <v/>
      </c>
      <c r="AF654" s="16">
        <f>AC654+AD654+AE654</f>
        <v/>
      </c>
      <c r="AG654" s="16" t="n"/>
      <c r="AH654" s="17" t="n"/>
      <c r="AI654" s="17">
        <f>AH654*4</f>
        <v/>
      </c>
      <c r="AJ654" s="15">
        <f>AF654-AG654-AH654-AI654</f>
        <v/>
      </c>
      <c r="AK654" s="18" t="n">
        <v>647</v>
      </c>
      <c r="AL654" s="40" t="n"/>
    </row>
    <row r="655" ht="23.5" customHeight="1">
      <c r="A655" s="6" t="inlineStr">
        <is>
          <t>648</t>
        </is>
      </c>
      <c r="B655" s="24" t="n"/>
      <c r="C655" s="55" t="n"/>
      <c r="D655" s="19" t="n"/>
      <c r="E655" s="24" t="n"/>
      <c r="F655" s="25" t="n"/>
      <c r="G655" s="25" t="n"/>
      <c r="H655" s="25" t="n"/>
      <c r="I655" s="11" t="n"/>
      <c r="J655" s="57" t="n"/>
      <c r="K655" s="12" t="n"/>
      <c r="L655" s="22" t="n"/>
      <c r="M655" s="13" t="n"/>
      <c r="N655" s="14">
        <f>ROUND(I655*(SUM(J655:M655))*68%,0)</f>
        <v/>
      </c>
      <c r="O655" s="61" t="n"/>
      <c r="P655" s="59" t="n"/>
      <c r="Q655" s="59" t="n"/>
      <c r="R655" s="58" t="n"/>
      <c r="S655" s="15">
        <f>I655*J655</f>
        <v/>
      </c>
      <c r="T655" s="15">
        <f>SUM(S655:S655)*68%</f>
        <v/>
      </c>
      <c r="U655" s="15">
        <f>I655*K655*40%*O655</f>
        <v/>
      </c>
      <c r="V655" s="15">
        <f>IF(P655&gt;=6750,(I655*K655*40%),0)</f>
        <v/>
      </c>
      <c r="W655" s="15">
        <f>IF(P655&lt;6750,0,IF(Q655="",0,IF(OR(Q655="KURANG",Q655="SANGAT KURANG"),I655*K655*10%,I655*K655*20%)))</f>
        <v/>
      </c>
      <c r="X655" s="15">
        <f>SUM(U655:W655)*68%</f>
        <v/>
      </c>
      <c r="Y655" s="15">
        <f>I655*L655</f>
        <v/>
      </c>
      <c r="Z655" s="15">
        <f>Y655 * 68%</f>
        <v/>
      </c>
      <c r="AA655" s="15">
        <f>I655*M655</f>
        <v/>
      </c>
      <c r="AB655" s="15">
        <f>AA655*68%</f>
        <v/>
      </c>
      <c r="AC655" s="16">
        <f>ROUND((T655+X655+Z655+AB655),0)</f>
        <v/>
      </c>
      <c r="AD655" s="16">
        <f>AG655</f>
        <v/>
      </c>
      <c r="AE655" s="16">
        <f>AI655</f>
        <v/>
      </c>
      <c r="AF655" s="16">
        <f>AC655+AD655+AE655</f>
        <v/>
      </c>
      <c r="AG655" s="16" t="n"/>
      <c r="AH655" s="17" t="n"/>
      <c r="AI655" s="17">
        <f>AH655*4</f>
        <v/>
      </c>
      <c r="AJ655" s="15">
        <f>AF655-AG655-AH655-AI655</f>
        <v/>
      </c>
      <c r="AK655" s="18" t="n">
        <v>648</v>
      </c>
      <c r="AL655" s="23" t="n"/>
    </row>
    <row r="656" ht="23.5" customHeight="1">
      <c r="A656" s="6" t="inlineStr">
        <is>
          <t>649</t>
        </is>
      </c>
      <c r="B656" s="24" t="n"/>
      <c r="C656" s="55" t="n"/>
      <c r="D656" s="19" t="n"/>
      <c r="E656" s="24" t="n"/>
      <c r="F656" s="25" t="n"/>
      <c r="G656" s="25" t="n"/>
      <c r="H656" s="25" t="n"/>
      <c r="I656" s="11" t="n"/>
      <c r="J656" s="57" t="n"/>
      <c r="K656" s="12" t="n"/>
      <c r="L656" s="22" t="n"/>
      <c r="M656" s="13" t="n"/>
      <c r="N656" s="14">
        <f>ROUND(I656*(SUM(J656:M656))*68%,0)</f>
        <v/>
      </c>
      <c r="O656" s="61" t="n"/>
      <c r="P656" s="59" t="n"/>
      <c r="Q656" s="59" t="n"/>
      <c r="R656" s="58" t="n"/>
      <c r="S656" s="15">
        <f>I656*J656</f>
        <v/>
      </c>
      <c r="T656" s="15">
        <f>SUM(S656:S656)*68%</f>
        <v/>
      </c>
      <c r="U656" s="15">
        <f>I656*K656*40%*O656</f>
        <v/>
      </c>
      <c r="V656" s="15">
        <f>IF(P656&gt;=6750,(I656*K656*40%),0)</f>
        <v/>
      </c>
      <c r="W656" s="15">
        <f>IF(P656&lt;6750,0,IF(Q656="",0,IF(OR(Q656="KURANG",Q656="SANGAT KURANG"),I656*K656*10%,I656*K656*20%)))</f>
        <v/>
      </c>
      <c r="X656" s="15">
        <f>SUM(U656:W656)*68%</f>
        <v/>
      </c>
      <c r="Y656" s="15">
        <f>I656*L656</f>
        <v/>
      </c>
      <c r="Z656" s="15">
        <f>Y656 * 68%</f>
        <v/>
      </c>
      <c r="AA656" s="15">
        <f>I656*M656</f>
        <v/>
      </c>
      <c r="AB656" s="15">
        <f>AA656*68%</f>
        <v/>
      </c>
      <c r="AC656" s="16">
        <f>ROUND((T656+X656+Z656+AB656),0)</f>
        <v/>
      </c>
      <c r="AD656" s="16">
        <f>AG656</f>
        <v/>
      </c>
      <c r="AE656" s="16">
        <f>AI656</f>
        <v/>
      </c>
      <c r="AF656" s="16">
        <f>AC656+AD656+AE656</f>
        <v/>
      </c>
      <c r="AG656" s="16" t="n"/>
      <c r="AH656" s="17" t="n"/>
      <c r="AI656" s="17">
        <f>AH656*4</f>
        <v/>
      </c>
      <c r="AJ656" s="15">
        <f>AF656-AG656-AH656-AI656</f>
        <v/>
      </c>
      <c r="AK656" s="18" t="n">
        <v>649</v>
      </c>
      <c r="AL656" s="23" t="n"/>
    </row>
    <row r="657" ht="23.5" customHeight="1">
      <c r="A657" s="6" t="inlineStr">
        <is>
          <t>650</t>
        </is>
      </c>
      <c r="B657" s="24" t="n"/>
      <c r="C657" s="55" t="n"/>
      <c r="D657" s="19" t="n"/>
      <c r="E657" s="24" t="n"/>
      <c r="F657" s="25" t="n"/>
      <c r="G657" s="25" t="n"/>
      <c r="H657" s="25" t="n"/>
      <c r="I657" s="11" t="n"/>
      <c r="J657" s="57" t="n"/>
      <c r="K657" s="12" t="n"/>
      <c r="L657" s="22" t="n"/>
      <c r="M657" s="13" t="n"/>
      <c r="N657" s="14">
        <f>ROUND(I657*(SUM(J657:M657))*68%,0)</f>
        <v/>
      </c>
      <c r="O657" s="61" t="n"/>
      <c r="P657" s="59" t="n"/>
      <c r="Q657" s="59" t="n"/>
      <c r="R657" s="58" t="n"/>
      <c r="S657" s="15">
        <f>I657*J657</f>
        <v/>
      </c>
      <c r="T657" s="15">
        <f>SUM(S657:S657)*68%</f>
        <v/>
      </c>
      <c r="U657" s="15">
        <f>I657*K657*40%*O657</f>
        <v/>
      </c>
      <c r="V657" s="15">
        <f>IF(P657&gt;=6750,(I657*K657*40%),0)</f>
        <v/>
      </c>
      <c r="W657" s="15">
        <f>IF(P657&lt;6750,0,IF(Q657="",0,IF(OR(Q657="KURANG",Q657="SANGAT KURANG"),I657*K657*10%,I657*K657*20%)))</f>
        <v/>
      </c>
      <c r="X657" s="15">
        <f>SUM(U657:W657)*68%</f>
        <v/>
      </c>
      <c r="Y657" s="15">
        <f>I657*L657</f>
        <v/>
      </c>
      <c r="Z657" s="15">
        <f>Y657 * 68%</f>
        <v/>
      </c>
      <c r="AA657" s="15">
        <f>I657*M657</f>
        <v/>
      </c>
      <c r="AB657" s="15">
        <f>AA657*68%</f>
        <v/>
      </c>
      <c r="AC657" s="16">
        <f>ROUND((T657+X657+Z657+AB657),0)</f>
        <v/>
      </c>
      <c r="AD657" s="16">
        <f>AG657</f>
        <v/>
      </c>
      <c r="AE657" s="16">
        <f>AI657</f>
        <v/>
      </c>
      <c r="AF657" s="16">
        <f>AC657+AD657+AE657</f>
        <v/>
      </c>
      <c r="AG657" s="16" t="n"/>
      <c r="AH657" s="17" t="n"/>
      <c r="AI657" s="17">
        <f>AH657*4</f>
        <v/>
      </c>
      <c r="AJ657" s="15">
        <f>AF657-AG657-AH657-AI657</f>
        <v/>
      </c>
      <c r="AK657" s="18" t="n">
        <v>650</v>
      </c>
      <c r="AL657" s="40" t="n"/>
    </row>
    <row r="658" ht="23.5" customHeight="1">
      <c r="A658" s="6" t="inlineStr">
        <is>
          <t>651</t>
        </is>
      </c>
      <c r="B658" s="24" t="n"/>
      <c r="C658" s="55" t="n"/>
      <c r="D658" s="19" t="n"/>
      <c r="E658" s="24" t="n"/>
      <c r="F658" s="25" t="n"/>
      <c r="G658" s="25" t="n"/>
      <c r="H658" s="25" t="n"/>
      <c r="I658" s="11" t="n"/>
      <c r="J658" s="57" t="n"/>
      <c r="K658" s="12" t="n"/>
      <c r="L658" s="22" t="n"/>
      <c r="M658" s="13" t="n"/>
      <c r="N658" s="14">
        <f>ROUND(I658*(SUM(J658:M658))*68%,0)</f>
        <v/>
      </c>
      <c r="O658" s="61" t="n"/>
      <c r="P658" s="59" t="n"/>
      <c r="Q658" s="59" t="n"/>
      <c r="R658" s="58" t="n"/>
      <c r="S658" s="15">
        <f>I658*J658</f>
        <v/>
      </c>
      <c r="T658" s="15">
        <f>SUM(S658:S658)*68%</f>
        <v/>
      </c>
      <c r="U658" s="15">
        <f>I658*K658*40%*O658</f>
        <v/>
      </c>
      <c r="V658" s="15">
        <f>IF(P658&gt;=6750,(I658*K658*40%),0)</f>
        <v/>
      </c>
      <c r="W658" s="15">
        <f>IF(P658&lt;6750,0,IF(Q658="",0,IF(OR(Q658="KURANG",Q658="SANGAT KURANG"),I658*K658*10%,I658*K658*20%)))</f>
        <v/>
      </c>
      <c r="X658" s="15">
        <f>SUM(U658:W658)*68%</f>
        <v/>
      </c>
      <c r="Y658" s="15">
        <f>I658*L658</f>
        <v/>
      </c>
      <c r="Z658" s="15">
        <f>Y658 * 68%</f>
        <v/>
      </c>
      <c r="AA658" s="15">
        <f>I658*M658</f>
        <v/>
      </c>
      <c r="AB658" s="15">
        <f>AA658*68%</f>
        <v/>
      </c>
      <c r="AC658" s="16">
        <f>ROUND((T658+X658+Z658+AB658),0)</f>
        <v/>
      </c>
      <c r="AD658" s="16">
        <f>AG658</f>
        <v/>
      </c>
      <c r="AE658" s="16">
        <f>AI658</f>
        <v/>
      </c>
      <c r="AF658" s="16">
        <f>AC658+AD658+AE658</f>
        <v/>
      </c>
      <c r="AG658" s="16" t="n"/>
      <c r="AH658" s="17" t="n"/>
      <c r="AI658" s="17">
        <f>AH658*4</f>
        <v/>
      </c>
      <c r="AJ658" s="15">
        <f>AF658-AG658-AH658-AI658</f>
        <v/>
      </c>
      <c r="AK658" s="18" t="n">
        <v>651</v>
      </c>
      <c r="AL658" s="23" t="n"/>
    </row>
    <row r="659" ht="23.5" customHeight="1">
      <c r="A659" s="6" t="inlineStr">
        <is>
          <t>652</t>
        </is>
      </c>
      <c r="B659" s="24" t="n"/>
      <c r="C659" s="55" t="n"/>
      <c r="D659" s="19" t="n"/>
      <c r="E659" s="24" t="n"/>
      <c r="F659" s="25" t="n"/>
      <c r="G659" s="25" t="n"/>
      <c r="H659" s="25" t="n"/>
      <c r="I659" s="11" t="n"/>
      <c r="J659" s="57" t="n"/>
      <c r="K659" s="12" t="n"/>
      <c r="L659" s="22" t="n"/>
      <c r="M659" s="13" t="n"/>
      <c r="N659" s="14">
        <f>ROUND(I659*(SUM(J659:M659))*68%,0)</f>
        <v/>
      </c>
      <c r="O659" s="61" t="n"/>
      <c r="P659" s="59" t="n"/>
      <c r="Q659" s="59" t="n"/>
      <c r="R659" s="58" t="n"/>
      <c r="S659" s="15">
        <f>I659*J659</f>
        <v/>
      </c>
      <c r="T659" s="15">
        <f>SUM(S659:S659)*68%</f>
        <v/>
      </c>
      <c r="U659" s="15">
        <f>I659*K659*40%*O659</f>
        <v/>
      </c>
      <c r="V659" s="15">
        <f>IF(P659&gt;=6750,(I659*K659*40%),0)</f>
        <v/>
      </c>
      <c r="W659" s="15">
        <f>IF(P659&lt;6750,0,IF(Q659="",0,IF(OR(Q659="KURANG",Q659="SANGAT KURANG"),I659*K659*10%,I659*K659*20%)))</f>
        <v/>
      </c>
      <c r="X659" s="15">
        <f>SUM(U659:W659)*68%</f>
        <v/>
      </c>
      <c r="Y659" s="15">
        <f>I659*L659</f>
        <v/>
      </c>
      <c r="Z659" s="15">
        <f>Y659 * 68%</f>
        <v/>
      </c>
      <c r="AA659" s="15">
        <f>I659*M659</f>
        <v/>
      </c>
      <c r="AB659" s="15">
        <f>AA659*68%</f>
        <v/>
      </c>
      <c r="AC659" s="16">
        <f>ROUND((T659+X659+Z659+AB659),0)</f>
        <v/>
      </c>
      <c r="AD659" s="16">
        <f>AG659</f>
        <v/>
      </c>
      <c r="AE659" s="16">
        <f>AI659</f>
        <v/>
      </c>
      <c r="AF659" s="16">
        <f>AC659+AD659+AE659</f>
        <v/>
      </c>
      <c r="AG659" s="16" t="n"/>
      <c r="AH659" s="17" t="n"/>
      <c r="AI659" s="17">
        <f>AH659*4</f>
        <v/>
      </c>
      <c r="AJ659" s="15">
        <f>AF659-AG659-AH659-AI659</f>
        <v/>
      </c>
      <c r="AK659" s="18" t="n">
        <v>652</v>
      </c>
      <c r="AL659" s="23" t="n"/>
    </row>
    <row r="660" ht="23.5" customHeight="1">
      <c r="A660" s="6" t="inlineStr">
        <is>
          <t>653</t>
        </is>
      </c>
      <c r="B660" s="24" t="n"/>
      <c r="C660" s="55" t="n"/>
      <c r="D660" s="19" t="n"/>
      <c r="E660" s="24" t="n"/>
      <c r="F660" s="25" t="n"/>
      <c r="G660" s="25" t="n"/>
      <c r="H660" s="25" t="n"/>
      <c r="I660" s="11" t="n"/>
      <c r="J660" s="57" t="n"/>
      <c r="K660" s="12" t="n"/>
      <c r="L660" s="22" t="n"/>
      <c r="M660" s="13" t="n"/>
      <c r="N660" s="14">
        <f>ROUND(I660*(SUM(J660:M660))*68%,0)</f>
        <v/>
      </c>
      <c r="O660" s="61" t="n"/>
      <c r="P660" s="59" t="n"/>
      <c r="Q660" s="59" t="n"/>
      <c r="R660" s="58" t="n"/>
      <c r="S660" s="15">
        <f>I660*J660</f>
        <v/>
      </c>
      <c r="T660" s="15">
        <f>SUM(S660:S660)*68%</f>
        <v/>
      </c>
      <c r="U660" s="15">
        <f>I660*K660*40%*O660</f>
        <v/>
      </c>
      <c r="V660" s="15">
        <f>IF(P660&gt;=6750,(I660*K660*40%),0)</f>
        <v/>
      </c>
      <c r="W660" s="15">
        <f>IF(P660&lt;6750,0,IF(Q660="",0,IF(OR(Q660="KURANG",Q660="SANGAT KURANG"),I660*K660*10%,I660*K660*20%)))</f>
        <v/>
      </c>
      <c r="X660" s="15">
        <f>SUM(U660:W660)*68%</f>
        <v/>
      </c>
      <c r="Y660" s="15">
        <f>I660*L660</f>
        <v/>
      </c>
      <c r="Z660" s="15">
        <f>Y660 * 68%</f>
        <v/>
      </c>
      <c r="AA660" s="15">
        <f>I660*M660</f>
        <v/>
      </c>
      <c r="AB660" s="15">
        <f>AA660*68%</f>
        <v/>
      </c>
      <c r="AC660" s="16">
        <f>ROUND((T660+X660+Z660+AB660),0)</f>
        <v/>
      </c>
      <c r="AD660" s="16">
        <f>AG660</f>
        <v/>
      </c>
      <c r="AE660" s="16">
        <f>AI660</f>
        <v/>
      </c>
      <c r="AF660" s="16">
        <f>AC660+AD660+AE660</f>
        <v/>
      </c>
      <c r="AG660" s="16" t="n"/>
      <c r="AH660" s="17" t="n"/>
      <c r="AI660" s="17">
        <f>AH660*4</f>
        <v/>
      </c>
      <c r="AJ660" s="15">
        <f>AF660-AG660-AH660-AI660</f>
        <v/>
      </c>
      <c r="AK660" s="18" t="n">
        <v>653</v>
      </c>
      <c r="AL660" s="40" t="n"/>
    </row>
    <row r="661" ht="23.5" customHeight="1">
      <c r="A661" s="6" t="inlineStr">
        <is>
          <t>654</t>
        </is>
      </c>
      <c r="B661" s="28" t="n"/>
      <c r="C661" s="55" t="n"/>
      <c r="D661" s="19" t="n"/>
      <c r="E661" s="24" t="n"/>
      <c r="F661" s="25" t="n"/>
      <c r="G661" s="25" t="n"/>
      <c r="H661" s="25" t="n"/>
      <c r="I661" s="11" t="n"/>
      <c r="J661" s="57" t="n"/>
      <c r="K661" s="12" t="n"/>
      <c r="L661" s="22" t="n"/>
      <c r="M661" s="13" t="n"/>
      <c r="N661" s="14">
        <f>ROUND(I661*(SUM(J661:M661))*68%,0)</f>
        <v/>
      </c>
      <c r="O661" s="61" t="n"/>
      <c r="P661" s="59" t="n"/>
      <c r="Q661" s="59" t="n"/>
      <c r="R661" s="58" t="n"/>
      <c r="S661" s="15">
        <f>I661*J661</f>
        <v/>
      </c>
      <c r="T661" s="15">
        <f>SUM(S661:S661)*68%</f>
        <v/>
      </c>
      <c r="U661" s="15">
        <f>I661*K661*40%*O661</f>
        <v/>
      </c>
      <c r="V661" s="15">
        <f>IF(P661&gt;=6750,(I661*K661*40%),0)</f>
        <v/>
      </c>
      <c r="W661" s="15">
        <f>IF(P661&lt;6750,0,IF(Q661="",0,IF(OR(Q661="KURANG",Q661="SANGAT KURANG"),I661*K661*10%,I661*K661*20%)))</f>
        <v/>
      </c>
      <c r="X661" s="15">
        <f>SUM(U661:W661)*68%</f>
        <v/>
      </c>
      <c r="Y661" s="15">
        <f>I661*L661</f>
        <v/>
      </c>
      <c r="Z661" s="15">
        <f>Y661 * 68%</f>
        <v/>
      </c>
      <c r="AA661" s="15">
        <f>I661*M661</f>
        <v/>
      </c>
      <c r="AB661" s="15">
        <f>AA661*68%</f>
        <v/>
      </c>
      <c r="AC661" s="16">
        <f>ROUND((T661+X661+Z661+AB661),0)</f>
        <v/>
      </c>
      <c r="AD661" s="16">
        <f>AG661</f>
        <v/>
      </c>
      <c r="AE661" s="16">
        <f>AI661</f>
        <v/>
      </c>
      <c r="AF661" s="16">
        <f>AC661+AD661+AE661</f>
        <v/>
      </c>
      <c r="AG661" s="16" t="n"/>
      <c r="AH661" s="17" t="n"/>
      <c r="AI661" s="17">
        <f>AH661*4</f>
        <v/>
      </c>
      <c r="AJ661" s="15">
        <f>AF661-AG661-AH661-AI661</f>
        <v/>
      </c>
      <c r="AK661" s="18" t="n">
        <v>654</v>
      </c>
      <c r="AL661" s="23" t="n"/>
    </row>
    <row r="662" ht="23.5" customHeight="1">
      <c r="A662" s="6" t="inlineStr">
        <is>
          <t>655</t>
        </is>
      </c>
      <c r="B662" s="28" t="n"/>
      <c r="C662" s="55" t="n"/>
      <c r="D662" s="19" t="n"/>
      <c r="E662" s="24" t="n"/>
      <c r="F662" s="25" t="n"/>
      <c r="G662" s="25" t="n"/>
      <c r="H662" s="25" t="n"/>
      <c r="I662" s="11" t="n"/>
      <c r="J662" s="57" t="n"/>
      <c r="K662" s="12" t="n"/>
      <c r="L662" s="22" t="n"/>
      <c r="M662" s="13" t="n"/>
      <c r="N662" s="14">
        <f>ROUND(I662*(SUM(J662:M662))*68%,0)</f>
        <v/>
      </c>
      <c r="O662" s="61" t="n"/>
      <c r="P662" s="59" t="n"/>
      <c r="Q662" s="59" t="n"/>
      <c r="R662" s="58" t="n"/>
      <c r="S662" s="15">
        <f>I662*J662</f>
        <v/>
      </c>
      <c r="T662" s="15">
        <f>SUM(S662:S662)*68%</f>
        <v/>
      </c>
      <c r="U662" s="15">
        <f>I662*K662*40%*O662</f>
        <v/>
      </c>
      <c r="V662" s="15">
        <f>IF(P662&gt;=6750,(I662*K662*40%),0)</f>
        <v/>
      </c>
      <c r="W662" s="15">
        <f>IF(P662&lt;6750,0,IF(Q662="",0,IF(OR(Q662="KURANG",Q662="SANGAT KURANG"),I662*K662*10%,I662*K662*20%)))</f>
        <v/>
      </c>
      <c r="X662" s="15">
        <f>SUM(U662:W662)*68%</f>
        <v/>
      </c>
      <c r="Y662" s="15">
        <f>I662*L662</f>
        <v/>
      </c>
      <c r="Z662" s="15">
        <f>Y662 * 68%</f>
        <v/>
      </c>
      <c r="AA662" s="15">
        <f>I662*M662</f>
        <v/>
      </c>
      <c r="AB662" s="15">
        <f>AA662*68%</f>
        <v/>
      </c>
      <c r="AC662" s="16">
        <f>ROUND((T662+X662+Z662+AB662),0)</f>
        <v/>
      </c>
      <c r="AD662" s="16">
        <f>AG662</f>
        <v/>
      </c>
      <c r="AE662" s="16">
        <f>AI662</f>
        <v/>
      </c>
      <c r="AF662" s="16">
        <f>AC662+AD662+AE662</f>
        <v/>
      </c>
      <c r="AG662" s="16" t="n"/>
      <c r="AH662" s="17" t="n"/>
      <c r="AI662" s="17">
        <f>AH662*4</f>
        <v/>
      </c>
      <c r="AJ662" s="15">
        <f>AF662-AG662-AH662-AI662</f>
        <v/>
      </c>
      <c r="AK662" s="18" t="n">
        <v>655</v>
      </c>
      <c r="AL662" s="23" t="n"/>
    </row>
    <row r="663" ht="23.5" customHeight="1">
      <c r="A663" s="6" t="inlineStr">
        <is>
          <t>656</t>
        </is>
      </c>
      <c r="B663" s="24" t="n"/>
      <c r="C663" s="55" t="n"/>
      <c r="D663" s="19" t="n"/>
      <c r="E663" s="24" t="n"/>
      <c r="F663" s="25" t="n"/>
      <c r="G663" s="25" t="n"/>
      <c r="H663" s="25" t="n"/>
      <c r="I663" s="11" t="n"/>
      <c r="J663" s="57" t="n"/>
      <c r="K663" s="12" t="n"/>
      <c r="L663" s="22" t="n"/>
      <c r="M663" s="13" t="n"/>
      <c r="N663" s="14">
        <f>ROUND(I663*(SUM(J663:M663))*68%,0)</f>
        <v/>
      </c>
      <c r="O663" s="61" t="n"/>
      <c r="P663" s="59" t="n"/>
      <c r="Q663" s="59" t="n"/>
      <c r="R663" s="58" t="n"/>
      <c r="S663" s="15">
        <f>I663*J663</f>
        <v/>
      </c>
      <c r="T663" s="15">
        <f>SUM(S663:S663)*68%</f>
        <v/>
      </c>
      <c r="U663" s="15">
        <f>I663*K663*40%*O663</f>
        <v/>
      </c>
      <c r="V663" s="15">
        <f>IF(P663&gt;=6750,(I663*K663*40%),0)</f>
        <v/>
      </c>
      <c r="W663" s="15">
        <f>IF(P663&lt;6750,0,IF(Q663="",0,IF(OR(Q663="KURANG",Q663="SANGAT KURANG"),I663*K663*10%,I663*K663*20%)))</f>
        <v/>
      </c>
      <c r="X663" s="15">
        <f>SUM(U663:W663)*68%</f>
        <v/>
      </c>
      <c r="Y663" s="15">
        <f>I663*L663</f>
        <v/>
      </c>
      <c r="Z663" s="15">
        <f>Y663 * 68%</f>
        <v/>
      </c>
      <c r="AA663" s="15">
        <f>I663*M663</f>
        <v/>
      </c>
      <c r="AB663" s="15">
        <f>AA663*68%</f>
        <v/>
      </c>
      <c r="AC663" s="16">
        <f>ROUND((T663+X663+Z663+AB663),0)</f>
        <v/>
      </c>
      <c r="AD663" s="16">
        <f>AG663</f>
        <v/>
      </c>
      <c r="AE663" s="16">
        <f>AI663</f>
        <v/>
      </c>
      <c r="AF663" s="16">
        <f>AC663+AD663+AE663</f>
        <v/>
      </c>
      <c r="AG663" s="16" t="n"/>
      <c r="AH663" s="17" t="n"/>
      <c r="AI663" s="17">
        <f>AH663*4</f>
        <v/>
      </c>
      <c r="AJ663" s="15">
        <f>AF663-AG663-AH663-AI663</f>
        <v/>
      </c>
      <c r="AK663" s="18" t="n">
        <v>656</v>
      </c>
      <c r="AL663" s="40" t="n"/>
    </row>
    <row r="664" ht="23.5" customHeight="1">
      <c r="A664" s="6" t="inlineStr">
        <is>
          <t>657</t>
        </is>
      </c>
      <c r="B664" s="24" t="n"/>
      <c r="C664" s="55" t="n"/>
      <c r="D664" s="19" t="n"/>
      <c r="E664" s="24" t="n"/>
      <c r="F664" s="25" t="n"/>
      <c r="G664" s="25" t="n"/>
      <c r="H664" s="25" t="n"/>
      <c r="I664" s="11" t="n"/>
      <c r="J664" s="57" t="n"/>
      <c r="K664" s="12" t="n"/>
      <c r="L664" s="22" t="n"/>
      <c r="M664" s="13" t="n"/>
      <c r="N664" s="14">
        <f>ROUND(I664*(SUM(J664:M664))*68%,0)</f>
        <v/>
      </c>
      <c r="O664" s="61" t="n"/>
      <c r="P664" s="59" t="n"/>
      <c r="Q664" s="59" t="n"/>
      <c r="R664" s="58" t="n"/>
      <c r="S664" s="15">
        <f>I664*J664</f>
        <v/>
      </c>
      <c r="T664" s="15">
        <f>SUM(S664:S664)*68%</f>
        <v/>
      </c>
      <c r="U664" s="15">
        <f>I664*K664*40%*O664</f>
        <v/>
      </c>
      <c r="V664" s="15">
        <f>IF(P664&gt;=6750,(I664*K664*40%),0)</f>
        <v/>
      </c>
      <c r="W664" s="15">
        <f>IF(P664&lt;6750,0,IF(Q664="",0,IF(OR(Q664="KURANG",Q664="SANGAT KURANG"),I664*K664*10%,I664*K664*20%)))</f>
        <v/>
      </c>
      <c r="X664" s="15">
        <f>SUM(U664:W664)*68%</f>
        <v/>
      </c>
      <c r="Y664" s="15">
        <f>I664*L664</f>
        <v/>
      </c>
      <c r="Z664" s="15">
        <f>Y664 * 68%</f>
        <v/>
      </c>
      <c r="AA664" s="15">
        <f>I664*M664</f>
        <v/>
      </c>
      <c r="AB664" s="15">
        <f>AA664*68%</f>
        <v/>
      </c>
      <c r="AC664" s="16">
        <f>ROUND((T664+X664+Z664+AB664),0)</f>
        <v/>
      </c>
      <c r="AD664" s="16">
        <f>AG664</f>
        <v/>
      </c>
      <c r="AE664" s="16">
        <f>AI664</f>
        <v/>
      </c>
      <c r="AF664" s="16">
        <f>AC664+AD664+AE664</f>
        <v/>
      </c>
      <c r="AG664" s="16" t="n"/>
      <c r="AH664" s="17" t="n"/>
      <c r="AI664" s="17">
        <f>AH664*4</f>
        <v/>
      </c>
      <c r="AJ664" s="15">
        <f>AF664-AG664-AH664-AI664</f>
        <v/>
      </c>
      <c r="AK664" s="18" t="n">
        <v>657</v>
      </c>
      <c r="AL664" s="23" t="n"/>
    </row>
    <row r="665" ht="23.5" customHeight="1">
      <c r="A665" s="6" t="inlineStr">
        <is>
          <t>658</t>
        </is>
      </c>
      <c r="B665" s="24" t="n"/>
      <c r="C665" s="55" t="n"/>
      <c r="D665" s="19" t="n"/>
      <c r="E665" s="24" t="n"/>
      <c r="F665" s="25" t="n"/>
      <c r="G665" s="25" t="n"/>
      <c r="H665" s="25" t="n"/>
      <c r="I665" s="11" t="n"/>
      <c r="J665" s="57" t="n"/>
      <c r="K665" s="12" t="n"/>
      <c r="L665" s="22" t="n"/>
      <c r="M665" s="13" t="n"/>
      <c r="N665" s="14">
        <f>ROUND(I665*(SUM(J665:M665))*68%,0)</f>
        <v/>
      </c>
      <c r="O665" s="61" t="n"/>
      <c r="P665" s="59" t="n"/>
      <c r="Q665" s="59" t="n"/>
      <c r="R665" s="58" t="n"/>
      <c r="S665" s="15">
        <f>I665*J665</f>
        <v/>
      </c>
      <c r="T665" s="15">
        <f>SUM(S665:S665)*68%</f>
        <v/>
      </c>
      <c r="U665" s="15">
        <f>I665*K665*40%*O665</f>
        <v/>
      </c>
      <c r="V665" s="15">
        <f>IF(P665&gt;=6750,(I665*K665*40%),0)</f>
        <v/>
      </c>
      <c r="W665" s="15">
        <f>IF(P665&lt;6750,0,IF(Q665="",0,IF(OR(Q665="KURANG",Q665="SANGAT KURANG"),I665*K665*10%,I665*K665*20%)))</f>
        <v/>
      </c>
      <c r="X665" s="15">
        <f>SUM(U665:W665)*68%</f>
        <v/>
      </c>
      <c r="Y665" s="15">
        <f>I665*L665</f>
        <v/>
      </c>
      <c r="Z665" s="15">
        <f>Y665 * 68%</f>
        <v/>
      </c>
      <c r="AA665" s="15">
        <f>I665*M665</f>
        <v/>
      </c>
      <c r="AB665" s="15">
        <f>AA665*68%</f>
        <v/>
      </c>
      <c r="AC665" s="16">
        <f>ROUND((T665+X665+Z665+AB665),0)</f>
        <v/>
      </c>
      <c r="AD665" s="16">
        <f>AG665</f>
        <v/>
      </c>
      <c r="AE665" s="16">
        <f>AI665</f>
        <v/>
      </c>
      <c r="AF665" s="16">
        <f>AC665+AD665+AE665</f>
        <v/>
      </c>
      <c r="AG665" s="16" t="n"/>
      <c r="AH665" s="17" t="n"/>
      <c r="AI665" s="17">
        <f>AH665*4</f>
        <v/>
      </c>
      <c r="AJ665" s="15">
        <f>AF665-AG665-AH665-AI665</f>
        <v/>
      </c>
      <c r="AK665" s="18" t="n">
        <v>658</v>
      </c>
      <c r="AL665" s="23" t="n"/>
    </row>
    <row r="666" ht="23.5" customHeight="1">
      <c r="A666" s="6" t="inlineStr">
        <is>
          <t>659</t>
        </is>
      </c>
      <c r="B666" s="24" t="n"/>
      <c r="C666" s="55" t="n"/>
      <c r="D666" s="19" t="n"/>
      <c r="E666" s="24" t="n"/>
      <c r="F666" s="25" t="n"/>
      <c r="G666" s="25" t="n"/>
      <c r="H666" s="25" t="n"/>
      <c r="I666" s="11" t="n"/>
      <c r="J666" s="57" t="n"/>
      <c r="K666" s="12" t="n"/>
      <c r="L666" s="22" t="n"/>
      <c r="M666" s="13" t="n"/>
      <c r="N666" s="14">
        <f>ROUND(I666*(SUM(J666:M666))*68%,0)</f>
        <v/>
      </c>
      <c r="O666" s="61" t="n"/>
      <c r="P666" s="59" t="n"/>
      <c r="Q666" s="59" t="n"/>
      <c r="R666" s="58" t="n"/>
      <c r="S666" s="15">
        <f>I666*J666</f>
        <v/>
      </c>
      <c r="T666" s="15">
        <f>SUM(S666:S666)*68%</f>
        <v/>
      </c>
      <c r="U666" s="15">
        <f>I666*K666*40%*O666</f>
        <v/>
      </c>
      <c r="V666" s="15">
        <f>IF(P666&gt;=6750,(I666*K666*40%),0)</f>
        <v/>
      </c>
      <c r="W666" s="15">
        <f>IF(P666&lt;6750,0,IF(Q666="",0,IF(OR(Q666="KURANG",Q666="SANGAT KURANG"),I666*K666*10%,I666*K666*20%)))</f>
        <v/>
      </c>
      <c r="X666" s="15">
        <f>SUM(U666:W666)*68%</f>
        <v/>
      </c>
      <c r="Y666" s="15">
        <f>I666*L666</f>
        <v/>
      </c>
      <c r="Z666" s="15">
        <f>Y666 * 68%</f>
        <v/>
      </c>
      <c r="AA666" s="15">
        <f>I666*M666</f>
        <v/>
      </c>
      <c r="AB666" s="15">
        <f>AA666*68%</f>
        <v/>
      </c>
      <c r="AC666" s="16">
        <f>ROUND((T666+X666+Z666+AB666),0)</f>
        <v/>
      </c>
      <c r="AD666" s="16">
        <f>AG666</f>
        <v/>
      </c>
      <c r="AE666" s="16">
        <f>AI666</f>
        <v/>
      </c>
      <c r="AF666" s="16">
        <f>AC666+AD666+AE666</f>
        <v/>
      </c>
      <c r="AG666" s="16" t="n"/>
      <c r="AH666" s="17" t="n"/>
      <c r="AI666" s="17">
        <f>AH666*4</f>
        <v/>
      </c>
      <c r="AJ666" s="15">
        <f>AF666-AG666-AH666-AI666</f>
        <v/>
      </c>
      <c r="AK666" s="18" t="n">
        <v>659</v>
      </c>
      <c r="AL666" s="40" t="n"/>
    </row>
    <row r="667" ht="23.5" customHeight="1">
      <c r="A667" s="6" t="inlineStr">
        <is>
          <t>660</t>
        </is>
      </c>
      <c r="B667" s="24" t="n"/>
      <c r="C667" s="55" t="n"/>
      <c r="D667" s="19" t="n"/>
      <c r="E667" s="24" t="n"/>
      <c r="F667" s="25" t="n"/>
      <c r="G667" s="25" t="n"/>
      <c r="H667" s="25" t="n"/>
      <c r="I667" s="11" t="n"/>
      <c r="J667" s="57" t="n"/>
      <c r="K667" s="12" t="n"/>
      <c r="L667" s="22" t="n"/>
      <c r="M667" s="13" t="n"/>
      <c r="N667" s="14">
        <f>ROUND(I667*(SUM(J667:M667))*68%,0)</f>
        <v/>
      </c>
      <c r="O667" s="61" t="n"/>
      <c r="P667" s="59" t="n"/>
      <c r="Q667" s="59" t="n"/>
      <c r="R667" s="58" t="n"/>
      <c r="S667" s="15">
        <f>I667*J667</f>
        <v/>
      </c>
      <c r="T667" s="15">
        <f>SUM(S667:S667)*68%</f>
        <v/>
      </c>
      <c r="U667" s="15">
        <f>I667*K667*40%*O667</f>
        <v/>
      </c>
      <c r="V667" s="15">
        <f>IF(P667&gt;=6750,(I667*K667*40%),0)</f>
        <v/>
      </c>
      <c r="W667" s="15">
        <f>IF(P667&lt;6750,0,IF(Q667="",0,IF(OR(Q667="KURANG",Q667="SANGAT KURANG"),I667*K667*10%,I667*K667*20%)))</f>
        <v/>
      </c>
      <c r="X667" s="15">
        <f>SUM(U667:W667)*68%</f>
        <v/>
      </c>
      <c r="Y667" s="15">
        <f>I667*L667</f>
        <v/>
      </c>
      <c r="Z667" s="15">
        <f>Y667 * 68%</f>
        <v/>
      </c>
      <c r="AA667" s="15">
        <f>I667*M667</f>
        <v/>
      </c>
      <c r="AB667" s="15">
        <f>AA667*68%</f>
        <v/>
      </c>
      <c r="AC667" s="16">
        <f>ROUND((T667+X667+Z667+AB667),0)</f>
        <v/>
      </c>
      <c r="AD667" s="16">
        <f>AG667</f>
        <v/>
      </c>
      <c r="AE667" s="16">
        <f>AI667</f>
        <v/>
      </c>
      <c r="AF667" s="16">
        <f>AC667+AD667+AE667</f>
        <v/>
      </c>
      <c r="AG667" s="16" t="n"/>
      <c r="AH667" s="17" t="n"/>
      <c r="AI667" s="17">
        <f>AH667*4</f>
        <v/>
      </c>
      <c r="AJ667" s="15">
        <f>AF667-AG667-AH667-AI667</f>
        <v/>
      </c>
      <c r="AK667" s="18" t="n">
        <v>660</v>
      </c>
      <c r="AL667" s="23" t="n"/>
    </row>
    <row r="668" ht="23.5" customHeight="1">
      <c r="A668" s="6" t="inlineStr">
        <is>
          <t>661</t>
        </is>
      </c>
      <c r="B668" s="24" t="n"/>
      <c r="C668" s="55" t="n"/>
      <c r="D668" s="19" t="n"/>
      <c r="E668" s="24" t="n"/>
      <c r="F668" s="25" t="n"/>
      <c r="G668" s="25" t="n"/>
      <c r="H668" s="25" t="n"/>
      <c r="I668" s="11" t="n"/>
      <c r="J668" s="57" t="n"/>
      <c r="K668" s="12" t="n"/>
      <c r="L668" s="22" t="n"/>
      <c r="M668" s="13" t="n"/>
      <c r="N668" s="14">
        <f>ROUND(I668*(SUM(J668:M668))*68%,0)</f>
        <v/>
      </c>
      <c r="O668" s="61" t="n"/>
      <c r="P668" s="59" t="n"/>
      <c r="Q668" s="59" t="n"/>
      <c r="R668" s="58" t="n"/>
      <c r="S668" s="15">
        <f>I668*J668</f>
        <v/>
      </c>
      <c r="T668" s="15">
        <f>SUM(S668:S668)*68%</f>
        <v/>
      </c>
      <c r="U668" s="15">
        <f>I668*K668*40%*O668</f>
        <v/>
      </c>
      <c r="V668" s="15">
        <f>IF(P668&gt;=6750,(I668*K668*40%),0)</f>
        <v/>
      </c>
      <c r="W668" s="15">
        <f>IF(P668&lt;6750,0,IF(Q668="",0,IF(OR(Q668="KURANG",Q668="SANGAT KURANG"),I668*K668*10%,I668*K668*20%)))</f>
        <v/>
      </c>
      <c r="X668" s="15">
        <f>SUM(U668:W668)*68%</f>
        <v/>
      </c>
      <c r="Y668" s="15">
        <f>I668*L668</f>
        <v/>
      </c>
      <c r="Z668" s="15">
        <f>Y668 * 68%</f>
        <v/>
      </c>
      <c r="AA668" s="15">
        <f>I668*M668</f>
        <v/>
      </c>
      <c r="AB668" s="15">
        <f>AA668*68%</f>
        <v/>
      </c>
      <c r="AC668" s="16">
        <f>ROUND((T668+X668+Z668+AB668),0)</f>
        <v/>
      </c>
      <c r="AD668" s="16">
        <f>AG668</f>
        <v/>
      </c>
      <c r="AE668" s="16">
        <f>AI668</f>
        <v/>
      </c>
      <c r="AF668" s="16">
        <f>AC668+AD668+AE668</f>
        <v/>
      </c>
      <c r="AG668" s="16" t="n"/>
      <c r="AH668" s="17" t="n"/>
      <c r="AI668" s="17">
        <f>AH668*4</f>
        <v/>
      </c>
      <c r="AJ668" s="15">
        <f>AF668-AG668-AH668-AI668</f>
        <v/>
      </c>
      <c r="AK668" s="18" t="n">
        <v>661</v>
      </c>
      <c r="AL668" s="23" t="n"/>
    </row>
    <row r="669" ht="23.5" customHeight="1">
      <c r="A669" s="6" t="inlineStr">
        <is>
          <t>662</t>
        </is>
      </c>
      <c r="B669" s="28" t="n"/>
      <c r="C669" s="55" t="n"/>
      <c r="D669" s="19" t="n"/>
      <c r="E669" s="24" t="n"/>
      <c r="F669" s="25" t="n"/>
      <c r="G669" s="25" t="n"/>
      <c r="H669" s="25" t="n"/>
      <c r="I669" s="11" t="n"/>
      <c r="J669" s="57" t="n"/>
      <c r="K669" s="12" t="n"/>
      <c r="L669" s="22" t="n"/>
      <c r="M669" s="13" t="n"/>
      <c r="N669" s="14">
        <f>ROUND(I669*(SUM(J669:M669))*68%,0)</f>
        <v/>
      </c>
      <c r="O669" s="61" t="n"/>
      <c r="P669" s="59" t="n"/>
      <c r="Q669" s="59" t="n"/>
      <c r="R669" s="58" t="n"/>
      <c r="S669" s="15">
        <f>I669*J669</f>
        <v/>
      </c>
      <c r="T669" s="15">
        <f>SUM(S669:S669)*68%</f>
        <v/>
      </c>
      <c r="U669" s="15">
        <f>I669*K669*40%*O669</f>
        <v/>
      </c>
      <c r="V669" s="15">
        <f>IF(P669&gt;=6750,(I669*K669*40%),0)</f>
        <v/>
      </c>
      <c r="W669" s="15">
        <f>IF(P669&lt;6750,0,IF(Q669="",0,IF(OR(Q669="KURANG",Q669="SANGAT KURANG"),I669*K669*10%,I669*K669*20%)))</f>
        <v/>
      </c>
      <c r="X669" s="15">
        <f>SUM(U669:W669)*68%</f>
        <v/>
      </c>
      <c r="Y669" s="15">
        <f>I669*L669</f>
        <v/>
      </c>
      <c r="Z669" s="15">
        <f>Y669 * 68%</f>
        <v/>
      </c>
      <c r="AA669" s="15">
        <f>I669*M669</f>
        <v/>
      </c>
      <c r="AB669" s="15">
        <f>AA669*68%</f>
        <v/>
      </c>
      <c r="AC669" s="16">
        <f>ROUND((T669+X669+Z669+AB669),0)</f>
        <v/>
      </c>
      <c r="AD669" s="16">
        <f>AG669</f>
        <v/>
      </c>
      <c r="AE669" s="16">
        <f>AI669</f>
        <v/>
      </c>
      <c r="AF669" s="16">
        <f>AC669+AD669+AE669</f>
        <v/>
      </c>
      <c r="AG669" s="16" t="n"/>
      <c r="AH669" s="17" t="n"/>
      <c r="AI669" s="17">
        <f>AH669*4</f>
        <v/>
      </c>
      <c r="AJ669" s="15">
        <f>AF669-AG669-AH669-AI669</f>
        <v/>
      </c>
      <c r="AK669" s="18" t="n">
        <v>662</v>
      </c>
      <c r="AL669" s="40" t="n"/>
    </row>
    <row r="670" ht="23.5" customHeight="1">
      <c r="A670" s="6" t="inlineStr">
        <is>
          <t>663</t>
        </is>
      </c>
      <c r="B670" s="28" t="n"/>
      <c r="C670" s="55" t="n"/>
      <c r="D670" s="19" t="n"/>
      <c r="E670" s="24" t="n"/>
      <c r="F670" s="25" t="n"/>
      <c r="G670" s="25" t="n"/>
      <c r="H670" s="25" t="n"/>
      <c r="I670" s="11" t="n"/>
      <c r="J670" s="57" t="n"/>
      <c r="K670" s="12" t="n"/>
      <c r="L670" s="22" t="n"/>
      <c r="M670" s="13" t="n"/>
      <c r="N670" s="14">
        <f>ROUND(I670*(SUM(J670:M670))*68%,0)</f>
        <v/>
      </c>
      <c r="O670" s="61" t="n"/>
      <c r="P670" s="59" t="n"/>
      <c r="Q670" s="59" t="n"/>
      <c r="R670" s="58" t="n"/>
      <c r="S670" s="15">
        <f>I670*J670</f>
        <v/>
      </c>
      <c r="T670" s="15">
        <f>SUM(S670:S670)*68%</f>
        <v/>
      </c>
      <c r="U670" s="15">
        <f>I670*K670*40%*O670</f>
        <v/>
      </c>
      <c r="V670" s="15">
        <f>IF(P670&gt;=6750,(I670*K670*40%),0)</f>
        <v/>
      </c>
      <c r="W670" s="15">
        <f>IF(P670&lt;6750,0,IF(Q670="",0,IF(OR(Q670="KURANG",Q670="SANGAT KURANG"),I670*K670*10%,I670*K670*20%)))</f>
        <v/>
      </c>
      <c r="X670" s="15">
        <f>SUM(U670:W670)*68%</f>
        <v/>
      </c>
      <c r="Y670" s="15">
        <f>I670*L670</f>
        <v/>
      </c>
      <c r="Z670" s="15">
        <f>Y670 * 68%</f>
        <v/>
      </c>
      <c r="AA670" s="15">
        <f>I670*M670</f>
        <v/>
      </c>
      <c r="AB670" s="15">
        <f>AA670*68%</f>
        <v/>
      </c>
      <c r="AC670" s="16">
        <f>ROUND((T670+X670+Z670+AB670),0)</f>
        <v/>
      </c>
      <c r="AD670" s="16">
        <f>AG670</f>
        <v/>
      </c>
      <c r="AE670" s="16">
        <f>AI670</f>
        <v/>
      </c>
      <c r="AF670" s="16">
        <f>AC670+AD670+AE670</f>
        <v/>
      </c>
      <c r="AG670" s="16" t="n"/>
      <c r="AH670" s="17" t="n"/>
      <c r="AI670" s="17">
        <f>AH670*4</f>
        <v/>
      </c>
      <c r="AJ670" s="15">
        <f>AF670-AG670-AH670-AI670</f>
        <v/>
      </c>
      <c r="AK670" s="18" t="n">
        <v>663</v>
      </c>
      <c r="AL670" s="23" t="n"/>
    </row>
    <row r="671" ht="23.5" customHeight="1">
      <c r="A671" s="6" t="inlineStr">
        <is>
          <t>664</t>
        </is>
      </c>
      <c r="B671" s="24" t="n"/>
      <c r="C671" s="55" t="n"/>
      <c r="D671" s="19" t="n"/>
      <c r="E671" s="24" t="n"/>
      <c r="F671" s="25" t="n"/>
      <c r="G671" s="25" t="n"/>
      <c r="H671" s="25" t="n"/>
      <c r="I671" s="11" t="n"/>
      <c r="J671" s="57" t="n"/>
      <c r="K671" s="12" t="n"/>
      <c r="L671" s="22" t="n"/>
      <c r="M671" s="13" t="n"/>
      <c r="N671" s="14">
        <f>ROUND(I671*(SUM(J671:M671))*68%,0)</f>
        <v/>
      </c>
      <c r="O671" s="61" t="n"/>
      <c r="P671" s="59" t="n"/>
      <c r="Q671" s="59" t="n"/>
      <c r="R671" s="58" t="n"/>
      <c r="S671" s="15">
        <f>I671*J671</f>
        <v/>
      </c>
      <c r="T671" s="15">
        <f>SUM(S671:S671)*68%</f>
        <v/>
      </c>
      <c r="U671" s="15">
        <f>I671*K671*40%*O671</f>
        <v/>
      </c>
      <c r="V671" s="15">
        <f>IF(P671&gt;=6750,(I671*K671*40%),0)</f>
        <v/>
      </c>
      <c r="W671" s="15">
        <f>IF(P671&lt;6750,0,IF(Q671="",0,IF(OR(Q671="KURANG",Q671="SANGAT KURANG"),I671*K671*10%,I671*K671*20%)))</f>
        <v/>
      </c>
      <c r="X671" s="15">
        <f>SUM(U671:W671)*68%</f>
        <v/>
      </c>
      <c r="Y671" s="15">
        <f>I671*L671</f>
        <v/>
      </c>
      <c r="Z671" s="15">
        <f>Y671 * 68%</f>
        <v/>
      </c>
      <c r="AA671" s="15">
        <f>I671*M671</f>
        <v/>
      </c>
      <c r="AB671" s="15">
        <f>AA671*68%</f>
        <v/>
      </c>
      <c r="AC671" s="16">
        <f>ROUND((T671+X671+Z671+AB671),0)</f>
        <v/>
      </c>
      <c r="AD671" s="16">
        <f>AG671</f>
        <v/>
      </c>
      <c r="AE671" s="16">
        <f>AI671</f>
        <v/>
      </c>
      <c r="AF671" s="16">
        <f>AC671+AD671+AE671</f>
        <v/>
      </c>
      <c r="AG671" s="16" t="n"/>
      <c r="AH671" s="17" t="n"/>
      <c r="AI671" s="17">
        <f>AH671*4</f>
        <v/>
      </c>
      <c r="AJ671" s="15">
        <f>AF671-AG671-AH671-AI671</f>
        <v/>
      </c>
      <c r="AK671" s="18" t="n">
        <v>664</v>
      </c>
      <c r="AL671" s="23" t="n"/>
    </row>
    <row r="672" ht="23.5" customHeight="1">
      <c r="A672" s="6" t="inlineStr">
        <is>
          <t>665</t>
        </is>
      </c>
      <c r="B672" s="24" t="n"/>
      <c r="C672" s="55" t="n"/>
      <c r="D672" s="19" t="n"/>
      <c r="E672" s="24" t="n"/>
      <c r="F672" s="25" t="n"/>
      <c r="G672" s="25" t="n"/>
      <c r="H672" s="25" t="n"/>
      <c r="I672" s="11" t="n"/>
      <c r="J672" s="57" t="n"/>
      <c r="K672" s="12" t="n"/>
      <c r="L672" s="22" t="n"/>
      <c r="M672" s="13" t="n"/>
      <c r="N672" s="14">
        <f>ROUND(I672*(SUM(J672:M672))*68%,0)</f>
        <v/>
      </c>
      <c r="O672" s="61" t="n"/>
      <c r="P672" s="59" t="n"/>
      <c r="Q672" s="59" t="n"/>
      <c r="R672" s="58" t="n"/>
      <c r="S672" s="15">
        <f>I672*J672</f>
        <v/>
      </c>
      <c r="T672" s="15">
        <f>SUM(S672:S672)*68%</f>
        <v/>
      </c>
      <c r="U672" s="15">
        <f>I672*K672*40%*O672</f>
        <v/>
      </c>
      <c r="V672" s="15">
        <f>IF(P672&gt;=6750,(I672*K672*40%),0)</f>
        <v/>
      </c>
      <c r="W672" s="15">
        <f>IF(P672&lt;6750,0,IF(Q672="",0,IF(OR(Q672="KURANG",Q672="SANGAT KURANG"),I672*K672*10%,I672*K672*20%)))</f>
        <v/>
      </c>
      <c r="X672" s="15">
        <f>SUM(U672:W672)*68%</f>
        <v/>
      </c>
      <c r="Y672" s="15">
        <f>I672*L672</f>
        <v/>
      </c>
      <c r="Z672" s="15">
        <f>Y672 * 68%</f>
        <v/>
      </c>
      <c r="AA672" s="15">
        <f>I672*M672</f>
        <v/>
      </c>
      <c r="AB672" s="15">
        <f>AA672*68%</f>
        <v/>
      </c>
      <c r="AC672" s="16">
        <f>ROUND((T672+X672+Z672+AB672),0)</f>
        <v/>
      </c>
      <c r="AD672" s="16">
        <f>AG672</f>
        <v/>
      </c>
      <c r="AE672" s="16">
        <f>AI672</f>
        <v/>
      </c>
      <c r="AF672" s="16">
        <f>AC672+AD672+AE672</f>
        <v/>
      </c>
      <c r="AG672" s="16" t="n"/>
      <c r="AH672" s="17" t="n"/>
      <c r="AI672" s="17">
        <f>AH672*4</f>
        <v/>
      </c>
      <c r="AJ672" s="15">
        <f>AF672-AG672-AH672-AI672</f>
        <v/>
      </c>
      <c r="AK672" s="18" t="n">
        <v>665</v>
      </c>
      <c r="AL672" s="40" t="n"/>
    </row>
    <row r="673" ht="23.5" customHeight="1">
      <c r="A673" s="6" t="inlineStr">
        <is>
          <t>666</t>
        </is>
      </c>
      <c r="B673" s="24" t="n"/>
      <c r="C673" s="55" t="n"/>
      <c r="D673" s="19" t="n"/>
      <c r="E673" s="24" t="n"/>
      <c r="F673" s="25" t="n"/>
      <c r="G673" s="25" t="n"/>
      <c r="H673" s="25" t="n"/>
      <c r="I673" s="11" t="n"/>
      <c r="J673" s="57" t="n"/>
      <c r="K673" s="12" t="n"/>
      <c r="L673" s="22" t="n"/>
      <c r="M673" s="13" t="n"/>
      <c r="N673" s="14">
        <f>ROUND(I673*(SUM(J673:M673))*68%,0)</f>
        <v/>
      </c>
      <c r="O673" s="61" t="n"/>
      <c r="P673" s="59" t="n"/>
      <c r="Q673" s="59" t="n"/>
      <c r="R673" s="58" t="n"/>
      <c r="S673" s="15">
        <f>I673*J673</f>
        <v/>
      </c>
      <c r="T673" s="15">
        <f>SUM(S673:S673)*68%</f>
        <v/>
      </c>
      <c r="U673" s="15">
        <f>I673*K673*40%*O673</f>
        <v/>
      </c>
      <c r="V673" s="15">
        <f>IF(P673&gt;=6750,(I673*K673*40%),0)</f>
        <v/>
      </c>
      <c r="W673" s="15">
        <f>IF(P673&lt;6750,0,IF(Q673="",0,IF(OR(Q673="KURANG",Q673="SANGAT KURANG"),I673*K673*10%,I673*K673*20%)))</f>
        <v/>
      </c>
      <c r="X673" s="15">
        <f>SUM(U673:W673)*68%</f>
        <v/>
      </c>
      <c r="Y673" s="15">
        <f>I673*L673</f>
        <v/>
      </c>
      <c r="Z673" s="15">
        <f>Y673 * 68%</f>
        <v/>
      </c>
      <c r="AA673" s="15">
        <f>I673*M673</f>
        <v/>
      </c>
      <c r="AB673" s="15">
        <f>AA673*68%</f>
        <v/>
      </c>
      <c r="AC673" s="16">
        <f>ROUND((T673+X673+Z673+AB673),0)</f>
        <v/>
      </c>
      <c r="AD673" s="16">
        <f>AG673</f>
        <v/>
      </c>
      <c r="AE673" s="16">
        <f>AI673</f>
        <v/>
      </c>
      <c r="AF673" s="16">
        <f>AC673+AD673+AE673</f>
        <v/>
      </c>
      <c r="AG673" s="16" t="n"/>
      <c r="AH673" s="17" t="n"/>
      <c r="AI673" s="17">
        <f>AH673*4</f>
        <v/>
      </c>
      <c r="AJ673" s="15">
        <f>AF673-AG673-AH673-AI673</f>
        <v/>
      </c>
      <c r="AK673" s="18" t="n">
        <v>666</v>
      </c>
      <c r="AL673" s="23" t="n"/>
    </row>
    <row r="674" ht="23.5" customHeight="1">
      <c r="A674" s="6" t="inlineStr">
        <is>
          <t>667</t>
        </is>
      </c>
      <c r="B674" s="24" t="n"/>
      <c r="C674" s="55" t="n"/>
      <c r="D674" s="19" t="n"/>
      <c r="E674" s="24" t="n"/>
      <c r="F674" s="25" t="n"/>
      <c r="G674" s="25" t="n"/>
      <c r="H674" s="25" t="n"/>
      <c r="I674" s="11" t="n"/>
      <c r="J674" s="57" t="n"/>
      <c r="K674" s="12" t="n"/>
      <c r="L674" s="22" t="n"/>
      <c r="M674" s="13" t="n"/>
      <c r="N674" s="14">
        <f>ROUND(I674*(SUM(J674:M674))*68%,0)</f>
        <v/>
      </c>
      <c r="O674" s="61" t="n"/>
      <c r="P674" s="59" t="n"/>
      <c r="Q674" s="59" t="n"/>
      <c r="R674" s="58" t="n"/>
      <c r="S674" s="15">
        <f>I674*J674</f>
        <v/>
      </c>
      <c r="T674" s="15">
        <f>SUM(S674:S674)*68%</f>
        <v/>
      </c>
      <c r="U674" s="15">
        <f>I674*K674*40%*O674</f>
        <v/>
      </c>
      <c r="V674" s="15">
        <f>IF(P674&gt;=6750,(I674*K674*40%),0)</f>
        <v/>
      </c>
      <c r="W674" s="15">
        <f>IF(P674&lt;6750,0,IF(Q674="",0,IF(OR(Q674="KURANG",Q674="SANGAT KURANG"),I674*K674*10%,I674*K674*20%)))</f>
        <v/>
      </c>
      <c r="X674" s="15">
        <f>SUM(U674:W674)*68%</f>
        <v/>
      </c>
      <c r="Y674" s="15">
        <f>I674*L674</f>
        <v/>
      </c>
      <c r="Z674" s="15">
        <f>Y674 * 68%</f>
        <v/>
      </c>
      <c r="AA674" s="15">
        <f>I674*M674</f>
        <v/>
      </c>
      <c r="AB674" s="15">
        <f>AA674*68%</f>
        <v/>
      </c>
      <c r="AC674" s="16">
        <f>ROUND((T674+X674+Z674+AB674),0)</f>
        <v/>
      </c>
      <c r="AD674" s="16">
        <f>AG674</f>
        <v/>
      </c>
      <c r="AE674" s="16">
        <f>AI674</f>
        <v/>
      </c>
      <c r="AF674" s="16">
        <f>AC674+AD674+AE674</f>
        <v/>
      </c>
      <c r="AG674" s="16" t="n"/>
      <c r="AH674" s="17" t="n"/>
      <c r="AI674" s="17">
        <f>AH674*4</f>
        <v/>
      </c>
      <c r="AJ674" s="15">
        <f>AF674-AG674-AH674-AI674</f>
        <v/>
      </c>
      <c r="AK674" s="18" t="n">
        <v>667</v>
      </c>
      <c r="AL674" s="23" t="n"/>
    </row>
    <row r="675" ht="23.5" customHeight="1">
      <c r="A675" s="6" t="inlineStr">
        <is>
          <t>668</t>
        </is>
      </c>
      <c r="B675" s="24" t="n"/>
      <c r="C675" s="55" t="n"/>
      <c r="D675" s="19" t="n"/>
      <c r="E675" s="24" t="n"/>
      <c r="F675" s="25" t="n"/>
      <c r="G675" s="25" t="n"/>
      <c r="H675" s="25" t="n"/>
      <c r="I675" s="11" t="n"/>
      <c r="J675" s="57" t="n"/>
      <c r="K675" s="12" t="n"/>
      <c r="L675" s="22" t="n"/>
      <c r="M675" s="13" t="n"/>
      <c r="N675" s="14">
        <f>ROUND(I675*(SUM(J675:M675))*68%,0)</f>
        <v/>
      </c>
      <c r="O675" s="61" t="n"/>
      <c r="P675" s="59" t="n"/>
      <c r="Q675" s="59" t="n"/>
      <c r="R675" s="58" t="n"/>
      <c r="S675" s="15">
        <f>I675*J675</f>
        <v/>
      </c>
      <c r="T675" s="15">
        <f>SUM(S675:S675)*68%</f>
        <v/>
      </c>
      <c r="U675" s="15">
        <f>I675*K675*40%*O675</f>
        <v/>
      </c>
      <c r="V675" s="15">
        <f>IF(P675&gt;=6750,(I675*K675*40%),0)</f>
        <v/>
      </c>
      <c r="W675" s="15">
        <f>IF(P675&lt;6750,0,IF(Q675="",0,IF(OR(Q675="KURANG",Q675="SANGAT KURANG"),I675*K675*10%,I675*K675*20%)))</f>
        <v/>
      </c>
      <c r="X675" s="15">
        <f>SUM(U675:W675)*68%</f>
        <v/>
      </c>
      <c r="Y675" s="15">
        <f>I675*L675</f>
        <v/>
      </c>
      <c r="Z675" s="15">
        <f>Y675 * 68%</f>
        <v/>
      </c>
      <c r="AA675" s="15">
        <f>I675*M675</f>
        <v/>
      </c>
      <c r="AB675" s="15">
        <f>AA675*68%</f>
        <v/>
      </c>
      <c r="AC675" s="16">
        <f>ROUND((T675+X675+Z675+AB675),0)</f>
        <v/>
      </c>
      <c r="AD675" s="16">
        <f>AG675</f>
        <v/>
      </c>
      <c r="AE675" s="16">
        <f>AI675</f>
        <v/>
      </c>
      <c r="AF675" s="16">
        <f>AC675+AD675+AE675</f>
        <v/>
      </c>
      <c r="AG675" s="16" t="n"/>
      <c r="AH675" s="17" t="n"/>
      <c r="AI675" s="17">
        <f>AH675*4</f>
        <v/>
      </c>
      <c r="AJ675" s="15">
        <f>AF675-AG675-AH675-AI675</f>
        <v/>
      </c>
      <c r="AK675" s="18" t="n">
        <v>668</v>
      </c>
      <c r="AL675" s="40" t="n"/>
    </row>
    <row r="676" ht="23.5" customHeight="1">
      <c r="A676" s="6" t="inlineStr">
        <is>
          <t>669</t>
        </is>
      </c>
      <c r="B676" s="24" t="n"/>
      <c r="C676" s="55" t="n"/>
      <c r="D676" s="19" t="n"/>
      <c r="E676" s="24" t="n"/>
      <c r="F676" s="25" t="n"/>
      <c r="G676" s="25" t="n"/>
      <c r="H676" s="25" t="n"/>
      <c r="I676" s="11" t="n"/>
      <c r="J676" s="57" t="n"/>
      <c r="K676" s="12" t="n"/>
      <c r="L676" s="22" t="n"/>
      <c r="M676" s="13" t="n"/>
      <c r="N676" s="14">
        <f>ROUND(I676*(SUM(J676:M676))*68%,0)</f>
        <v/>
      </c>
      <c r="O676" s="61" t="n"/>
      <c r="P676" s="59" t="n"/>
      <c r="Q676" s="59" t="n"/>
      <c r="R676" s="58" t="n"/>
      <c r="S676" s="15">
        <f>I676*J676</f>
        <v/>
      </c>
      <c r="T676" s="15">
        <f>SUM(S676:S676)*68%</f>
        <v/>
      </c>
      <c r="U676" s="15">
        <f>I676*K676*40%*O676</f>
        <v/>
      </c>
      <c r="V676" s="15">
        <f>IF(P676&gt;=6750,(I676*K676*40%),0)</f>
        <v/>
      </c>
      <c r="W676" s="15">
        <f>IF(P676&lt;6750,0,IF(Q676="",0,IF(OR(Q676="KURANG",Q676="SANGAT KURANG"),I676*K676*10%,I676*K676*20%)))</f>
        <v/>
      </c>
      <c r="X676" s="15">
        <f>SUM(U676:W676)*68%</f>
        <v/>
      </c>
      <c r="Y676" s="15">
        <f>I676*L676</f>
        <v/>
      </c>
      <c r="Z676" s="15">
        <f>Y676 * 68%</f>
        <v/>
      </c>
      <c r="AA676" s="15">
        <f>I676*M676</f>
        <v/>
      </c>
      <c r="AB676" s="15">
        <f>AA676*68%</f>
        <v/>
      </c>
      <c r="AC676" s="16">
        <f>ROUND((T676+X676+Z676+AB676),0)</f>
        <v/>
      </c>
      <c r="AD676" s="16">
        <f>AG676</f>
        <v/>
      </c>
      <c r="AE676" s="16">
        <f>AI676</f>
        <v/>
      </c>
      <c r="AF676" s="16">
        <f>AC676+AD676+AE676</f>
        <v/>
      </c>
      <c r="AG676" s="16" t="n"/>
      <c r="AH676" s="17" t="n"/>
      <c r="AI676" s="17">
        <f>AH676*4</f>
        <v/>
      </c>
      <c r="AJ676" s="15">
        <f>AF676-AG676-AH676-AI676</f>
        <v/>
      </c>
      <c r="AK676" s="18" t="n">
        <v>669</v>
      </c>
      <c r="AL676" s="23" t="n"/>
    </row>
    <row r="677" ht="23.5" customHeight="1">
      <c r="A677" s="6" t="inlineStr">
        <is>
          <t>670</t>
        </is>
      </c>
      <c r="B677" s="24" t="n"/>
      <c r="C677" s="55" t="n"/>
      <c r="D677" s="19" t="n"/>
      <c r="E677" s="24" t="n"/>
      <c r="F677" s="25" t="n"/>
      <c r="G677" s="25" t="n"/>
      <c r="H677" s="25" t="n"/>
      <c r="I677" s="11" t="n"/>
      <c r="J677" s="57" t="n"/>
      <c r="K677" s="12" t="n"/>
      <c r="L677" s="22" t="n"/>
      <c r="M677" s="13" t="n"/>
      <c r="N677" s="14">
        <f>ROUND(I677*(SUM(J677:M677))*68%,0)</f>
        <v/>
      </c>
      <c r="O677" s="61" t="n"/>
      <c r="P677" s="59" t="n"/>
      <c r="Q677" s="59" t="n"/>
      <c r="R677" s="58" t="n"/>
      <c r="S677" s="15">
        <f>I677*J677</f>
        <v/>
      </c>
      <c r="T677" s="15">
        <f>SUM(S677:S677)*68%</f>
        <v/>
      </c>
      <c r="U677" s="15">
        <f>I677*K677*40%*O677</f>
        <v/>
      </c>
      <c r="V677" s="15">
        <f>IF(P677&gt;=6750,(I677*K677*40%),0)</f>
        <v/>
      </c>
      <c r="W677" s="15">
        <f>IF(P677&lt;6750,0,IF(Q677="",0,IF(OR(Q677="KURANG",Q677="SANGAT KURANG"),I677*K677*10%,I677*K677*20%)))</f>
        <v/>
      </c>
      <c r="X677" s="15">
        <f>SUM(U677:W677)*68%</f>
        <v/>
      </c>
      <c r="Y677" s="15">
        <f>I677*L677</f>
        <v/>
      </c>
      <c r="Z677" s="15">
        <f>Y677 * 68%</f>
        <v/>
      </c>
      <c r="AA677" s="15">
        <f>I677*M677</f>
        <v/>
      </c>
      <c r="AB677" s="15">
        <f>AA677*68%</f>
        <v/>
      </c>
      <c r="AC677" s="16">
        <f>ROUND((T677+X677+Z677+AB677),0)</f>
        <v/>
      </c>
      <c r="AD677" s="16">
        <f>AG677</f>
        <v/>
      </c>
      <c r="AE677" s="16">
        <f>AI677</f>
        <v/>
      </c>
      <c r="AF677" s="16">
        <f>AC677+AD677+AE677</f>
        <v/>
      </c>
      <c r="AG677" s="16" t="n"/>
      <c r="AH677" s="17" t="n"/>
      <c r="AI677" s="17">
        <f>AH677*4</f>
        <v/>
      </c>
      <c r="AJ677" s="15">
        <f>AF677-AG677-AH677-AI677</f>
        <v/>
      </c>
      <c r="AK677" s="18" t="n">
        <v>670</v>
      </c>
      <c r="AL677" s="23" t="n"/>
    </row>
    <row r="678" ht="23.5" customHeight="1">
      <c r="A678" s="6" t="inlineStr">
        <is>
          <t>671</t>
        </is>
      </c>
      <c r="B678" s="24" t="n"/>
      <c r="C678" s="55" t="n"/>
      <c r="D678" s="19" t="n"/>
      <c r="E678" s="24" t="n"/>
      <c r="F678" s="25" t="n"/>
      <c r="G678" s="25" t="n"/>
      <c r="H678" s="25" t="n"/>
      <c r="I678" s="11" t="n"/>
      <c r="J678" s="57" t="n"/>
      <c r="K678" s="12" t="n"/>
      <c r="L678" s="22" t="n"/>
      <c r="M678" s="13" t="n"/>
      <c r="N678" s="14">
        <f>ROUND(I678*(SUM(J678:M678))*68%,0)</f>
        <v/>
      </c>
      <c r="O678" s="61" t="n"/>
      <c r="P678" s="59" t="n"/>
      <c r="Q678" s="59" t="n"/>
      <c r="R678" s="58" t="n"/>
      <c r="S678" s="15">
        <f>I678*J678</f>
        <v/>
      </c>
      <c r="T678" s="15">
        <f>SUM(S678:S678)*68%</f>
        <v/>
      </c>
      <c r="U678" s="15">
        <f>I678*K678*40%*O678</f>
        <v/>
      </c>
      <c r="V678" s="15">
        <f>IF(P678&gt;=6750,(I678*K678*40%),0)</f>
        <v/>
      </c>
      <c r="W678" s="15">
        <f>IF(P678&lt;6750,0,IF(Q678="",0,IF(OR(Q678="KURANG",Q678="SANGAT KURANG"),I678*K678*10%,I678*K678*20%)))</f>
        <v/>
      </c>
      <c r="X678" s="15">
        <f>SUM(U678:W678)*68%</f>
        <v/>
      </c>
      <c r="Y678" s="15">
        <f>I678*L678</f>
        <v/>
      </c>
      <c r="Z678" s="15">
        <f>Y678 * 68%</f>
        <v/>
      </c>
      <c r="AA678" s="15">
        <f>I678*M678</f>
        <v/>
      </c>
      <c r="AB678" s="15">
        <f>AA678*68%</f>
        <v/>
      </c>
      <c r="AC678" s="16">
        <f>ROUND((T678+X678+Z678+AB678),0)</f>
        <v/>
      </c>
      <c r="AD678" s="16">
        <f>AG678</f>
        <v/>
      </c>
      <c r="AE678" s="16">
        <f>AI678</f>
        <v/>
      </c>
      <c r="AF678" s="16">
        <f>AC678+AD678+AE678</f>
        <v/>
      </c>
      <c r="AG678" s="16" t="n"/>
      <c r="AH678" s="17" t="n"/>
      <c r="AI678" s="17">
        <f>AH678*4</f>
        <v/>
      </c>
      <c r="AJ678" s="15">
        <f>AF678-AG678-AH678-AI678</f>
        <v/>
      </c>
      <c r="AK678" s="18" t="n">
        <v>671</v>
      </c>
      <c r="AL678" s="40" t="n"/>
    </row>
    <row r="679" ht="23.5" customHeight="1">
      <c r="A679" s="6" t="inlineStr">
        <is>
          <t>672</t>
        </is>
      </c>
      <c r="B679" s="24" t="n"/>
      <c r="C679" s="55" t="n"/>
      <c r="D679" s="19" t="n"/>
      <c r="E679" s="24" t="n"/>
      <c r="F679" s="25" t="n"/>
      <c r="G679" s="25" t="n"/>
      <c r="H679" s="25" t="n"/>
      <c r="I679" s="11" t="n"/>
      <c r="J679" s="57" t="n"/>
      <c r="K679" s="12" t="n"/>
      <c r="L679" s="22" t="n"/>
      <c r="M679" s="13" t="n"/>
      <c r="N679" s="14">
        <f>ROUND(I679*(SUM(J679:M679))*68%,0)</f>
        <v/>
      </c>
      <c r="O679" s="61" t="n"/>
      <c r="P679" s="59" t="n"/>
      <c r="Q679" s="59" t="n"/>
      <c r="R679" s="58" t="n"/>
      <c r="S679" s="15">
        <f>I679*J679</f>
        <v/>
      </c>
      <c r="T679" s="15">
        <f>SUM(S679:S679)*68%</f>
        <v/>
      </c>
      <c r="U679" s="15">
        <f>I679*K679*40%*O679</f>
        <v/>
      </c>
      <c r="V679" s="15">
        <f>IF(P679&gt;=6750,(I679*K679*40%),0)</f>
        <v/>
      </c>
      <c r="W679" s="15">
        <f>IF(P679&lt;6750,0,IF(Q679="",0,IF(OR(Q679="KURANG",Q679="SANGAT KURANG"),I679*K679*10%,I679*K679*20%)))</f>
        <v/>
      </c>
      <c r="X679" s="15">
        <f>SUM(U679:W679)*68%</f>
        <v/>
      </c>
      <c r="Y679" s="15">
        <f>I679*L679</f>
        <v/>
      </c>
      <c r="Z679" s="15">
        <f>Y679 * 68%</f>
        <v/>
      </c>
      <c r="AA679" s="15">
        <f>I679*M679</f>
        <v/>
      </c>
      <c r="AB679" s="15">
        <f>AA679*68%</f>
        <v/>
      </c>
      <c r="AC679" s="16">
        <f>ROUND((T679+X679+Z679+AB679),0)</f>
        <v/>
      </c>
      <c r="AD679" s="16">
        <f>AG679</f>
        <v/>
      </c>
      <c r="AE679" s="16">
        <f>AI679</f>
        <v/>
      </c>
      <c r="AF679" s="16">
        <f>AC679+AD679+AE679</f>
        <v/>
      </c>
      <c r="AG679" s="16" t="n"/>
      <c r="AH679" s="17" t="n"/>
      <c r="AI679" s="17">
        <f>AH679*4</f>
        <v/>
      </c>
      <c r="AJ679" s="15">
        <f>AF679-AG679-AH679-AI679</f>
        <v/>
      </c>
      <c r="AK679" s="18" t="n">
        <v>672</v>
      </c>
      <c r="AL679" s="23" t="n"/>
    </row>
    <row r="680" ht="23.5" customHeight="1">
      <c r="A680" s="6" t="inlineStr">
        <is>
          <t>673</t>
        </is>
      </c>
      <c r="B680" s="24" t="n"/>
      <c r="C680" s="55" t="n"/>
      <c r="D680" s="19" t="n"/>
      <c r="E680" s="24" t="n"/>
      <c r="F680" s="25" t="n"/>
      <c r="G680" s="25" t="n"/>
      <c r="H680" s="25" t="n"/>
      <c r="I680" s="11" t="n"/>
      <c r="J680" s="57" t="n"/>
      <c r="K680" s="12" t="n"/>
      <c r="L680" s="22" t="n"/>
      <c r="M680" s="13" t="n"/>
      <c r="N680" s="14">
        <f>ROUND(I680*(SUM(J680:M680))*68%,0)</f>
        <v/>
      </c>
      <c r="O680" s="61" t="n"/>
      <c r="P680" s="59" t="n"/>
      <c r="Q680" s="59" t="n"/>
      <c r="R680" s="58" t="n"/>
      <c r="S680" s="15">
        <f>I680*J680</f>
        <v/>
      </c>
      <c r="T680" s="15">
        <f>SUM(S680:S680)*68%</f>
        <v/>
      </c>
      <c r="U680" s="15">
        <f>I680*K680*40%*O680</f>
        <v/>
      </c>
      <c r="V680" s="15">
        <f>IF(P680&gt;=6750,(I680*K680*40%),0)</f>
        <v/>
      </c>
      <c r="W680" s="15">
        <f>IF(P680&lt;6750,0,IF(Q680="",0,IF(OR(Q680="KURANG",Q680="SANGAT KURANG"),I680*K680*10%,I680*K680*20%)))</f>
        <v/>
      </c>
      <c r="X680" s="15">
        <f>SUM(U680:W680)*68%</f>
        <v/>
      </c>
      <c r="Y680" s="15">
        <f>I680*L680</f>
        <v/>
      </c>
      <c r="Z680" s="15">
        <f>Y680 * 68%</f>
        <v/>
      </c>
      <c r="AA680" s="15">
        <f>I680*M680</f>
        <v/>
      </c>
      <c r="AB680" s="15">
        <f>AA680*68%</f>
        <v/>
      </c>
      <c r="AC680" s="16">
        <f>ROUND((T680+X680+Z680+AB680),0)</f>
        <v/>
      </c>
      <c r="AD680" s="16">
        <f>AG680</f>
        <v/>
      </c>
      <c r="AE680" s="16">
        <f>AI680</f>
        <v/>
      </c>
      <c r="AF680" s="16">
        <f>AC680+AD680+AE680</f>
        <v/>
      </c>
      <c r="AG680" s="16" t="n"/>
      <c r="AH680" s="17" t="n"/>
      <c r="AI680" s="17">
        <f>AH680*4</f>
        <v/>
      </c>
      <c r="AJ680" s="15">
        <f>AF680-AG680-AH680-AI680</f>
        <v/>
      </c>
      <c r="AK680" s="18" t="n">
        <v>673</v>
      </c>
      <c r="AL680" s="23" t="n"/>
    </row>
    <row r="681" ht="23.5" customHeight="1">
      <c r="A681" s="6" t="inlineStr">
        <is>
          <t>674</t>
        </is>
      </c>
      <c r="B681" s="24" t="n"/>
      <c r="C681" s="55" t="n"/>
      <c r="D681" s="19" t="n"/>
      <c r="E681" s="24" t="n"/>
      <c r="F681" s="25" t="n"/>
      <c r="G681" s="25" t="n"/>
      <c r="H681" s="25" t="n"/>
      <c r="I681" s="11" t="n"/>
      <c r="J681" s="57" t="n"/>
      <c r="K681" s="12" t="n"/>
      <c r="L681" s="22" t="n"/>
      <c r="M681" s="13" t="n"/>
      <c r="N681" s="14">
        <f>ROUND(I681*(SUM(J681:M681))*68%,0)</f>
        <v/>
      </c>
      <c r="O681" s="61" t="n"/>
      <c r="P681" s="59" t="n"/>
      <c r="Q681" s="59" t="n"/>
      <c r="R681" s="58" t="n"/>
      <c r="S681" s="15">
        <f>I681*J681</f>
        <v/>
      </c>
      <c r="T681" s="15">
        <f>SUM(S681:S681)*68%</f>
        <v/>
      </c>
      <c r="U681" s="15">
        <f>I681*K681*40%*O681</f>
        <v/>
      </c>
      <c r="V681" s="15">
        <f>IF(P681&gt;=6750,(I681*K681*40%),0)</f>
        <v/>
      </c>
      <c r="W681" s="15">
        <f>IF(P681&lt;6750,0,IF(Q681="",0,IF(OR(Q681="KURANG",Q681="SANGAT KURANG"),I681*K681*10%,I681*K681*20%)))</f>
        <v/>
      </c>
      <c r="X681" s="15">
        <f>SUM(U681:W681)*68%</f>
        <v/>
      </c>
      <c r="Y681" s="15">
        <f>I681*L681</f>
        <v/>
      </c>
      <c r="Z681" s="15">
        <f>Y681 * 68%</f>
        <v/>
      </c>
      <c r="AA681" s="15">
        <f>I681*M681</f>
        <v/>
      </c>
      <c r="AB681" s="15">
        <f>AA681*68%</f>
        <v/>
      </c>
      <c r="AC681" s="16">
        <f>ROUND((T681+X681+Z681+AB681),0)</f>
        <v/>
      </c>
      <c r="AD681" s="16">
        <f>AG681</f>
        <v/>
      </c>
      <c r="AE681" s="16">
        <f>AI681</f>
        <v/>
      </c>
      <c r="AF681" s="16">
        <f>AC681+AD681+AE681</f>
        <v/>
      </c>
      <c r="AG681" s="16" t="n"/>
      <c r="AH681" s="17" t="n"/>
      <c r="AI681" s="17">
        <f>AH681*4</f>
        <v/>
      </c>
      <c r="AJ681" s="15">
        <f>AF681-AG681-AH681-AI681</f>
        <v/>
      </c>
      <c r="AK681" s="18" t="n">
        <v>674</v>
      </c>
      <c r="AL681" s="40" t="n"/>
    </row>
    <row r="682" ht="23.5" customHeight="1">
      <c r="A682" s="6" t="inlineStr">
        <is>
          <t>675</t>
        </is>
      </c>
      <c r="B682" s="28" t="n"/>
      <c r="C682" s="55" t="n"/>
      <c r="D682" s="19" t="n"/>
      <c r="E682" s="24" t="n"/>
      <c r="F682" s="25" t="n"/>
      <c r="G682" s="25" t="n"/>
      <c r="H682" s="24" t="n"/>
      <c r="I682" s="11" t="n"/>
      <c r="J682" s="57" t="n"/>
      <c r="K682" s="12" t="n"/>
      <c r="L682" s="13" t="n"/>
      <c r="M682" s="13" t="n"/>
      <c r="N682" s="14">
        <f>ROUND(I682*(SUM(J682:M682))*68%,0)</f>
        <v/>
      </c>
      <c r="O682" s="61" t="n"/>
      <c r="P682" s="59" t="n"/>
      <c r="Q682" s="59" t="n"/>
      <c r="R682" s="58" t="n"/>
      <c r="S682" s="15">
        <f>I682*J682</f>
        <v/>
      </c>
      <c r="T682" s="15">
        <f>SUM(S682:S682)*68%</f>
        <v/>
      </c>
      <c r="U682" s="15">
        <f>I682*K682*40%*O682</f>
        <v/>
      </c>
      <c r="V682" s="15">
        <f>IF(P682&gt;=6750,(I682*K682*40%),0)</f>
        <v/>
      </c>
      <c r="W682" s="15">
        <f>IF(P682&lt;6750,0,IF(Q682="",0,IF(OR(Q682="KURANG",Q682="SANGAT KURANG"),I682*K682*10%,I682*K682*20%)))</f>
        <v/>
      </c>
      <c r="X682" s="15">
        <f>SUM(U682:W682)*68%</f>
        <v/>
      </c>
      <c r="Y682" s="15">
        <f>I682*L682</f>
        <v/>
      </c>
      <c r="Z682" s="15">
        <f>Y682 * 68%</f>
        <v/>
      </c>
      <c r="AA682" s="15">
        <f>I682*M682</f>
        <v/>
      </c>
      <c r="AB682" s="15">
        <f>AA682*68%</f>
        <v/>
      </c>
      <c r="AC682" s="16">
        <f>ROUND((T682+X682+Z682+AB682),0)</f>
        <v/>
      </c>
      <c r="AD682" s="16">
        <f>AG682</f>
        <v/>
      </c>
      <c r="AE682" s="16">
        <f>AI682</f>
        <v/>
      </c>
      <c r="AF682" s="16">
        <f>AC682+AD682+AE682</f>
        <v/>
      </c>
      <c r="AG682" s="16" t="n"/>
      <c r="AH682" s="17" t="n"/>
      <c r="AI682" s="17">
        <f>AH682*4</f>
        <v/>
      </c>
      <c r="AJ682" s="15">
        <f>AF682-AG682-AH682-AI682</f>
        <v/>
      </c>
      <c r="AK682" s="18" t="n">
        <v>675</v>
      </c>
      <c r="AL682" s="23" t="n"/>
    </row>
    <row r="683" ht="23.5" customHeight="1">
      <c r="A683" s="6" t="inlineStr">
        <is>
          <t>676</t>
        </is>
      </c>
      <c r="B683" s="28" t="n"/>
      <c r="C683" s="55" t="n"/>
      <c r="D683" s="19" t="n"/>
      <c r="E683" s="24" t="n"/>
      <c r="F683" s="25" t="n"/>
      <c r="G683" s="25" t="n"/>
      <c r="H683" s="24" t="n"/>
      <c r="I683" s="11" t="n"/>
      <c r="J683" s="57" t="n"/>
      <c r="K683" s="12" t="n"/>
      <c r="L683" s="13" t="n"/>
      <c r="M683" s="13" t="n"/>
      <c r="N683" s="14">
        <f>ROUND(I683*(SUM(J683:M683))*68%,0)</f>
        <v/>
      </c>
      <c r="O683" s="61" t="n"/>
      <c r="P683" s="59" t="n"/>
      <c r="Q683" s="59" t="n"/>
      <c r="R683" s="58" t="n"/>
      <c r="S683" s="15">
        <f>I683*J683</f>
        <v/>
      </c>
      <c r="T683" s="15">
        <f>SUM(S683:S683)*68%</f>
        <v/>
      </c>
      <c r="U683" s="15">
        <f>I683*K683*40%*O683</f>
        <v/>
      </c>
      <c r="V683" s="15">
        <f>IF(P683&gt;=6750,(I683*K683*40%),0)</f>
        <v/>
      </c>
      <c r="W683" s="15">
        <f>IF(P683&lt;6750,0,IF(Q683="",0,IF(OR(Q683="KURANG",Q683="SANGAT KURANG"),I683*K683*10%,I683*K683*20%)))</f>
        <v/>
      </c>
      <c r="X683" s="15">
        <f>SUM(U683:W683)*68%</f>
        <v/>
      </c>
      <c r="Y683" s="15">
        <f>I683*L683</f>
        <v/>
      </c>
      <c r="Z683" s="15">
        <f>Y683 * 68%</f>
        <v/>
      </c>
      <c r="AA683" s="15">
        <f>I683*M683</f>
        <v/>
      </c>
      <c r="AB683" s="15">
        <f>AA683*68%</f>
        <v/>
      </c>
      <c r="AC683" s="16">
        <f>ROUND((T683+X683+Z683+AB683),0)</f>
        <v/>
      </c>
      <c r="AD683" s="16">
        <f>AG683</f>
        <v/>
      </c>
      <c r="AE683" s="16">
        <f>AI683</f>
        <v/>
      </c>
      <c r="AF683" s="16">
        <f>AC683+AD683+AE683</f>
        <v/>
      </c>
      <c r="AG683" s="16" t="n"/>
      <c r="AH683" s="17" t="n"/>
      <c r="AI683" s="17">
        <f>AH683*4</f>
        <v/>
      </c>
      <c r="AJ683" s="15">
        <f>AF683-AG683-AH683-AI683</f>
        <v/>
      </c>
      <c r="AK683" s="18" t="n">
        <v>676</v>
      </c>
      <c r="AL683" s="23" t="n"/>
    </row>
    <row r="684" ht="23.5" customHeight="1">
      <c r="A684" s="6" t="inlineStr">
        <is>
          <t>677</t>
        </is>
      </c>
      <c r="B684" s="28" t="n"/>
      <c r="C684" s="55" t="n"/>
      <c r="D684" s="19" t="n"/>
      <c r="E684" s="24" t="n"/>
      <c r="F684" s="25" t="n"/>
      <c r="G684" s="25" t="n"/>
      <c r="H684" s="24" t="n"/>
      <c r="I684" s="11" t="n"/>
      <c r="J684" s="57" t="n"/>
      <c r="K684" s="12" t="n"/>
      <c r="L684" s="13" t="n"/>
      <c r="M684" s="13" t="n"/>
      <c r="N684" s="14">
        <f>ROUND(I684*(SUM(J684:M684))*68%,0)</f>
        <v/>
      </c>
      <c r="O684" s="61" t="n"/>
      <c r="P684" s="59" t="n"/>
      <c r="Q684" s="59" t="n"/>
      <c r="R684" s="58" t="n"/>
      <c r="S684" s="15">
        <f>I684*J684</f>
        <v/>
      </c>
      <c r="T684" s="15">
        <f>SUM(S684:S684)*68%</f>
        <v/>
      </c>
      <c r="U684" s="15">
        <f>I684*K684*40%*O684</f>
        <v/>
      </c>
      <c r="V684" s="15">
        <f>IF(P684&gt;=6750,(I684*K684*40%),0)</f>
        <v/>
      </c>
      <c r="W684" s="15">
        <f>IF(P684&lt;6750,0,IF(Q684="",0,IF(OR(Q684="KURANG",Q684="SANGAT KURANG"),I684*K684*10%,I684*K684*20%)))</f>
        <v/>
      </c>
      <c r="X684" s="15">
        <f>SUM(U684:W684)*68%</f>
        <v/>
      </c>
      <c r="Y684" s="15">
        <f>I684*L684</f>
        <v/>
      </c>
      <c r="Z684" s="15">
        <f>Y684 * 68%</f>
        <v/>
      </c>
      <c r="AA684" s="15">
        <f>I684*M684</f>
        <v/>
      </c>
      <c r="AB684" s="15">
        <f>AA684*68%</f>
        <v/>
      </c>
      <c r="AC684" s="16">
        <f>ROUND((T684+X684+Z684+AB684),0)</f>
        <v/>
      </c>
      <c r="AD684" s="16">
        <f>AG684</f>
        <v/>
      </c>
      <c r="AE684" s="16">
        <f>AI684</f>
        <v/>
      </c>
      <c r="AF684" s="16">
        <f>AC684+AD684+AE684</f>
        <v/>
      </c>
      <c r="AG684" s="16" t="n"/>
      <c r="AH684" s="17" t="n"/>
      <c r="AI684" s="17">
        <f>AH684*4</f>
        <v/>
      </c>
      <c r="AJ684" s="15">
        <f>AF684-AG684-AH684-AI684</f>
        <v/>
      </c>
      <c r="AK684" s="18" t="n">
        <v>677</v>
      </c>
      <c r="AL684" s="40" t="n"/>
    </row>
    <row r="685" ht="23.5" customHeight="1">
      <c r="A685" s="6" t="inlineStr">
        <is>
          <t>678</t>
        </is>
      </c>
      <c r="B685" s="28" t="n"/>
      <c r="C685" s="55" t="n"/>
      <c r="D685" s="19" t="n"/>
      <c r="E685" s="24" t="n"/>
      <c r="F685" s="25" t="n"/>
      <c r="G685" s="25" t="n"/>
      <c r="H685" s="24" t="n"/>
      <c r="I685" s="11" t="n"/>
      <c r="J685" s="57" t="n"/>
      <c r="K685" s="12" t="n"/>
      <c r="L685" s="13" t="n"/>
      <c r="M685" s="13" t="n"/>
      <c r="N685" s="14">
        <f>ROUND(I685*(SUM(J685:M685))*68%,0)</f>
        <v/>
      </c>
      <c r="O685" s="61" t="n"/>
      <c r="P685" s="59" t="n"/>
      <c r="Q685" s="59" t="n"/>
      <c r="R685" s="58" t="n"/>
      <c r="S685" s="15">
        <f>I685*J685</f>
        <v/>
      </c>
      <c r="T685" s="15">
        <f>SUM(S685:S685)*68%</f>
        <v/>
      </c>
      <c r="U685" s="15">
        <f>I685*K685*40%*O685</f>
        <v/>
      </c>
      <c r="V685" s="15">
        <f>IF(P685&gt;=6750,(I685*K685*40%),0)</f>
        <v/>
      </c>
      <c r="W685" s="15">
        <f>IF(P685&lt;6750,0,IF(Q685="",0,IF(OR(Q685="KURANG",Q685="SANGAT KURANG"),I685*K685*10%,I685*K685*20%)))</f>
        <v/>
      </c>
      <c r="X685" s="15">
        <f>SUM(U685:W685)*68%</f>
        <v/>
      </c>
      <c r="Y685" s="15">
        <f>I685*L685</f>
        <v/>
      </c>
      <c r="Z685" s="15">
        <f>Y685 * 68%</f>
        <v/>
      </c>
      <c r="AA685" s="15">
        <f>I685*M685</f>
        <v/>
      </c>
      <c r="AB685" s="15">
        <f>AA685*68%</f>
        <v/>
      </c>
      <c r="AC685" s="16">
        <f>ROUND((T685+X685+Z685+AB685),0)</f>
        <v/>
      </c>
      <c r="AD685" s="16">
        <f>AG685</f>
        <v/>
      </c>
      <c r="AE685" s="16">
        <f>AI685</f>
        <v/>
      </c>
      <c r="AF685" s="16">
        <f>AC685+AD685+AE685</f>
        <v/>
      </c>
      <c r="AG685" s="16" t="n"/>
      <c r="AH685" s="17" t="n"/>
      <c r="AI685" s="17">
        <f>AH685*4</f>
        <v/>
      </c>
      <c r="AJ685" s="15">
        <f>AF685-AG685-AH685-AI685</f>
        <v/>
      </c>
      <c r="AK685" s="18" t="n">
        <v>678</v>
      </c>
      <c r="AL685" s="23" t="n"/>
    </row>
    <row r="686" ht="23.5" customHeight="1">
      <c r="A686" s="6" t="inlineStr">
        <is>
          <t>679</t>
        </is>
      </c>
      <c r="B686" s="28" t="n"/>
      <c r="C686" s="55" t="n"/>
      <c r="D686" s="19" t="n"/>
      <c r="E686" s="24" t="n"/>
      <c r="F686" s="25" t="n"/>
      <c r="G686" s="25" t="n"/>
      <c r="H686" s="24" t="n"/>
      <c r="I686" s="11" t="n"/>
      <c r="J686" s="57" t="n"/>
      <c r="K686" s="12" t="n"/>
      <c r="L686" s="13" t="n"/>
      <c r="M686" s="13" t="n"/>
      <c r="N686" s="14">
        <f>ROUND(I686*(SUM(J686:M686))*68%,0)</f>
        <v/>
      </c>
      <c r="O686" s="61" t="n"/>
      <c r="P686" s="59" t="n"/>
      <c r="Q686" s="59" t="n"/>
      <c r="R686" s="58" t="n"/>
      <c r="S686" s="15">
        <f>I686*J686</f>
        <v/>
      </c>
      <c r="T686" s="15">
        <f>SUM(S686:S686)*68%</f>
        <v/>
      </c>
      <c r="U686" s="15">
        <f>I686*K686*40%*O686</f>
        <v/>
      </c>
      <c r="V686" s="15">
        <f>IF(P686&gt;=6750,(I686*K686*40%),0)</f>
        <v/>
      </c>
      <c r="W686" s="15">
        <f>IF(P686&lt;6750,0,IF(Q686="",0,IF(OR(Q686="KURANG",Q686="SANGAT KURANG"),I686*K686*10%,I686*K686*20%)))</f>
        <v/>
      </c>
      <c r="X686" s="15">
        <f>SUM(U686:W686)*68%</f>
        <v/>
      </c>
      <c r="Y686" s="15">
        <f>I686*L686</f>
        <v/>
      </c>
      <c r="Z686" s="15">
        <f>Y686 * 68%</f>
        <v/>
      </c>
      <c r="AA686" s="15">
        <f>I686*M686</f>
        <v/>
      </c>
      <c r="AB686" s="15">
        <f>AA686*68%</f>
        <v/>
      </c>
      <c r="AC686" s="16">
        <f>ROUND((T686+X686+Z686+AB686),0)</f>
        <v/>
      </c>
      <c r="AD686" s="16">
        <f>AG686</f>
        <v/>
      </c>
      <c r="AE686" s="16">
        <f>AI686</f>
        <v/>
      </c>
      <c r="AF686" s="16">
        <f>AC686+AD686+AE686</f>
        <v/>
      </c>
      <c r="AG686" s="16" t="n"/>
      <c r="AH686" s="17" t="n"/>
      <c r="AI686" s="17">
        <f>AH686*4</f>
        <v/>
      </c>
      <c r="AJ686" s="15">
        <f>AF686-AG686-AH686-AI686</f>
        <v/>
      </c>
      <c r="AK686" s="18" t="n">
        <v>679</v>
      </c>
      <c r="AL686" s="23" t="n"/>
    </row>
    <row r="687" ht="23.5" customHeight="1">
      <c r="A687" s="6" t="inlineStr">
        <is>
          <t>680</t>
        </is>
      </c>
      <c r="B687" s="28" t="n"/>
      <c r="C687" s="55" t="n"/>
      <c r="D687" s="19" t="n"/>
      <c r="E687" s="24" t="n"/>
      <c r="F687" s="25" t="n"/>
      <c r="G687" s="25" t="n"/>
      <c r="H687" s="24" t="n"/>
      <c r="I687" s="11" t="n"/>
      <c r="J687" s="57" t="n"/>
      <c r="K687" s="12" t="n"/>
      <c r="L687" s="13" t="n"/>
      <c r="M687" s="13" t="n"/>
      <c r="N687" s="14">
        <f>ROUND(I687*(SUM(J687:M687))*68%,0)</f>
        <v/>
      </c>
      <c r="O687" s="61" t="n"/>
      <c r="P687" s="59" t="n"/>
      <c r="Q687" s="59" t="n"/>
      <c r="R687" s="58" t="n"/>
      <c r="S687" s="15">
        <f>I687*J687</f>
        <v/>
      </c>
      <c r="T687" s="15">
        <f>SUM(S687:S687)*68%</f>
        <v/>
      </c>
      <c r="U687" s="15">
        <f>I687*K687*40%*O687</f>
        <v/>
      </c>
      <c r="V687" s="15">
        <f>IF(P687&gt;=6750,(I687*K687*40%),0)</f>
        <v/>
      </c>
      <c r="W687" s="15">
        <f>IF(P687&lt;6750,0,IF(Q687="",0,IF(OR(Q687="KURANG",Q687="SANGAT KURANG"),I687*K687*10%,I687*K687*20%)))</f>
        <v/>
      </c>
      <c r="X687" s="15">
        <f>SUM(U687:W687)*68%</f>
        <v/>
      </c>
      <c r="Y687" s="15">
        <f>I687*L687</f>
        <v/>
      </c>
      <c r="Z687" s="15">
        <f>Y687 * 68%</f>
        <v/>
      </c>
      <c r="AA687" s="15">
        <f>I687*M687</f>
        <v/>
      </c>
      <c r="AB687" s="15">
        <f>AA687*68%</f>
        <v/>
      </c>
      <c r="AC687" s="16">
        <f>ROUND((T687+X687+Z687+AB687),0)</f>
        <v/>
      </c>
      <c r="AD687" s="16">
        <f>AG687</f>
        <v/>
      </c>
      <c r="AE687" s="16">
        <f>AI687</f>
        <v/>
      </c>
      <c r="AF687" s="16">
        <f>AC687+AD687+AE687</f>
        <v/>
      </c>
      <c r="AG687" s="16" t="n"/>
      <c r="AH687" s="17" t="n"/>
      <c r="AI687" s="17">
        <f>AH687*4</f>
        <v/>
      </c>
      <c r="AJ687" s="15">
        <f>AF687-AG687-AH687-AI687</f>
        <v/>
      </c>
      <c r="AK687" s="18" t="n">
        <v>680</v>
      </c>
      <c r="AL687" s="40" t="n"/>
    </row>
    <row r="688" ht="23.5" customHeight="1">
      <c r="A688" s="6" t="inlineStr">
        <is>
          <t>681</t>
        </is>
      </c>
      <c r="B688" s="28" t="n"/>
      <c r="C688" s="55" t="n"/>
      <c r="D688" s="19" t="n"/>
      <c r="E688" s="24" t="n"/>
      <c r="F688" s="25" t="n"/>
      <c r="G688" s="25" t="n"/>
      <c r="H688" s="24" t="n"/>
      <c r="I688" s="11" t="n"/>
      <c r="J688" s="57" t="n"/>
      <c r="K688" s="12" t="n"/>
      <c r="L688" s="13" t="n"/>
      <c r="M688" s="13" t="n"/>
      <c r="N688" s="14">
        <f>ROUND(I688*(SUM(J688:M688))*68%,0)</f>
        <v/>
      </c>
      <c r="O688" s="61" t="n"/>
      <c r="P688" s="59" t="n"/>
      <c r="Q688" s="59" t="n"/>
      <c r="R688" s="58" t="n"/>
      <c r="S688" s="15">
        <f>I688*J688</f>
        <v/>
      </c>
      <c r="T688" s="15">
        <f>SUM(S688:S688)*68%</f>
        <v/>
      </c>
      <c r="U688" s="15">
        <f>I688*K688*40%*O688</f>
        <v/>
      </c>
      <c r="V688" s="15">
        <f>IF(P688&gt;=6750,(I688*K688*40%),0)</f>
        <v/>
      </c>
      <c r="W688" s="15">
        <f>IF(P688&lt;6750,0,IF(Q688="",0,IF(OR(Q688="KURANG",Q688="SANGAT KURANG"),I688*K688*10%,I688*K688*20%)))</f>
        <v/>
      </c>
      <c r="X688" s="15">
        <f>SUM(U688:W688)*68%</f>
        <v/>
      </c>
      <c r="Y688" s="15">
        <f>I688*L688</f>
        <v/>
      </c>
      <c r="Z688" s="15">
        <f>Y688 * 68%</f>
        <v/>
      </c>
      <c r="AA688" s="15">
        <f>I688*M688</f>
        <v/>
      </c>
      <c r="AB688" s="15">
        <f>AA688*68%</f>
        <v/>
      </c>
      <c r="AC688" s="16">
        <f>ROUND((T688+X688+Z688+AB688),0)</f>
        <v/>
      </c>
      <c r="AD688" s="16">
        <f>AG688</f>
        <v/>
      </c>
      <c r="AE688" s="16">
        <f>AI688</f>
        <v/>
      </c>
      <c r="AF688" s="16">
        <f>AC688+AD688+AE688</f>
        <v/>
      </c>
      <c r="AG688" s="16" t="n"/>
      <c r="AH688" s="17" t="n"/>
      <c r="AI688" s="17">
        <f>AH688*4</f>
        <v/>
      </c>
      <c r="AJ688" s="15">
        <f>AF688-AG688-AH688-AI688</f>
        <v/>
      </c>
      <c r="AK688" s="18" t="n">
        <v>681</v>
      </c>
      <c r="AL688" s="23" t="n"/>
    </row>
    <row r="689" ht="23.5" customHeight="1">
      <c r="A689" s="6" t="inlineStr">
        <is>
          <t>682</t>
        </is>
      </c>
      <c r="B689" s="28" t="n"/>
      <c r="C689" s="55" t="n"/>
      <c r="D689" s="19" t="n"/>
      <c r="E689" s="24" t="n"/>
      <c r="F689" s="25" t="n"/>
      <c r="G689" s="25" t="n"/>
      <c r="H689" s="24" t="n"/>
      <c r="I689" s="11" t="n"/>
      <c r="J689" s="57" t="n"/>
      <c r="K689" s="12" t="n"/>
      <c r="L689" s="13" t="n"/>
      <c r="M689" s="13" t="n"/>
      <c r="N689" s="14">
        <f>ROUND(I689*(SUM(J689:M689))*68%,0)</f>
        <v/>
      </c>
      <c r="O689" s="61" t="n"/>
      <c r="P689" s="59" t="n"/>
      <c r="Q689" s="59" t="n"/>
      <c r="R689" s="58" t="n"/>
      <c r="S689" s="15">
        <f>I689*J689</f>
        <v/>
      </c>
      <c r="T689" s="15">
        <f>SUM(S689:S689)*68%</f>
        <v/>
      </c>
      <c r="U689" s="15">
        <f>I689*K689*40%*O689</f>
        <v/>
      </c>
      <c r="V689" s="15">
        <f>IF(P689&gt;=6750,(I689*K689*40%),0)</f>
        <v/>
      </c>
      <c r="W689" s="15">
        <f>IF(P689&lt;6750,0,IF(Q689="",0,IF(OR(Q689="KURANG",Q689="SANGAT KURANG"),I689*K689*10%,I689*K689*20%)))</f>
        <v/>
      </c>
      <c r="X689" s="15">
        <f>SUM(U689:W689)*68%</f>
        <v/>
      </c>
      <c r="Y689" s="15">
        <f>I689*L689</f>
        <v/>
      </c>
      <c r="Z689" s="15">
        <f>Y689 * 68%</f>
        <v/>
      </c>
      <c r="AA689" s="15">
        <f>I689*M689</f>
        <v/>
      </c>
      <c r="AB689" s="15">
        <f>AA689*68%</f>
        <v/>
      </c>
      <c r="AC689" s="16">
        <f>ROUND((T689+X689+Z689+AB689),0)</f>
        <v/>
      </c>
      <c r="AD689" s="16">
        <f>AG689</f>
        <v/>
      </c>
      <c r="AE689" s="16">
        <f>AI689</f>
        <v/>
      </c>
      <c r="AF689" s="16">
        <f>AC689+AD689+AE689</f>
        <v/>
      </c>
      <c r="AG689" s="16" t="n"/>
      <c r="AH689" s="17" t="n"/>
      <c r="AI689" s="17">
        <f>AH689*4</f>
        <v/>
      </c>
      <c r="AJ689" s="15">
        <f>AF689-AG689-AH689-AI689</f>
        <v/>
      </c>
      <c r="AK689" s="18" t="n">
        <v>682</v>
      </c>
      <c r="AL689" s="23" t="n"/>
    </row>
    <row r="690" ht="23.5" customHeight="1">
      <c r="A690" s="6" t="inlineStr">
        <is>
          <t>683</t>
        </is>
      </c>
      <c r="B690" s="28" t="n"/>
      <c r="C690" s="55" t="n"/>
      <c r="D690" s="19" t="n"/>
      <c r="E690" s="24" t="n"/>
      <c r="F690" s="25" t="n"/>
      <c r="G690" s="25" t="n"/>
      <c r="H690" s="24" t="n"/>
      <c r="I690" s="11" t="n"/>
      <c r="J690" s="57" t="n"/>
      <c r="K690" s="12" t="n"/>
      <c r="L690" s="13" t="n"/>
      <c r="M690" s="13" t="n"/>
      <c r="N690" s="14">
        <f>ROUND(I690*(SUM(J690:M690))*68%,0)</f>
        <v/>
      </c>
      <c r="O690" s="61" t="n"/>
      <c r="P690" s="59" t="n"/>
      <c r="Q690" s="59" t="n"/>
      <c r="R690" s="58" t="n"/>
      <c r="S690" s="15">
        <f>I690*J690</f>
        <v/>
      </c>
      <c r="T690" s="15">
        <f>SUM(S690:S690)*68%</f>
        <v/>
      </c>
      <c r="U690" s="15">
        <f>I690*K690*40%*O690</f>
        <v/>
      </c>
      <c r="V690" s="15">
        <f>IF(P690&gt;=6750,(I690*K690*40%),0)</f>
        <v/>
      </c>
      <c r="W690" s="15">
        <f>IF(P690&lt;6750,0,IF(Q690="",0,IF(OR(Q690="KURANG",Q690="SANGAT KURANG"),I690*K690*10%,I690*K690*20%)))</f>
        <v/>
      </c>
      <c r="X690" s="15">
        <f>SUM(U690:W690)*68%</f>
        <v/>
      </c>
      <c r="Y690" s="15">
        <f>I690*L690</f>
        <v/>
      </c>
      <c r="Z690" s="15">
        <f>Y690 * 68%</f>
        <v/>
      </c>
      <c r="AA690" s="15">
        <f>I690*M690</f>
        <v/>
      </c>
      <c r="AB690" s="15">
        <f>AA690*68%</f>
        <v/>
      </c>
      <c r="AC690" s="16">
        <f>ROUND((T690+X690+Z690+AB690),0)</f>
        <v/>
      </c>
      <c r="AD690" s="16">
        <f>AG690</f>
        <v/>
      </c>
      <c r="AE690" s="16">
        <f>AI690</f>
        <v/>
      </c>
      <c r="AF690" s="16">
        <f>AC690+AD690+AE690</f>
        <v/>
      </c>
      <c r="AG690" s="16" t="n"/>
      <c r="AH690" s="17" t="n"/>
      <c r="AI690" s="17">
        <f>AH690*4</f>
        <v/>
      </c>
      <c r="AJ690" s="15">
        <f>AF690-AG690-AH690-AI690</f>
        <v/>
      </c>
      <c r="AK690" s="18" t="n">
        <v>683</v>
      </c>
      <c r="AL690" s="40" t="n"/>
    </row>
    <row r="691" ht="23.5" customHeight="1">
      <c r="A691" s="6" t="inlineStr">
        <is>
          <t>684</t>
        </is>
      </c>
      <c r="B691" s="28" t="n"/>
      <c r="C691" s="55" t="n"/>
      <c r="D691" s="19" t="n"/>
      <c r="E691" s="24" t="n"/>
      <c r="F691" s="25" t="n"/>
      <c r="G691" s="25" t="n"/>
      <c r="H691" s="24" t="n"/>
      <c r="I691" s="11" t="n"/>
      <c r="J691" s="57" t="n"/>
      <c r="K691" s="12" t="n"/>
      <c r="L691" s="13" t="n"/>
      <c r="M691" s="13" t="n"/>
      <c r="N691" s="14">
        <f>ROUND(I691*(SUM(J691:M691))*68%,0)</f>
        <v/>
      </c>
      <c r="O691" s="61" t="n"/>
      <c r="P691" s="59" t="n"/>
      <c r="Q691" s="59" t="n"/>
      <c r="R691" s="58" t="n"/>
      <c r="S691" s="15">
        <f>I691*J691</f>
        <v/>
      </c>
      <c r="T691" s="15">
        <f>SUM(S691:S691)*68%</f>
        <v/>
      </c>
      <c r="U691" s="15">
        <f>I691*K691*40%*O691</f>
        <v/>
      </c>
      <c r="V691" s="15">
        <f>IF(P691&gt;=6750,(I691*K691*40%),0)</f>
        <v/>
      </c>
      <c r="W691" s="15">
        <f>IF(P691&lt;6750,0,IF(Q691="",0,IF(OR(Q691="KURANG",Q691="SANGAT KURANG"),I691*K691*10%,I691*K691*20%)))</f>
        <v/>
      </c>
      <c r="X691" s="15">
        <f>SUM(U691:W691)*68%</f>
        <v/>
      </c>
      <c r="Y691" s="15">
        <f>I691*L691</f>
        <v/>
      </c>
      <c r="Z691" s="15">
        <f>Y691 * 68%</f>
        <v/>
      </c>
      <c r="AA691" s="15">
        <f>I691*M691</f>
        <v/>
      </c>
      <c r="AB691" s="15">
        <f>AA691*68%</f>
        <v/>
      </c>
      <c r="AC691" s="16">
        <f>ROUND((T691+X691+Z691+AB691),0)</f>
        <v/>
      </c>
      <c r="AD691" s="16">
        <f>AG691</f>
        <v/>
      </c>
      <c r="AE691" s="16">
        <f>AI691</f>
        <v/>
      </c>
      <c r="AF691" s="16">
        <f>AC691+AD691+AE691</f>
        <v/>
      </c>
      <c r="AG691" s="16" t="n"/>
      <c r="AH691" s="17" t="n"/>
      <c r="AI691" s="17">
        <f>AH691*4</f>
        <v/>
      </c>
      <c r="AJ691" s="15">
        <f>AF691-AG691-AH691-AI691</f>
        <v/>
      </c>
      <c r="AK691" s="18" t="n">
        <v>684</v>
      </c>
      <c r="AL691" s="23" t="n"/>
    </row>
    <row r="692" ht="23.5" customHeight="1">
      <c r="A692" s="6" t="inlineStr">
        <is>
          <t>685</t>
        </is>
      </c>
      <c r="B692" s="28" t="n"/>
      <c r="C692" s="55" t="n"/>
      <c r="D692" s="19" t="n"/>
      <c r="E692" s="24" t="n"/>
      <c r="F692" s="25" t="n"/>
      <c r="G692" s="25" t="n"/>
      <c r="H692" s="24" t="n"/>
      <c r="I692" s="11" t="n"/>
      <c r="J692" s="57" t="n"/>
      <c r="K692" s="12" t="n"/>
      <c r="L692" s="13" t="n"/>
      <c r="M692" s="13" t="n"/>
      <c r="N692" s="14">
        <f>ROUND(I692*(SUM(J692:M692))*68%,0)</f>
        <v/>
      </c>
      <c r="O692" s="61" t="n"/>
      <c r="P692" s="59" t="n"/>
      <c r="Q692" s="59" t="n"/>
      <c r="R692" s="58" t="n"/>
      <c r="S692" s="15">
        <f>I692*J692</f>
        <v/>
      </c>
      <c r="T692" s="15">
        <f>SUM(S692:S692)*68%</f>
        <v/>
      </c>
      <c r="U692" s="15">
        <f>I692*K692*40%*O692</f>
        <v/>
      </c>
      <c r="V692" s="15">
        <f>IF(P692&gt;=6750,(I692*K692*40%),0)</f>
        <v/>
      </c>
      <c r="W692" s="15">
        <f>IF(P692&lt;6750,0,IF(Q692="",0,IF(OR(Q692="KURANG",Q692="SANGAT KURANG"),I692*K692*10%,I692*K692*20%)))</f>
        <v/>
      </c>
      <c r="X692" s="15">
        <f>SUM(U692:W692)*68%</f>
        <v/>
      </c>
      <c r="Y692" s="15">
        <f>I692*L692</f>
        <v/>
      </c>
      <c r="Z692" s="15">
        <f>Y692 * 68%</f>
        <v/>
      </c>
      <c r="AA692" s="15">
        <f>I692*M692</f>
        <v/>
      </c>
      <c r="AB692" s="15">
        <f>AA692*68%</f>
        <v/>
      </c>
      <c r="AC692" s="16">
        <f>ROUND((T692+X692+Z692+AB692),0)</f>
        <v/>
      </c>
      <c r="AD692" s="16">
        <f>AG692</f>
        <v/>
      </c>
      <c r="AE692" s="16">
        <f>AI692</f>
        <v/>
      </c>
      <c r="AF692" s="16">
        <f>AC692+AD692+AE692</f>
        <v/>
      </c>
      <c r="AG692" s="16" t="n"/>
      <c r="AH692" s="17" t="n"/>
      <c r="AI692" s="17">
        <f>AH692*4</f>
        <v/>
      </c>
      <c r="AJ692" s="15">
        <f>AF692-AG692-AH692-AI692</f>
        <v/>
      </c>
      <c r="AK692" s="18" t="n">
        <v>685</v>
      </c>
      <c r="AL692" s="23" t="n"/>
    </row>
    <row r="693" ht="23.5" customHeight="1">
      <c r="A693" s="6" t="inlineStr">
        <is>
          <t>686</t>
        </is>
      </c>
      <c r="B693" s="28" t="n"/>
      <c r="C693" s="55" t="n"/>
      <c r="D693" s="19" t="n"/>
      <c r="E693" s="24" t="n"/>
      <c r="F693" s="25" t="n"/>
      <c r="G693" s="25" t="n"/>
      <c r="H693" s="24" t="n"/>
      <c r="I693" s="11" t="n"/>
      <c r="J693" s="57" t="n"/>
      <c r="K693" s="12" t="n"/>
      <c r="L693" s="13" t="n"/>
      <c r="M693" s="13" t="n"/>
      <c r="N693" s="14">
        <f>ROUND(I693*(SUM(J693:M693))*68%,0)</f>
        <v/>
      </c>
      <c r="O693" s="61" t="n"/>
      <c r="P693" s="59" t="n"/>
      <c r="Q693" s="59" t="n"/>
      <c r="R693" s="58" t="n"/>
      <c r="S693" s="15">
        <f>I693*J693</f>
        <v/>
      </c>
      <c r="T693" s="15">
        <f>SUM(S693:S693)*68%</f>
        <v/>
      </c>
      <c r="U693" s="15">
        <f>I693*K693*40%*O693</f>
        <v/>
      </c>
      <c r="V693" s="15">
        <f>IF(P693&gt;=6750,(I693*K693*40%),0)</f>
        <v/>
      </c>
      <c r="W693" s="15">
        <f>IF(P693&lt;6750,0,IF(Q693="",0,IF(OR(Q693="KURANG",Q693="SANGAT KURANG"),I693*K693*10%,I693*K693*20%)))</f>
        <v/>
      </c>
      <c r="X693" s="15">
        <f>SUM(U693:W693)*68%</f>
        <v/>
      </c>
      <c r="Y693" s="15">
        <f>I693*L693</f>
        <v/>
      </c>
      <c r="Z693" s="15">
        <f>Y693 * 68%</f>
        <v/>
      </c>
      <c r="AA693" s="15">
        <f>I693*M693</f>
        <v/>
      </c>
      <c r="AB693" s="15">
        <f>AA693*68%</f>
        <v/>
      </c>
      <c r="AC693" s="16">
        <f>ROUND((T693+X693+Z693+AB693),0)</f>
        <v/>
      </c>
      <c r="AD693" s="16">
        <f>AG693</f>
        <v/>
      </c>
      <c r="AE693" s="16">
        <f>AI693</f>
        <v/>
      </c>
      <c r="AF693" s="16">
        <f>AC693+AD693+AE693</f>
        <v/>
      </c>
      <c r="AG693" s="16" t="n"/>
      <c r="AH693" s="17" t="n"/>
      <c r="AI693" s="17">
        <f>AH693*4</f>
        <v/>
      </c>
      <c r="AJ693" s="15">
        <f>AF693-AG693-AH693-AI693</f>
        <v/>
      </c>
      <c r="AK693" s="18" t="n">
        <v>686</v>
      </c>
      <c r="AL693" s="40" t="n"/>
    </row>
    <row r="694" ht="23.5" customHeight="1">
      <c r="A694" s="6" t="inlineStr">
        <is>
          <t>687</t>
        </is>
      </c>
      <c r="B694" s="28" t="n"/>
      <c r="C694" s="55" t="n"/>
      <c r="D694" s="19" t="n"/>
      <c r="E694" s="24" t="n"/>
      <c r="F694" s="25" t="n"/>
      <c r="G694" s="25" t="n"/>
      <c r="H694" s="24" t="n"/>
      <c r="I694" s="11" t="n"/>
      <c r="J694" s="57" t="n"/>
      <c r="K694" s="12" t="n"/>
      <c r="L694" s="13" t="n"/>
      <c r="M694" s="13" t="n"/>
      <c r="N694" s="14">
        <f>ROUND(I694*(SUM(J694:M694))*68%,0)</f>
        <v/>
      </c>
      <c r="O694" s="61" t="n"/>
      <c r="P694" s="59" t="n"/>
      <c r="Q694" s="59" t="n"/>
      <c r="R694" s="58" t="n"/>
      <c r="S694" s="15">
        <f>I694*J694</f>
        <v/>
      </c>
      <c r="T694" s="15">
        <f>SUM(S694:S694)*68%</f>
        <v/>
      </c>
      <c r="U694" s="15">
        <f>I694*K694*40%*O694</f>
        <v/>
      </c>
      <c r="V694" s="15">
        <f>IF(P694&gt;=6750,(I694*K694*40%),0)</f>
        <v/>
      </c>
      <c r="W694" s="15">
        <f>IF(P694&lt;6750,0,IF(Q694="",0,IF(OR(Q694="KURANG",Q694="SANGAT KURANG"),I694*K694*10%,I694*K694*20%)))</f>
        <v/>
      </c>
      <c r="X694" s="15">
        <f>SUM(U694:W694)*68%</f>
        <v/>
      </c>
      <c r="Y694" s="15">
        <f>I694*L694</f>
        <v/>
      </c>
      <c r="Z694" s="15">
        <f>Y694 * 68%</f>
        <v/>
      </c>
      <c r="AA694" s="15">
        <f>I694*M694</f>
        <v/>
      </c>
      <c r="AB694" s="15">
        <f>AA694*68%</f>
        <v/>
      </c>
      <c r="AC694" s="16">
        <f>ROUND((T694+X694+Z694+AB694),0)</f>
        <v/>
      </c>
      <c r="AD694" s="16">
        <f>AG694</f>
        <v/>
      </c>
      <c r="AE694" s="16">
        <f>AI694</f>
        <v/>
      </c>
      <c r="AF694" s="16">
        <f>AC694+AD694+AE694</f>
        <v/>
      </c>
      <c r="AG694" s="16" t="n"/>
      <c r="AH694" s="17" t="n"/>
      <c r="AI694" s="17">
        <f>AH694*4</f>
        <v/>
      </c>
      <c r="AJ694" s="15">
        <f>AF694-AG694-AH694-AI694</f>
        <v/>
      </c>
      <c r="AK694" s="18" t="n">
        <v>687</v>
      </c>
      <c r="AL694" s="23" t="n"/>
    </row>
    <row r="695" ht="23.5" customHeight="1">
      <c r="A695" s="6" t="inlineStr">
        <is>
          <t>688</t>
        </is>
      </c>
      <c r="B695" s="28" t="n"/>
      <c r="C695" s="55" t="n"/>
      <c r="D695" s="19" t="n"/>
      <c r="E695" s="24" t="n"/>
      <c r="F695" s="25" t="n"/>
      <c r="G695" s="25" t="n"/>
      <c r="H695" s="24" t="n"/>
      <c r="I695" s="11" t="n"/>
      <c r="J695" s="57" t="n"/>
      <c r="K695" s="12" t="n"/>
      <c r="L695" s="13" t="n"/>
      <c r="M695" s="13" t="n"/>
      <c r="N695" s="14">
        <f>ROUND(I695*(SUM(J695:M695))*68%,0)</f>
        <v/>
      </c>
      <c r="O695" s="61" t="n"/>
      <c r="P695" s="59" t="n"/>
      <c r="Q695" s="59" t="n"/>
      <c r="R695" s="58" t="n"/>
      <c r="S695" s="15">
        <f>I695*J695</f>
        <v/>
      </c>
      <c r="T695" s="15">
        <f>SUM(S695:S695)*68%</f>
        <v/>
      </c>
      <c r="U695" s="15">
        <f>I695*K695*40%*O695</f>
        <v/>
      </c>
      <c r="V695" s="15">
        <f>IF(P695&gt;=6750,(I695*K695*40%),0)</f>
        <v/>
      </c>
      <c r="W695" s="15">
        <f>IF(P695&lt;6750,0,IF(Q695="",0,IF(OR(Q695="KURANG",Q695="SANGAT KURANG"),I695*K695*10%,I695*K695*20%)))</f>
        <v/>
      </c>
      <c r="X695" s="15">
        <f>SUM(U695:W695)*68%</f>
        <v/>
      </c>
      <c r="Y695" s="15">
        <f>I695*L695</f>
        <v/>
      </c>
      <c r="Z695" s="15">
        <f>Y695 * 68%</f>
        <v/>
      </c>
      <c r="AA695" s="15">
        <f>I695*M695</f>
        <v/>
      </c>
      <c r="AB695" s="15">
        <f>AA695*68%</f>
        <v/>
      </c>
      <c r="AC695" s="16">
        <f>ROUND((T695+X695+Z695+AB695),0)</f>
        <v/>
      </c>
      <c r="AD695" s="16">
        <f>AG695</f>
        <v/>
      </c>
      <c r="AE695" s="16">
        <f>AI695</f>
        <v/>
      </c>
      <c r="AF695" s="16">
        <f>AC695+AD695+AE695</f>
        <v/>
      </c>
      <c r="AG695" s="16" t="n"/>
      <c r="AH695" s="17" t="n"/>
      <c r="AI695" s="17">
        <f>AH695*4</f>
        <v/>
      </c>
      <c r="AJ695" s="15">
        <f>AF695-AG695-AH695-AI695</f>
        <v/>
      </c>
      <c r="AK695" s="18" t="n">
        <v>688</v>
      </c>
      <c r="AL695" s="23" t="n"/>
    </row>
    <row r="696" ht="23.5" customHeight="1">
      <c r="A696" s="6" t="inlineStr">
        <is>
          <t>689</t>
        </is>
      </c>
      <c r="B696" s="28" t="n"/>
      <c r="C696" s="55" t="n"/>
      <c r="D696" s="19" t="n"/>
      <c r="E696" s="24" t="n"/>
      <c r="F696" s="25" t="n"/>
      <c r="G696" s="25" t="n"/>
      <c r="H696" s="24" t="n"/>
      <c r="I696" s="11" t="n"/>
      <c r="J696" s="57" t="n"/>
      <c r="K696" s="12" t="n"/>
      <c r="L696" s="13" t="n"/>
      <c r="M696" s="13" t="n"/>
      <c r="N696" s="14">
        <f>ROUND(I696*(SUM(J696:M696))*68%,0)</f>
        <v/>
      </c>
      <c r="O696" s="61" t="n"/>
      <c r="P696" s="59" t="n"/>
      <c r="Q696" s="59" t="n"/>
      <c r="R696" s="58" t="n"/>
      <c r="S696" s="15">
        <f>I696*J696</f>
        <v/>
      </c>
      <c r="T696" s="15">
        <f>SUM(S696:S696)*68%</f>
        <v/>
      </c>
      <c r="U696" s="15">
        <f>I696*K696*40%*O696</f>
        <v/>
      </c>
      <c r="V696" s="15">
        <f>IF(P696&gt;=6750,(I696*K696*40%),0)</f>
        <v/>
      </c>
      <c r="W696" s="15">
        <f>IF(P696&lt;6750,0,IF(Q696="",0,IF(OR(Q696="KURANG",Q696="SANGAT KURANG"),I696*K696*10%,I696*K696*20%)))</f>
        <v/>
      </c>
      <c r="X696" s="15">
        <f>SUM(U696:W696)*68%</f>
        <v/>
      </c>
      <c r="Y696" s="15">
        <f>I696*L696</f>
        <v/>
      </c>
      <c r="Z696" s="15">
        <f>Y696 * 68%</f>
        <v/>
      </c>
      <c r="AA696" s="15">
        <f>I696*M696</f>
        <v/>
      </c>
      <c r="AB696" s="15">
        <f>AA696*68%</f>
        <v/>
      </c>
      <c r="AC696" s="16">
        <f>ROUND((T696+X696+Z696+AB696),0)</f>
        <v/>
      </c>
      <c r="AD696" s="16">
        <f>AG696</f>
        <v/>
      </c>
      <c r="AE696" s="16">
        <f>AI696</f>
        <v/>
      </c>
      <c r="AF696" s="16">
        <f>AC696+AD696+AE696</f>
        <v/>
      </c>
      <c r="AG696" s="16" t="n"/>
      <c r="AH696" s="17" t="n"/>
      <c r="AI696" s="17">
        <f>AH696*4</f>
        <v/>
      </c>
      <c r="AJ696" s="15">
        <f>AF696-AG696-AH696-AI696</f>
        <v/>
      </c>
      <c r="AK696" s="18" t="n">
        <v>689</v>
      </c>
      <c r="AL696" s="40" t="n"/>
    </row>
    <row r="697" ht="23.5" customHeight="1">
      <c r="A697" s="6" t="inlineStr">
        <is>
          <t>690</t>
        </is>
      </c>
      <c r="B697" s="28" t="n"/>
      <c r="C697" s="55" t="n"/>
      <c r="D697" s="19" t="n"/>
      <c r="E697" s="24" t="n"/>
      <c r="F697" s="25" t="n"/>
      <c r="G697" s="25" t="n"/>
      <c r="H697" s="24" t="n"/>
      <c r="I697" s="11" t="n"/>
      <c r="J697" s="57" t="n"/>
      <c r="K697" s="12" t="n"/>
      <c r="L697" s="13" t="n"/>
      <c r="M697" s="13" t="n"/>
      <c r="N697" s="14">
        <f>ROUND(I697*(SUM(J697:M697))*68%,0)</f>
        <v/>
      </c>
      <c r="O697" s="61" t="n"/>
      <c r="P697" s="59" t="n"/>
      <c r="Q697" s="59" t="n"/>
      <c r="R697" s="58" t="n"/>
      <c r="S697" s="15">
        <f>I697*J697</f>
        <v/>
      </c>
      <c r="T697" s="15">
        <f>SUM(S697:S697)*68%</f>
        <v/>
      </c>
      <c r="U697" s="15">
        <f>I697*K697*40%*O697</f>
        <v/>
      </c>
      <c r="V697" s="15">
        <f>IF(P697&gt;=6750,(I697*K697*40%),0)</f>
        <v/>
      </c>
      <c r="W697" s="15">
        <f>IF(P697&lt;6750,0,IF(Q697="",0,IF(OR(Q697="KURANG",Q697="SANGAT KURANG"),I697*K697*10%,I697*K697*20%)))</f>
        <v/>
      </c>
      <c r="X697" s="15">
        <f>SUM(U697:W697)*68%</f>
        <v/>
      </c>
      <c r="Y697" s="15">
        <f>I697*L697</f>
        <v/>
      </c>
      <c r="Z697" s="15">
        <f>Y697 * 68%</f>
        <v/>
      </c>
      <c r="AA697" s="15">
        <f>I697*M697</f>
        <v/>
      </c>
      <c r="AB697" s="15">
        <f>AA697*68%</f>
        <v/>
      </c>
      <c r="AC697" s="16">
        <f>ROUND((T697+X697+Z697+AB697),0)</f>
        <v/>
      </c>
      <c r="AD697" s="16">
        <f>AG697</f>
        <v/>
      </c>
      <c r="AE697" s="16">
        <f>AI697</f>
        <v/>
      </c>
      <c r="AF697" s="16">
        <f>AC697+AD697+AE697</f>
        <v/>
      </c>
      <c r="AG697" s="16" t="n"/>
      <c r="AH697" s="17" t="n"/>
      <c r="AI697" s="17">
        <f>AH697*4</f>
        <v/>
      </c>
      <c r="AJ697" s="15">
        <f>AF697-AG697-AH697-AI697</f>
        <v/>
      </c>
      <c r="AK697" s="18" t="n">
        <v>690</v>
      </c>
      <c r="AL697" s="23" t="n"/>
    </row>
    <row r="698" ht="23.5" customHeight="1">
      <c r="A698" s="6" t="inlineStr">
        <is>
          <t>691</t>
        </is>
      </c>
      <c r="B698" s="28" t="n"/>
      <c r="C698" s="55" t="n"/>
      <c r="D698" s="19" t="n"/>
      <c r="E698" s="24" t="n"/>
      <c r="F698" s="25" t="n"/>
      <c r="G698" s="25" t="n"/>
      <c r="H698" s="24" t="n"/>
      <c r="I698" s="11" t="n"/>
      <c r="J698" s="57" t="n"/>
      <c r="K698" s="12" t="n"/>
      <c r="L698" s="13" t="n"/>
      <c r="M698" s="13" t="n"/>
      <c r="N698" s="14">
        <f>ROUND(I698*(SUM(J698:M698))*68%,0)</f>
        <v/>
      </c>
      <c r="O698" s="61" t="n"/>
      <c r="P698" s="59" t="n"/>
      <c r="Q698" s="59" t="n"/>
      <c r="R698" s="58" t="n"/>
      <c r="S698" s="15">
        <f>I698*J698</f>
        <v/>
      </c>
      <c r="T698" s="15">
        <f>SUM(S698:S698)*68%</f>
        <v/>
      </c>
      <c r="U698" s="15">
        <f>I698*K698*40%*O698</f>
        <v/>
      </c>
      <c r="V698" s="15">
        <f>IF(P698&gt;=6750,(I698*K698*40%),0)</f>
        <v/>
      </c>
      <c r="W698" s="15">
        <f>IF(P698&lt;6750,0,IF(Q698="",0,IF(OR(Q698="KURANG",Q698="SANGAT KURANG"),I698*K698*10%,I698*K698*20%)))</f>
        <v/>
      </c>
      <c r="X698" s="15">
        <f>SUM(U698:W698)*68%</f>
        <v/>
      </c>
      <c r="Y698" s="15">
        <f>I698*L698</f>
        <v/>
      </c>
      <c r="Z698" s="15">
        <f>Y698 * 68%</f>
        <v/>
      </c>
      <c r="AA698" s="15">
        <f>I698*M698</f>
        <v/>
      </c>
      <c r="AB698" s="15">
        <f>AA698*68%</f>
        <v/>
      </c>
      <c r="AC698" s="16">
        <f>ROUND((T698+X698+Z698+AB698),0)</f>
        <v/>
      </c>
      <c r="AD698" s="16">
        <f>AG698</f>
        <v/>
      </c>
      <c r="AE698" s="16">
        <f>AI698</f>
        <v/>
      </c>
      <c r="AF698" s="16">
        <f>AC698+AD698+AE698</f>
        <v/>
      </c>
      <c r="AG698" s="16" t="n"/>
      <c r="AH698" s="17" t="n"/>
      <c r="AI698" s="17">
        <f>AH698*4</f>
        <v/>
      </c>
      <c r="AJ698" s="15">
        <f>AF698-AG698-AH698-AI698</f>
        <v/>
      </c>
      <c r="AK698" s="18" t="n">
        <v>691</v>
      </c>
      <c r="AL698" s="23" t="n"/>
    </row>
    <row r="699" ht="23.5" customHeight="1">
      <c r="A699" s="6" t="inlineStr">
        <is>
          <t>692</t>
        </is>
      </c>
      <c r="B699" s="28" t="n"/>
      <c r="C699" s="55" t="n"/>
      <c r="D699" s="19" t="n"/>
      <c r="E699" s="24" t="n"/>
      <c r="F699" s="25" t="n"/>
      <c r="G699" s="25" t="n"/>
      <c r="H699" s="24" t="n"/>
      <c r="I699" s="11" t="n"/>
      <c r="J699" s="57" t="n"/>
      <c r="K699" s="12" t="n"/>
      <c r="L699" s="13" t="n"/>
      <c r="M699" s="13" t="n"/>
      <c r="N699" s="14">
        <f>ROUND(I699*(SUM(J699:M699))*68%,0)</f>
        <v/>
      </c>
      <c r="O699" s="61" t="n"/>
      <c r="P699" s="59" t="n"/>
      <c r="Q699" s="59" t="n"/>
      <c r="R699" s="58" t="n"/>
      <c r="S699" s="15">
        <f>I699*J699</f>
        <v/>
      </c>
      <c r="T699" s="15">
        <f>SUM(S699:S699)*68%</f>
        <v/>
      </c>
      <c r="U699" s="15">
        <f>I699*K699*40%*O699</f>
        <v/>
      </c>
      <c r="V699" s="15">
        <f>IF(P699&gt;=6750,(I699*K699*40%),0)</f>
        <v/>
      </c>
      <c r="W699" s="15">
        <f>IF(P699&lt;6750,0,IF(Q699="",0,IF(OR(Q699="KURANG",Q699="SANGAT KURANG"),I699*K699*10%,I699*K699*20%)))</f>
        <v/>
      </c>
      <c r="X699" s="15">
        <f>SUM(U699:W699)*68%</f>
        <v/>
      </c>
      <c r="Y699" s="15">
        <f>I699*L699</f>
        <v/>
      </c>
      <c r="Z699" s="15">
        <f>Y699 * 68%</f>
        <v/>
      </c>
      <c r="AA699" s="15">
        <f>I699*M699</f>
        <v/>
      </c>
      <c r="AB699" s="15">
        <f>AA699*68%</f>
        <v/>
      </c>
      <c r="AC699" s="16">
        <f>ROUND((T699+X699+Z699+AB699),0)</f>
        <v/>
      </c>
      <c r="AD699" s="16">
        <f>AG699</f>
        <v/>
      </c>
      <c r="AE699" s="16">
        <f>AI699</f>
        <v/>
      </c>
      <c r="AF699" s="16">
        <f>AC699+AD699+AE699</f>
        <v/>
      </c>
      <c r="AG699" s="16" t="n"/>
      <c r="AH699" s="17" t="n"/>
      <c r="AI699" s="17">
        <f>AH699*4</f>
        <v/>
      </c>
      <c r="AJ699" s="15">
        <f>AF699-AG699-AH699-AI699</f>
        <v/>
      </c>
      <c r="AK699" s="18" t="n">
        <v>692</v>
      </c>
      <c r="AL699" s="40" t="n"/>
    </row>
    <row r="700" ht="23.5" customHeight="1">
      <c r="A700" s="6" t="inlineStr">
        <is>
          <t>693</t>
        </is>
      </c>
      <c r="B700" s="28" t="n"/>
      <c r="C700" s="55" t="n"/>
      <c r="D700" s="19" t="n"/>
      <c r="E700" s="24" t="n"/>
      <c r="F700" s="25" t="n"/>
      <c r="G700" s="25" t="n"/>
      <c r="H700" s="24" t="n"/>
      <c r="I700" s="11" t="n"/>
      <c r="J700" s="57" t="n"/>
      <c r="K700" s="12" t="n"/>
      <c r="L700" s="13" t="n"/>
      <c r="M700" s="13" t="n"/>
      <c r="N700" s="14">
        <f>ROUND(I700*(SUM(J700:M700))*68%,0)</f>
        <v/>
      </c>
      <c r="O700" s="61" t="n"/>
      <c r="P700" s="59" t="n"/>
      <c r="Q700" s="59" t="n"/>
      <c r="R700" s="58" t="n"/>
      <c r="S700" s="15">
        <f>I700*J700</f>
        <v/>
      </c>
      <c r="T700" s="15">
        <f>SUM(S700:S700)*68%</f>
        <v/>
      </c>
      <c r="U700" s="15">
        <f>I700*K700*40%*O700</f>
        <v/>
      </c>
      <c r="V700" s="15">
        <f>IF(P700&gt;=6750,(I700*K700*40%),0)</f>
        <v/>
      </c>
      <c r="W700" s="15">
        <f>IF(P700&lt;6750,0,IF(Q700="",0,IF(OR(Q700="KURANG",Q700="SANGAT KURANG"),I700*K700*10%,I700*K700*20%)))</f>
        <v/>
      </c>
      <c r="X700" s="15">
        <f>SUM(U700:W700)*68%</f>
        <v/>
      </c>
      <c r="Y700" s="15">
        <f>I700*L700</f>
        <v/>
      </c>
      <c r="Z700" s="15">
        <f>Y700 * 68%</f>
        <v/>
      </c>
      <c r="AA700" s="15">
        <f>I700*M700</f>
        <v/>
      </c>
      <c r="AB700" s="15">
        <f>AA700*68%</f>
        <v/>
      </c>
      <c r="AC700" s="16">
        <f>ROUND((T700+X700+Z700+AB700),0)</f>
        <v/>
      </c>
      <c r="AD700" s="16">
        <f>AG700</f>
        <v/>
      </c>
      <c r="AE700" s="16">
        <f>AI700</f>
        <v/>
      </c>
      <c r="AF700" s="16">
        <f>AC700+AD700+AE700</f>
        <v/>
      </c>
      <c r="AG700" s="16" t="n"/>
      <c r="AH700" s="17" t="n"/>
      <c r="AI700" s="17">
        <f>AH700*4</f>
        <v/>
      </c>
      <c r="AJ700" s="15">
        <f>AF700-AG700-AH700-AI700</f>
        <v/>
      </c>
      <c r="AK700" s="18" t="n">
        <v>693</v>
      </c>
      <c r="AL700" s="23" t="n"/>
    </row>
    <row r="701" ht="23.5" customHeight="1">
      <c r="A701" s="6" t="inlineStr">
        <is>
          <t>694</t>
        </is>
      </c>
      <c r="B701" s="28" t="n"/>
      <c r="C701" s="55" t="n"/>
      <c r="D701" s="19" t="n"/>
      <c r="E701" s="24" t="n"/>
      <c r="F701" s="25" t="n"/>
      <c r="G701" s="25" t="n"/>
      <c r="H701" s="24" t="n"/>
      <c r="I701" s="11" t="n"/>
      <c r="J701" s="57" t="n"/>
      <c r="K701" s="12" t="n"/>
      <c r="L701" s="13" t="n"/>
      <c r="M701" s="13" t="n"/>
      <c r="N701" s="14">
        <f>ROUND(I701*(SUM(J701:M701))*68%,0)</f>
        <v/>
      </c>
      <c r="O701" s="61" t="n"/>
      <c r="P701" s="59" t="n"/>
      <c r="Q701" s="59" t="n"/>
      <c r="R701" s="58" t="n"/>
      <c r="S701" s="15">
        <f>I701*J701</f>
        <v/>
      </c>
      <c r="T701" s="15">
        <f>SUM(S701:S701)*68%</f>
        <v/>
      </c>
      <c r="U701" s="15">
        <f>I701*K701*40%*O701</f>
        <v/>
      </c>
      <c r="V701" s="15">
        <f>IF(P701&gt;=6750,(I701*K701*40%),0)</f>
        <v/>
      </c>
      <c r="W701" s="15">
        <f>IF(P701&lt;6750,0,IF(Q701="",0,IF(OR(Q701="KURANG",Q701="SANGAT KURANG"),I701*K701*10%,I701*K701*20%)))</f>
        <v/>
      </c>
      <c r="X701" s="15">
        <f>SUM(U701:W701)*68%</f>
        <v/>
      </c>
      <c r="Y701" s="15">
        <f>I701*L701</f>
        <v/>
      </c>
      <c r="Z701" s="15">
        <f>Y701 * 68%</f>
        <v/>
      </c>
      <c r="AA701" s="15">
        <f>I701*M701</f>
        <v/>
      </c>
      <c r="AB701" s="15">
        <f>AA701*68%</f>
        <v/>
      </c>
      <c r="AC701" s="16">
        <f>ROUND((T701+X701+Z701+AB701),0)</f>
        <v/>
      </c>
      <c r="AD701" s="16">
        <f>AG701</f>
        <v/>
      </c>
      <c r="AE701" s="16">
        <f>AI701</f>
        <v/>
      </c>
      <c r="AF701" s="16">
        <f>AC701+AD701+AE701</f>
        <v/>
      </c>
      <c r="AG701" s="16" t="n"/>
      <c r="AH701" s="17" t="n"/>
      <c r="AI701" s="17">
        <f>AH701*4</f>
        <v/>
      </c>
      <c r="AJ701" s="15">
        <f>AF701-AG701-AH701-AI701</f>
        <v/>
      </c>
      <c r="AK701" s="18" t="n">
        <v>694</v>
      </c>
      <c r="AL701" s="23" t="n"/>
    </row>
    <row r="702" ht="23.5" customHeight="1">
      <c r="A702" s="6" t="inlineStr">
        <is>
          <t>695</t>
        </is>
      </c>
      <c r="B702" s="28" t="n"/>
      <c r="C702" s="55" t="n"/>
      <c r="D702" s="19" t="n"/>
      <c r="E702" s="24" t="n"/>
      <c r="F702" s="25" t="n"/>
      <c r="G702" s="25" t="n"/>
      <c r="H702" s="24" t="n"/>
      <c r="I702" s="11" t="n"/>
      <c r="J702" s="57" t="n"/>
      <c r="K702" s="12" t="n"/>
      <c r="L702" s="13" t="n"/>
      <c r="M702" s="13" t="n"/>
      <c r="N702" s="14">
        <f>ROUND(I702*(SUM(J702:M702))*68%,0)</f>
        <v/>
      </c>
      <c r="O702" s="61" t="n"/>
      <c r="P702" s="59" t="n"/>
      <c r="Q702" s="59" t="n"/>
      <c r="R702" s="58" t="n"/>
      <c r="S702" s="15">
        <f>I702*J702</f>
        <v/>
      </c>
      <c r="T702" s="15">
        <f>SUM(S702:S702)*68%</f>
        <v/>
      </c>
      <c r="U702" s="15">
        <f>I702*K702*40%*O702</f>
        <v/>
      </c>
      <c r="V702" s="15">
        <f>IF(P702&gt;=6750,(I702*K702*40%),0)</f>
        <v/>
      </c>
      <c r="W702" s="15">
        <f>IF(P702&lt;6750,0,IF(Q702="",0,IF(OR(Q702="KURANG",Q702="SANGAT KURANG"),I702*K702*10%,I702*K702*20%)))</f>
        <v/>
      </c>
      <c r="X702" s="15">
        <f>SUM(U702:W702)*68%</f>
        <v/>
      </c>
      <c r="Y702" s="15">
        <f>I702*L702</f>
        <v/>
      </c>
      <c r="Z702" s="15">
        <f>Y702 * 68%</f>
        <v/>
      </c>
      <c r="AA702" s="15">
        <f>I702*M702</f>
        <v/>
      </c>
      <c r="AB702" s="15">
        <f>AA702*68%</f>
        <v/>
      </c>
      <c r="AC702" s="16">
        <f>ROUND((T702+X702+Z702+AB702),0)</f>
        <v/>
      </c>
      <c r="AD702" s="16">
        <f>AG702</f>
        <v/>
      </c>
      <c r="AE702" s="16">
        <f>AI702</f>
        <v/>
      </c>
      <c r="AF702" s="16">
        <f>AC702+AD702+AE702</f>
        <v/>
      </c>
      <c r="AG702" s="16" t="n"/>
      <c r="AH702" s="17" t="n"/>
      <c r="AI702" s="17">
        <f>AH702*4</f>
        <v/>
      </c>
      <c r="AJ702" s="15">
        <f>AF702-AG702-AH702-AI702</f>
        <v/>
      </c>
      <c r="AK702" s="18" t="n">
        <v>695</v>
      </c>
      <c r="AL702" s="40" t="n"/>
    </row>
    <row r="703" ht="23.5" customHeight="1">
      <c r="A703" s="6" t="inlineStr">
        <is>
          <t>696</t>
        </is>
      </c>
      <c r="B703" s="28" t="n"/>
      <c r="C703" s="55" t="n"/>
      <c r="D703" s="19" t="n"/>
      <c r="E703" s="24" t="n"/>
      <c r="F703" s="25" t="n"/>
      <c r="G703" s="25" t="n"/>
      <c r="H703" s="24" t="n"/>
      <c r="I703" s="11" t="n"/>
      <c r="J703" s="57" t="n"/>
      <c r="K703" s="12" t="n"/>
      <c r="L703" s="13" t="n"/>
      <c r="M703" s="13" t="n"/>
      <c r="N703" s="14">
        <f>ROUND(I703*(SUM(J703:M703))*68%,0)</f>
        <v/>
      </c>
      <c r="O703" s="61" t="n"/>
      <c r="P703" s="59" t="n"/>
      <c r="Q703" s="59" t="n"/>
      <c r="R703" s="58" t="n"/>
      <c r="S703" s="15">
        <f>I703*J703</f>
        <v/>
      </c>
      <c r="T703" s="15">
        <f>SUM(S703:S703)*68%</f>
        <v/>
      </c>
      <c r="U703" s="15">
        <f>I703*K703*40%*O703</f>
        <v/>
      </c>
      <c r="V703" s="15">
        <f>IF(P703&gt;=6750,(I703*K703*40%),0)</f>
        <v/>
      </c>
      <c r="W703" s="15">
        <f>IF(P703&lt;6750,0,IF(Q703="",0,IF(OR(Q703="KURANG",Q703="SANGAT KURANG"),I703*K703*10%,I703*K703*20%)))</f>
        <v/>
      </c>
      <c r="X703" s="15">
        <f>SUM(U703:W703)*68%</f>
        <v/>
      </c>
      <c r="Y703" s="15">
        <f>I703*L703</f>
        <v/>
      </c>
      <c r="Z703" s="15">
        <f>Y703 * 68%</f>
        <v/>
      </c>
      <c r="AA703" s="15">
        <f>I703*M703</f>
        <v/>
      </c>
      <c r="AB703" s="15">
        <f>AA703*68%</f>
        <v/>
      </c>
      <c r="AC703" s="16">
        <f>ROUND((T703+X703+Z703+AB703),0)</f>
        <v/>
      </c>
      <c r="AD703" s="16">
        <f>AG703</f>
        <v/>
      </c>
      <c r="AE703" s="16">
        <f>AI703</f>
        <v/>
      </c>
      <c r="AF703" s="16">
        <f>AC703+AD703+AE703</f>
        <v/>
      </c>
      <c r="AG703" s="16" t="n"/>
      <c r="AH703" s="17" t="n"/>
      <c r="AI703" s="17">
        <f>AH703*4</f>
        <v/>
      </c>
      <c r="AJ703" s="15">
        <f>AF703-AG703-AH703-AI703</f>
        <v/>
      </c>
      <c r="AK703" s="18" t="n">
        <v>696</v>
      </c>
      <c r="AL703" s="23" t="n"/>
    </row>
    <row r="704" ht="23.5" customHeight="1">
      <c r="A704" s="6" t="inlineStr">
        <is>
          <t>697</t>
        </is>
      </c>
      <c r="B704" s="28" t="n"/>
      <c r="C704" s="55" t="n"/>
      <c r="D704" s="19" t="n"/>
      <c r="E704" s="24" t="n"/>
      <c r="F704" s="25" t="n"/>
      <c r="G704" s="25" t="n"/>
      <c r="H704" s="24" t="n"/>
      <c r="I704" s="11" t="n"/>
      <c r="J704" s="57" t="n"/>
      <c r="K704" s="12" t="n"/>
      <c r="L704" s="13" t="n"/>
      <c r="M704" s="13" t="n"/>
      <c r="N704" s="14">
        <f>ROUND(I704*(SUM(J704:M704))*68%,0)</f>
        <v/>
      </c>
      <c r="O704" s="61" t="n"/>
      <c r="P704" s="59" t="n"/>
      <c r="Q704" s="59" t="n"/>
      <c r="R704" s="58" t="n"/>
      <c r="S704" s="15">
        <f>I704*J704</f>
        <v/>
      </c>
      <c r="T704" s="15">
        <f>SUM(S704:S704)*68%</f>
        <v/>
      </c>
      <c r="U704" s="15">
        <f>I704*K704*40%*O704</f>
        <v/>
      </c>
      <c r="V704" s="15">
        <f>IF(P704&gt;=6750,(I704*K704*40%),0)</f>
        <v/>
      </c>
      <c r="W704" s="15">
        <f>IF(P704&lt;6750,0,IF(Q704="",0,IF(OR(Q704="KURANG",Q704="SANGAT KURANG"),I704*K704*10%,I704*K704*20%)))</f>
        <v/>
      </c>
      <c r="X704" s="15">
        <f>SUM(U704:W704)*68%</f>
        <v/>
      </c>
      <c r="Y704" s="15">
        <f>I704*L704</f>
        <v/>
      </c>
      <c r="Z704" s="15">
        <f>Y704 * 68%</f>
        <v/>
      </c>
      <c r="AA704" s="15">
        <f>I704*M704</f>
        <v/>
      </c>
      <c r="AB704" s="15">
        <f>AA704*68%</f>
        <v/>
      </c>
      <c r="AC704" s="16">
        <f>ROUND((T704+X704+Z704+AB704),0)</f>
        <v/>
      </c>
      <c r="AD704" s="16">
        <f>AG704</f>
        <v/>
      </c>
      <c r="AE704" s="16">
        <f>AI704</f>
        <v/>
      </c>
      <c r="AF704" s="16">
        <f>AC704+AD704+AE704</f>
        <v/>
      </c>
      <c r="AG704" s="16" t="n"/>
      <c r="AH704" s="17" t="n"/>
      <c r="AI704" s="17">
        <f>AH704*4</f>
        <v/>
      </c>
      <c r="AJ704" s="15">
        <f>AF704-AG704-AH704-AI704</f>
        <v/>
      </c>
      <c r="AK704" s="18" t="n">
        <v>697</v>
      </c>
      <c r="AL704" s="23" t="n"/>
    </row>
    <row r="705" ht="23.5" customHeight="1">
      <c r="A705" s="6" t="inlineStr">
        <is>
          <t>698</t>
        </is>
      </c>
      <c r="B705" s="28" t="n"/>
      <c r="C705" s="55" t="n"/>
      <c r="D705" s="19" t="n"/>
      <c r="E705" s="24" t="n"/>
      <c r="F705" s="25" t="n"/>
      <c r="G705" s="25" t="n"/>
      <c r="H705" s="24" t="n"/>
      <c r="I705" s="11" t="n"/>
      <c r="J705" s="57" t="n"/>
      <c r="K705" s="12" t="n"/>
      <c r="L705" s="13" t="n"/>
      <c r="M705" s="13" t="n"/>
      <c r="N705" s="14">
        <f>ROUND(I705*(SUM(J705:M705))*68%,0)</f>
        <v/>
      </c>
      <c r="O705" s="61" t="n"/>
      <c r="P705" s="59" t="n"/>
      <c r="Q705" s="59" t="n"/>
      <c r="R705" s="58" t="n"/>
      <c r="S705" s="15">
        <f>I705*J705</f>
        <v/>
      </c>
      <c r="T705" s="15">
        <f>SUM(S705:S705)*68%</f>
        <v/>
      </c>
      <c r="U705" s="15">
        <f>I705*K705*40%*O705</f>
        <v/>
      </c>
      <c r="V705" s="15">
        <f>IF(P705&gt;=6750,(I705*K705*40%),0)</f>
        <v/>
      </c>
      <c r="W705" s="15">
        <f>IF(P705&lt;6750,0,IF(Q705="",0,IF(OR(Q705="KURANG",Q705="SANGAT KURANG"),I705*K705*10%,I705*K705*20%)))</f>
        <v/>
      </c>
      <c r="X705" s="15">
        <f>SUM(U705:W705)*68%</f>
        <v/>
      </c>
      <c r="Y705" s="15">
        <f>I705*L705</f>
        <v/>
      </c>
      <c r="Z705" s="15">
        <f>Y705 * 68%</f>
        <v/>
      </c>
      <c r="AA705" s="15">
        <f>I705*M705</f>
        <v/>
      </c>
      <c r="AB705" s="15">
        <f>AA705*68%</f>
        <v/>
      </c>
      <c r="AC705" s="16">
        <f>ROUND((T705+X705+Z705+AB705),0)</f>
        <v/>
      </c>
      <c r="AD705" s="16">
        <f>AG705</f>
        <v/>
      </c>
      <c r="AE705" s="16">
        <f>AI705</f>
        <v/>
      </c>
      <c r="AF705" s="16">
        <f>AC705+AD705+AE705</f>
        <v/>
      </c>
      <c r="AG705" s="16" t="n"/>
      <c r="AH705" s="17" t="n"/>
      <c r="AI705" s="17">
        <f>AH705*4</f>
        <v/>
      </c>
      <c r="AJ705" s="15">
        <f>AF705-AG705-AH705-AI705</f>
        <v/>
      </c>
      <c r="AK705" s="18" t="n">
        <v>698</v>
      </c>
      <c r="AL705" s="40" t="n"/>
    </row>
    <row r="706" ht="23.5" customHeight="1">
      <c r="A706" s="6" t="inlineStr">
        <is>
          <t>699</t>
        </is>
      </c>
      <c r="B706" s="28" t="n"/>
      <c r="C706" s="55" t="n"/>
      <c r="D706" s="19" t="n"/>
      <c r="E706" s="24" t="n"/>
      <c r="F706" s="25" t="n"/>
      <c r="G706" s="25" t="n"/>
      <c r="H706" s="24" t="n"/>
      <c r="I706" s="11" t="n"/>
      <c r="J706" s="57" t="n"/>
      <c r="K706" s="12" t="n"/>
      <c r="L706" s="13" t="n"/>
      <c r="M706" s="13" t="n"/>
      <c r="N706" s="14">
        <f>ROUND(I706*(SUM(J706:M706))*68%,0)</f>
        <v/>
      </c>
      <c r="O706" s="61" t="n"/>
      <c r="P706" s="59" t="n"/>
      <c r="Q706" s="59" t="n"/>
      <c r="R706" s="58" t="n"/>
      <c r="S706" s="15">
        <f>I706*J706</f>
        <v/>
      </c>
      <c r="T706" s="15">
        <f>SUM(S706:S706)*68%</f>
        <v/>
      </c>
      <c r="U706" s="15">
        <f>I706*K706*40%*O706</f>
        <v/>
      </c>
      <c r="V706" s="15">
        <f>IF(P706&gt;=6750,(I706*K706*40%),0)</f>
        <v/>
      </c>
      <c r="W706" s="15">
        <f>IF(P706&lt;6750,0,IF(Q706="",0,IF(OR(Q706="KURANG",Q706="SANGAT KURANG"),I706*K706*10%,I706*K706*20%)))</f>
        <v/>
      </c>
      <c r="X706" s="15">
        <f>SUM(U706:W706)*68%</f>
        <v/>
      </c>
      <c r="Y706" s="15">
        <f>I706*L706</f>
        <v/>
      </c>
      <c r="Z706" s="15">
        <f>Y706 * 68%</f>
        <v/>
      </c>
      <c r="AA706" s="15">
        <f>I706*M706</f>
        <v/>
      </c>
      <c r="AB706" s="15">
        <f>AA706*68%</f>
        <v/>
      </c>
      <c r="AC706" s="16">
        <f>ROUND((T706+X706+Z706+AB706),0)</f>
        <v/>
      </c>
      <c r="AD706" s="16">
        <f>AG706</f>
        <v/>
      </c>
      <c r="AE706" s="16">
        <f>AI706</f>
        <v/>
      </c>
      <c r="AF706" s="16">
        <f>AC706+AD706+AE706</f>
        <v/>
      </c>
      <c r="AG706" s="16" t="n"/>
      <c r="AH706" s="17" t="n"/>
      <c r="AI706" s="17">
        <f>AH706*4</f>
        <v/>
      </c>
      <c r="AJ706" s="15">
        <f>AF706-AG706-AH706-AI706</f>
        <v/>
      </c>
      <c r="AK706" s="18" t="n">
        <v>699</v>
      </c>
      <c r="AL706" s="23" t="n"/>
    </row>
    <row r="707" ht="23.5" customHeight="1">
      <c r="A707" s="6" t="inlineStr">
        <is>
          <t>700</t>
        </is>
      </c>
      <c r="B707" s="28" t="n"/>
      <c r="C707" s="55" t="n"/>
      <c r="D707" s="19" t="n"/>
      <c r="E707" s="24" t="n"/>
      <c r="F707" s="25" t="n"/>
      <c r="G707" s="25" t="n"/>
      <c r="H707" s="24" t="n"/>
      <c r="I707" s="11" t="n"/>
      <c r="J707" s="57" t="n"/>
      <c r="K707" s="12" t="n"/>
      <c r="L707" s="13" t="n"/>
      <c r="M707" s="13" t="n"/>
      <c r="N707" s="14">
        <f>ROUND(I707*(SUM(J707:M707))*68%,0)</f>
        <v/>
      </c>
      <c r="O707" s="61" t="n"/>
      <c r="P707" s="59" t="n"/>
      <c r="Q707" s="59" t="n"/>
      <c r="R707" s="58" t="n"/>
      <c r="S707" s="15">
        <f>I707*J707</f>
        <v/>
      </c>
      <c r="T707" s="15">
        <f>SUM(S707:S707)*68%</f>
        <v/>
      </c>
      <c r="U707" s="15">
        <f>I707*K707*40%*O707</f>
        <v/>
      </c>
      <c r="V707" s="15">
        <f>IF(P707&gt;=6750,(I707*K707*40%),0)</f>
        <v/>
      </c>
      <c r="W707" s="15">
        <f>IF(P707&lt;6750,0,IF(Q707="",0,IF(OR(Q707="KURANG",Q707="SANGAT KURANG"),I707*K707*10%,I707*K707*20%)))</f>
        <v/>
      </c>
      <c r="X707" s="15">
        <f>SUM(U707:W707)*68%</f>
        <v/>
      </c>
      <c r="Y707" s="15">
        <f>I707*L707</f>
        <v/>
      </c>
      <c r="Z707" s="15">
        <f>Y707 * 68%</f>
        <v/>
      </c>
      <c r="AA707" s="15">
        <f>I707*M707</f>
        <v/>
      </c>
      <c r="AB707" s="15">
        <f>AA707*68%</f>
        <v/>
      </c>
      <c r="AC707" s="16">
        <f>ROUND((T707+X707+Z707+AB707),0)</f>
        <v/>
      </c>
      <c r="AD707" s="16">
        <f>AG707</f>
        <v/>
      </c>
      <c r="AE707" s="16">
        <f>AI707</f>
        <v/>
      </c>
      <c r="AF707" s="16">
        <f>AC707+AD707+AE707</f>
        <v/>
      </c>
      <c r="AG707" s="16" t="n"/>
      <c r="AH707" s="17" t="n"/>
      <c r="AI707" s="17">
        <f>AH707*4</f>
        <v/>
      </c>
      <c r="AJ707" s="15">
        <f>AF707-AG707-AH707-AI707</f>
        <v/>
      </c>
      <c r="AK707" s="18" t="n">
        <v>700</v>
      </c>
      <c r="AL707" s="23" t="n"/>
    </row>
    <row r="708" ht="23.5" customHeight="1">
      <c r="A708" s="6" t="inlineStr">
        <is>
          <t>701</t>
        </is>
      </c>
      <c r="B708" s="28" t="n"/>
      <c r="C708" s="55" t="n"/>
      <c r="D708" s="19" t="n"/>
      <c r="E708" s="24" t="n"/>
      <c r="F708" s="25" t="n"/>
      <c r="G708" s="25" t="n"/>
      <c r="H708" s="24" t="n"/>
      <c r="I708" s="11" t="n"/>
      <c r="J708" s="57" t="n"/>
      <c r="K708" s="12" t="n"/>
      <c r="L708" s="13" t="n"/>
      <c r="M708" s="13" t="n"/>
      <c r="N708" s="14">
        <f>ROUND(I708*(SUM(J708:M708))*68%,0)</f>
        <v/>
      </c>
      <c r="O708" s="61" t="n"/>
      <c r="P708" s="59" t="n"/>
      <c r="Q708" s="59" t="n"/>
      <c r="R708" s="58" t="n"/>
      <c r="S708" s="15">
        <f>I708*J708</f>
        <v/>
      </c>
      <c r="T708" s="15">
        <f>SUM(S708:S708)*68%</f>
        <v/>
      </c>
      <c r="U708" s="15">
        <f>I708*K708*40%*O708</f>
        <v/>
      </c>
      <c r="V708" s="15">
        <f>IF(P708&gt;=6750,(I708*K708*40%),0)</f>
        <v/>
      </c>
      <c r="W708" s="15">
        <f>IF(P708&lt;6750,0,IF(Q708="",0,IF(OR(Q708="KURANG",Q708="SANGAT KURANG"),I708*K708*10%,I708*K708*20%)))</f>
        <v/>
      </c>
      <c r="X708" s="15">
        <f>SUM(U708:W708)*68%</f>
        <v/>
      </c>
      <c r="Y708" s="15">
        <f>I708*L708</f>
        <v/>
      </c>
      <c r="Z708" s="15">
        <f>Y708 * 68%</f>
        <v/>
      </c>
      <c r="AA708" s="15">
        <f>I708*M708</f>
        <v/>
      </c>
      <c r="AB708" s="15">
        <f>AA708*68%</f>
        <v/>
      </c>
      <c r="AC708" s="16">
        <f>ROUND((T708+X708+Z708+AB708),0)</f>
        <v/>
      </c>
      <c r="AD708" s="16">
        <f>AG708</f>
        <v/>
      </c>
      <c r="AE708" s="16">
        <f>AI708</f>
        <v/>
      </c>
      <c r="AF708" s="16">
        <f>AC708+AD708+AE708</f>
        <v/>
      </c>
      <c r="AG708" s="16" t="n"/>
      <c r="AH708" s="17" t="n"/>
      <c r="AI708" s="17">
        <f>AH708*4</f>
        <v/>
      </c>
      <c r="AJ708" s="15">
        <f>AF708-AG708-AH708-AI708</f>
        <v/>
      </c>
      <c r="AK708" s="18" t="n">
        <v>701</v>
      </c>
      <c r="AL708" s="40" t="n"/>
    </row>
    <row r="709" ht="23.5" customHeight="1">
      <c r="A709" s="6" t="inlineStr">
        <is>
          <t>702</t>
        </is>
      </c>
      <c r="B709" s="28" t="n"/>
      <c r="C709" s="55" t="n"/>
      <c r="D709" s="19" t="n"/>
      <c r="E709" s="24" t="n"/>
      <c r="F709" s="25" t="n"/>
      <c r="G709" s="25" t="n"/>
      <c r="H709" s="24" t="n"/>
      <c r="I709" s="11" t="n"/>
      <c r="J709" s="57" t="n"/>
      <c r="K709" s="12" t="n"/>
      <c r="L709" s="13" t="n"/>
      <c r="M709" s="13" t="n"/>
      <c r="N709" s="14">
        <f>ROUND(I709*(SUM(J709:M709))*68%,0)</f>
        <v/>
      </c>
      <c r="O709" s="61" t="n"/>
      <c r="P709" s="59" t="n"/>
      <c r="Q709" s="59" t="n"/>
      <c r="R709" s="58" t="n"/>
      <c r="S709" s="15">
        <f>I709*J709</f>
        <v/>
      </c>
      <c r="T709" s="15">
        <f>SUM(S709:S709)*68%</f>
        <v/>
      </c>
      <c r="U709" s="15">
        <f>I709*K709*40%*O709</f>
        <v/>
      </c>
      <c r="V709" s="15">
        <f>IF(P709&gt;=6750,(I709*K709*40%),0)</f>
        <v/>
      </c>
      <c r="W709" s="15">
        <f>IF(P709&lt;6750,0,IF(Q709="",0,IF(OR(Q709="KURANG",Q709="SANGAT KURANG"),I709*K709*10%,I709*K709*20%)))</f>
        <v/>
      </c>
      <c r="X709" s="15">
        <f>SUM(U709:W709)*68%</f>
        <v/>
      </c>
      <c r="Y709" s="15">
        <f>I709*L709</f>
        <v/>
      </c>
      <c r="Z709" s="15">
        <f>Y709 * 68%</f>
        <v/>
      </c>
      <c r="AA709" s="15">
        <f>I709*M709</f>
        <v/>
      </c>
      <c r="AB709" s="15">
        <f>AA709*68%</f>
        <v/>
      </c>
      <c r="AC709" s="16">
        <f>ROUND((T709+X709+Z709+AB709),0)</f>
        <v/>
      </c>
      <c r="AD709" s="16">
        <f>AG709</f>
        <v/>
      </c>
      <c r="AE709" s="16">
        <f>AI709</f>
        <v/>
      </c>
      <c r="AF709" s="16">
        <f>AC709+AD709+AE709</f>
        <v/>
      </c>
      <c r="AG709" s="16" t="n"/>
      <c r="AH709" s="17" t="n"/>
      <c r="AI709" s="17">
        <f>AH709*4</f>
        <v/>
      </c>
      <c r="AJ709" s="15">
        <f>AF709-AG709-AH709-AI709</f>
        <v/>
      </c>
      <c r="AK709" s="18" t="n">
        <v>702</v>
      </c>
      <c r="AL709" s="23" t="n"/>
    </row>
    <row r="710" ht="23.5" customHeight="1">
      <c r="A710" s="6" t="inlineStr">
        <is>
          <t>703</t>
        </is>
      </c>
      <c r="B710" s="28" t="n"/>
      <c r="C710" s="55" t="n"/>
      <c r="D710" s="19" t="n"/>
      <c r="E710" s="24" t="n"/>
      <c r="F710" s="25" t="n"/>
      <c r="G710" s="25" t="n"/>
      <c r="H710" s="24" t="n"/>
      <c r="I710" s="11" t="n"/>
      <c r="J710" s="57" t="n"/>
      <c r="K710" s="12" t="n"/>
      <c r="L710" s="13" t="n"/>
      <c r="M710" s="13" t="n"/>
      <c r="N710" s="14">
        <f>ROUND(I710*(SUM(J710:M710))*68%,0)</f>
        <v/>
      </c>
      <c r="O710" s="61" t="n"/>
      <c r="P710" s="59" t="n"/>
      <c r="Q710" s="59" t="n"/>
      <c r="R710" s="58" t="n"/>
      <c r="S710" s="15">
        <f>I710*J710</f>
        <v/>
      </c>
      <c r="T710" s="15">
        <f>SUM(S710:S710)*68%</f>
        <v/>
      </c>
      <c r="U710" s="15">
        <f>I710*K710*40%*O710</f>
        <v/>
      </c>
      <c r="V710" s="15">
        <f>IF(P710&gt;=6750,(I710*K710*40%),0)</f>
        <v/>
      </c>
      <c r="W710" s="15">
        <f>IF(P710&lt;6750,0,IF(Q710="",0,IF(OR(Q710="KURANG",Q710="SANGAT KURANG"),I710*K710*10%,I710*K710*20%)))</f>
        <v/>
      </c>
      <c r="X710" s="15">
        <f>SUM(U710:W710)*68%</f>
        <v/>
      </c>
      <c r="Y710" s="15">
        <f>I710*L710</f>
        <v/>
      </c>
      <c r="Z710" s="15">
        <f>Y710 * 68%</f>
        <v/>
      </c>
      <c r="AA710" s="15">
        <f>I710*M710</f>
        <v/>
      </c>
      <c r="AB710" s="15">
        <f>AA710*68%</f>
        <v/>
      </c>
      <c r="AC710" s="16">
        <f>ROUND((T710+X710+Z710+AB710),0)</f>
        <v/>
      </c>
      <c r="AD710" s="16">
        <f>AG710</f>
        <v/>
      </c>
      <c r="AE710" s="16">
        <f>AI710</f>
        <v/>
      </c>
      <c r="AF710" s="16">
        <f>AC710+AD710+AE710</f>
        <v/>
      </c>
      <c r="AG710" s="16" t="n"/>
      <c r="AH710" s="17" t="n"/>
      <c r="AI710" s="17">
        <f>AH710*4</f>
        <v/>
      </c>
      <c r="AJ710" s="15">
        <f>AF710-AG710-AH710-AI710</f>
        <v/>
      </c>
      <c r="AK710" s="18" t="n">
        <v>703</v>
      </c>
      <c r="AL710" s="23" t="n"/>
    </row>
    <row r="711" ht="23.5" customHeight="1">
      <c r="A711" s="6" t="inlineStr">
        <is>
          <t>704</t>
        </is>
      </c>
      <c r="B711" s="28" t="n"/>
      <c r="C711" s="55" t="n"/>
      <c r="D711" s="19" t="n"/>
      <c r="E711" s="24" t="n"/>
      <c r="F711" s="25" t="n"/>
      <c r="G711" s="25" t="n"/>
      <c r="H711" s="24" t="n"/>
      <c r="I711" s="11" t="n"/>
      <c r="J711" s="57" t="n"/>
      <c r="K711" s="12" t="n"/>
      <c r="L711" s="13" t="n"/>
      <c r="M711" s="13" t="n"/>
      <c r="N711" s="14">
        <f>ROUND(I711*(SUM(J711:M711))*68%,0)</f>
        <v/>
      </c>
      <c r="O711" s="61" t="n"/>
      <c r="P711" s="59" t="n"/>
      <c r="Q711" s="59" t="n"/>
      <c r="R711" s="58" t="n"/>
      <c r="S711" s="15">
        <f>I711*J711</f>
        <v/>
      </c>
      <c r="T711" s="15">
        <f>SUM(S711:S711)*68%</f>
        <v/>
      </c>
      <c r="U711" s="15">
        <f>I711*K711*40%*O711</f>
        <v/>
      </c>
      <c r="V711" s="15">
        <f>IF(P711&gt;=6750,(I711*K711*40%),0)</f>
        <v/>
      </c>
      <c r="W711" s="15">
        <f>IF(P711&lt;6750,0,IF(Q711="",0,IF(OR(Q711="KURANG",Q711="SANGAT KURANG"),I711*K711*10%,I711*K711*20%)))</f>
        <v/>
      </c>
      <c r="X711" s="15">
        <f>SUM(U711:W711)*68%</f>
        <v/>
      </c>
      <c r="Y711" s="15">
        <f>I711*L711</f>
        <v/>
      </c>
      <c r="Z711" s="15">
        <f>Y711 * 68%</f>
        <v/>
      </c>
      <c r="AA711" s="15">
        <f>I711*M711</f>
        <v/>
      </c>
      <c r="AB711" s="15">
        <f>AA711*68%</f>
        <v/>
      </c>
      <c r="AC711" s="16">
        <f>ROUND((T711+X711+Z711+AB711),0)</f>
        <v/>
      </c>
      <c r="AD711" s="16">
        <f>AG711</f>
        <v/>
      </c>
      <c r="AE711" s="16">
        <f>AI711</f>
        <v/>
      </c>
      <c r="AF711" s="16">
        <f>AC711+AD711+AE711</f>
        <v/>
      </c>
      <c r="AG711" s="16" t="n"/>
      <c r="AH711" s="17" t="n"/>
      <c r="AI711" s="17">
        <f>AH711*4</f>
        <v/>
      </c>
      <c r="AJ711" s="15">
        <f>AF711-AG711-AH711-AI711</f>
        <v/>
      </c>
      <c r="AK711" s="18" t="n">
        <v>704</v>
      </c>
      <c r="AL711" s="40" t="n"/>
    </row>
    <row r="712" ht="23.5" customHeight="1">
      <c r="A712" s="6" t="inlineStr">
        <is>
          <t>705</t>
        </is>
      </c>
      <c r="B712" s="24" t="n"/>
      <c r="C712" s="55" t="n"/>
      <c r="D712" s="19" t="n"/>
      <c r="E712" s="24" t="n"/>
      <c r="F712" s="25" t="n"/>
      <c r="G712" s="25" t="n"/>
      <c r="H712" s="24" t="n"/>
      <c r="I712" s="11" t="n"/>
      <c r="J712" s="57" t="n"/>
      <c r="K712" s="12" t="n"/>
      <c r="L712" s="13" t="n"/>
      <c r="M712" s="13" t="n"/>
      <c r="N712" s="14">
        <f>ROUND(I712*(SUM(J712:M712))*68%,0)</f>
        <v/>
      </c>
      <c r="O712" s="61" t="n"/>
      <c r="P712" s="59" t="n"/>
      <c r="Q712" s="59" t="n"/>
      <c r="R712" s="58" t="n"/>
      <c r="S712" s="15">
        <f>I712*J712</f>
        <v/>
      </c>
      <c r="T712" s="15">
        <f>SUM(S712:S712)*68%</f>
        <v/>
      </c>
      <c r="U712" s="15">
        <f>I712*K712*40%*O712</f>
        <v/>
      </c>
      <c r="V712" s="15">
        <f>IF(P712&gt;=6750,(I712*K712*40%),0)</f>
        <v/>
      </c>
      <c r="W712" s="15">
        <f>IF(P712&lt;6750,0,IF(Q712="",0,IF(OR(Q712="KURANG",Q712="SANGAT KURANG"),I712*K712*10%,I712*K712*20%)))</f>
        <v/>
      </c>
      <c r="X712" s="15">
        <f>SUM(U712:W712)*68%</f>
        <v/>
      </c>
      <c r="Y712" s="15">
        <f>I712*L712</f>
        <v/>
      </c>
      <c r="Z712" s="15">
        <f>Y712 * 68%</f>
        <v/>
      </c>
      <c r="AA712" s="15">
        <f>I712*M712</f>
        <v/>
      </c>
      <c r="AB712" s="15">
        <f>AA712*68%</f>
        <v/>
      </c>
      <c r="AC712" s="16">
        <f>ROUND((T712+X712+Z712+AB712),0)</f>
        <v/>
      </c>
      <c r="AD712" s="16">
        <f>AG712</f>
        <v/>
      </c>
      <c r="AE712" s="16">
        <f>AI712</f>
        <v/>
      </c>
      <c r="AF712" s="16">
        <f>AC712+AD712+AE712</f>
        <v/>
      </c>
      <c r="AG712" s="16" t="n"/>
      <c r="AH712" s="17" t="n"/>
      <c r="AI712" s="17">
        <f>AH712*4</f>
        <v/>
      </c>
      <c r="AJ712" s="15">
        <f>AF712-AG712-AH712-AI712</f>
        <v/>
      </c>
      <c r="AK712" s="18" t="n">
        <v>705</v>
      </c>
      <c r="AL712" s="23" t="n"/>
    </row>
    <row r="713" ht="23.5" customHeight="1">
      <c r="A713" s="6" t="inlineStr">
        <is>
          <t>706</t>
        </is>
      </c>
      <c r="B713" s="54" t="n"/>
      <c r="C713" s="55" t="n"/>
      <c r="D713" s="19" t="n"/>
      <c r="E713" s="26" t="n"/>
      <c r="F713" s="27" t="n"/>
      <c r="G713" s="25" t="n"/>
      <c r="H713" s="24" t="n"/>
      <c r="I713" s="11" t="n"/>
      <c r="J713" s="57" t="n"/>
      <c r="K713" s="12" t="n"/>
      <c r="L713" s="13" t="n"/>
      <c r="M713" s="13" t="n"/>
      <c r="N713" s="14">
        <f>ROUND(I713*(SUM(J713:M713))*68%,0)</f>
        <v/>
      </c>
      <c r="O713" s="61" t="n"/>
      <c r="P713" s="59" t="n"/>
      <c r="Q713" s="59" t="n"/>
      <c r="R713" s="58" t="n"/>
      <c r="S713" s="15">
        <f>I713*J713</f>
        <v/>
      </c>
      <c r="T713" s="15">
        <f>SUM(S713:S713)*68%</f>
        <v/>
      </c>
      <c r="U713" s="15">
        <f>I713*K713*40%*O713</f>
        <v/>
      </c>
      <c r="V713" s="15">
        <f>IF(P713&gt;=6750,(I713*K713*40%),0)</f>
        <v/>
      </c>
      <c r="W713" s="15">
        <f>IF(P713&lt;6750,0,IF(Q713="",0,IF(OR(Q713="KURANG",Q713="SANGAT KURANG"),I713*K713*10%,I713*K713*20%)))</f>
        <v/>
      </c>
      <c r="X713" s="15">
        <f>SUM(U713:W713)*68%</f>
        <v/>
      </c>
      <c r="Y713" s="15">
        <f>I713*L713</f>
        <v/>
      </c>
      <c r="Z713" s="15">
        <f>Y713 * 68%</f>
        <v/>
      </c>
      <c r="AA713" s="15">
        <f>I713*M713</f>
        <v/>
      </c>
      <c r="AB713" s="15">
        <f>AA713*68%</f>
        <v/>
      </c>
      <c r="AC713" s="16">
        <f>ROUND((T713+X713+Z713+AB713),0)</f>
        <v/>
      </c>
      <c r="AD713" s="16">
        <f>AG713</f>
        <v/>
      </c>
      <c r="AE713" s="16">
        <f>AI713</f>
        <v/>
      </c>
      <c r="AF713" s="16">
        <f>AC713+AD713+AE713</f>
        <v/>
      </c>
      <c r="AG713" s="16" t="n"/>
      <c r="AH713" s="17" t="n"/>
      <c r="AI713" s="17">
        <f>AH713*4</f>
        <v/>
      </c>
      <c r="AJ713" s="15">
        <f>AF713-AG713-AH713-AI713</f>
        <v/>
      </c>
      <c r="AK713" s="18" t="n">
        <v>706</v>
      </c>
      <c r="AL713" s="23" t="n"/>
    </row>
    <row r="714" ht="23.5" customHeight="1">
      <c r="A714" s="6" t="inlineStr">
        <is>
          <t>707</t>
        </is>
      </c>
      <c r="B714" s="28" t="n"/>
      <c r="C714" s="55" t="n"/>
      <c r="D714" s="19" t="n"/>
      <c r="E714" s="24" t="n"/>
      <c r="F714" s="27" t="n"/>
      <c r="G714" s="25" t="n"/>
      <c r="H714" s="24" t="n"/>
      <c r="I714" s="11" t="n"/>
      <c r="J714" s="57" t="n"/>
      <c r="K714" s="12" t="n"/>
      <c r="L714" s="13" t="n"/>
      <c r="M714" s="13" t="n"/>
      <c r="N714" s="14">
        <f>ROUND(I714*(SUM(J714:M714))*68%,0)</f>
        <v/>
      </c>
      <c r="O714" s="61" t="n"/>
      <c r="P714" s="59" t="n"/>
      <c r="Q714" s="59" t="n"/>
      <c r="R714" s="58" t="n"/>
      <c r="S714" s="15">
        <f>I714*J714</f>
        <v/>
      </c>
      <c r="T714" s="15">
        <f>SUM(S714:S714)*68%</f>
        <v/>
      </c>
      <c r="U714" s="15">
        <f>I714*K714*40%*O714</f>
        <v/>
      </c>
      <c r="V714" s="15">
        <f>IF(P714&gt;=6750,(I714*K714*40%),0)</f>
        <v/>
      </c>
      <c r="W714" s="15">
        <f>IF(P714&lt;6750,0,IF(Q714="",0,IF(OR(Q714="KURANG",Q714="SANGAT KURANG"),I714*K714*10%,I714*K714*20%)))</f>
        <v/>
      </c>
      <c r="X714" s="15">
        <f>SUM(U714:W714)*68%</f>
        <v/>
      </c>
      <c r="Y714" s="15">
        <f>I714*L714</f>
        <v/>
      </c>
      <c r="Z714" s="15">
        <f>Y714 * 68%</f>
        <v/>
      </c>
      <c r="AA714" s="15">
        <f>I714*M714</f>
        <v/>
      </c>
      <c r="AB714" s="15">
        <f>AA714*68%</f>
        <v/>
      </c>
      <c r="AC714" s="16">
        <f>ROUND((T714+X714+Z714+AB714),0)</f>
        <v/>
      </c>
      <c r="AD714" s="16">
        <f>AG714</f>
        <v/>
      </c>
      <c r="AE714" s="16">
        <f>AI714</f>
        <v/>
      </c>
      <c r="AF714" s="16">
        <f>AC714+AD714+AE714</f>
        <v/>
      </c>
      <c r="AG714" s="16" t="n"/>
      <c r="AH714" s="17" t="n"/>
      <c r="AI714" s="17">
        <f>AH714*4</f>
        <v/>
      </c>
      <c r="AJ714" s="15">
        <f>AF714-AG714-AH714-AI714</f>
        <v/>
      </c>
      <c r="AK714" s="18" t="n">
        <v>707</v>
      </c>
      <c r="AL714" s="40" t="n"/>
    </row>
    <row r="715" ht="23.5" customHeight="1">
      <c r="A715" s="6" t="inlineStr">
        <is>
          <t>708</t>
        </is>
      </c>
      <c r="B715" s="28" t="n"/>
      <c r="C715" s="55" t="n"/>
      <c r="D715" s="19" t="n"/>
      <c r="E715" s="24" t="n"/>
      <c r="F715" s="25" t="n"/>
      <c r="G715" s="10" t="n"/>
      <c r="H715" s="8" t="n"/>
      <c r="I715" s="11" t="n"/>
      <c r="J715" s="57" t="n"/>
      <c r="K715" s="12" t="n"/>
      <c r="L715" s="13" t="n"/>
      <c r="M715" s="13" t="n"/>
      <c r="N715" s="14">
        <f>ROUND(I715*(SUM(J715:M715))*68%,0)</f>
        <v/>
      </c>
      <c r="O715" s="61" t="n"/>
      <c r="P715" s="59" t="n"/>
      <c r="Q715" s="59" t="n"/>
      <c r="R715" s="58" t="n"/>
      <c r="S715" s="15">
        <f>I715*J715</f>
        <v/>
      </c>
      <c r="T715" s="15">
        <f>SUM(S715:S715)*68%</f>
        <v/>
      </c>
      <c r="U715" s="15">
        <f>I715*K715*40%*O715</f>
        <v/>
      </c>
      <c r="V715" s="15">
        <f>IF(P715&gt;=6750,(I715*K715*40%),0)</f>
        <v/>
      </c>
      <c r="W715" s="15">
        <f>IF(P715&lt;6750,0,IF(Q715="",0,IF(OR(Q715="KURANG",Q715="SANGAT KURANG"),I715*K715*10%,I715*K715*20%)))</f>
        <v/>
      </c>
      <c r="X715" s="15">
        <f>SUM(U715:W715)*68%</f>
        <v/>
      </c>
      <c r="Y715" s="15">
        <f>I715*L715</f>
        <v/>
      </c>
      <c r="Z715" s="15">
        <f>Y715 * 68%</f>
        <v/>
      </c>
      <c r="AA715" s="15">
        <f>I715*M715</f>
        <v/>
      </c>
      <c r="AB715" s="15">
        <f>AA715*68%</f>
        <v/>
      </c>
      <c r="AC715" s="16">
        <f>ROUND((T715+X715+Z715+AB715),0)</f>
        <v/>
      </c>
      <c r="AD715" s="16">
        <f>AG715</f>
        <v/>
      </c>
      <c r="AE715" s="16">
        <f>AI715</f>
        <v/>
      </c>
      <c r="AF715" s="16">
        <f>AC715+AD715+AE715</f>
        <v/>
      </c>
      <c r="AG715" s="16" t="n"/>
      <c r="AH715" s="17" t="n"/>
      <c r="AI715" s="17">
        <f>AH715*4</f>
        <v/>
      </c>
      <c r="AJ715" s="15">
        <f>AF715-AG715-AH715-AI715</f>
        <v/>
      </c>
      <c r="AK715" s="18" t="n">
        <v>708</v>
      </c>
      <c r="AL715" s="23" t="n"/>
    </row>
    <row r="716" ht="23.5" customHeight="1">
      <c r="A716" s="6" t="inlineStr">
        <is>
          <t>709</t>
        </is>
      </c>
      <c r="B716" s="24" t="n"/>
      <c r="C716" s="55" t="n"/>
      <c r="D716" s="19" t="n"/>
      <c r="E716" s="24" t="n"/>
      <c r="F716" s="25" t="n"/>
      <c r="G716" s="10" t="n"/>
      <c r="H716" s="8" t="n"/>
      <c r="I716" s="11" t="n"/>
      <c r="J716" s="57" t="n"/>
      <c r="K716" s="12" t="n"/>
      <c r="L716" s="13" t="n"/>
      <c r="M716" s="13" t="n"/>
      <c r="N716" s="14">
        <f>ROUND(I716*(SUM(J716:M716))*68%,0)</f>
        <v/>
      </c>
      <c r="O716" s="61" t="n"/>
      <c r="P716" s="59" t="n"/>
      <c r="Q716" s="59" t="n"/>
      <c r="R716" s="58" t="n"/>
      <c r="S716" s="15">
        <f>I716*J716</f>
        <v/>
      </c>
      <c r="T716" s="15">
        <f>SUM(S716:S716)*68%</f>
        <v/>
      </c>
      <c r="U716" s="15">
        <f>I716*K716*40%*O716</f>
        <v/>
      </c>
      <c r="V716" s="15">
        <f>IF(P716&gt;=6750,(I716*K716*40%),0)</f>
        <v/>
      </c>
      <c r="W716" s="15">
        <f>IF(P716&lt;6750,0,IF(Q716="",0,IF(OR(Q716="KURANG",Q716="SANGAT KURANG"),I716*K716*10%,I716*K716*20%)))</f>
        <v/>
      </c>
      <c r="X716" s="15">
        <f>SUM(U716:W716)*68%</f>
        <v/>
      </c>
      <c r="Y716" s="15">
        <f>I716*L716</f>
        <v/>
      </c>
      <c r="Z716" s="15">
        <f>Y716 * 68%</f>
        <v/>
      </c>
      <c r="AA716" s="15">
        <f>I716*M716</f>
        <v/>
      </c>
      <c r="AB716" s="15">
        <f>AA716*68%</f>
        <v/>
      </c>
      <c r="AC716" s="16">
        <f>ROUND((T716+X716+Z716+AB716),0)</f>
        <v/>
      </c>
      <c r="AD716" s="16">
        <f>AG716</f>
        <v/>
      </c>
      <c r="AE716" s="16">
        <f>AI716</f>
        <v/>
      </c>
      <c r="AF716" s="16">
        <f>AC716+AD716+AE716</f>
        <v/>
      </c>
      <c r="AG716" s="16" t="n"/>
      <c r="AH716" s="17" t="n"/>
      <c r="AI716" s="17">
        <f>AH716*4</f>
        <v/>
      </c>
      <c r="AJ716" s="15">
        <f>AF716-AG716-AH716-AI716</f>
        <v/>
      </c>
      <c r="AK716" s="18" t="n">
        <v>709</v>
      </c>
      <c r="AL716" s="23" t="n"/>
    </row>
    <row r="717" ht="23.5" customHeight="1">
      <c r="A717" s="6" t="inlineStr">
        <is>
          <t>710</t>
        </is>
      </c>
      <c r="B717" s="28" t="n"/>
      <c r="C717" s="55" t="n"/>
      <c r="D717" s="19" t="n"/>
      <c r="E717" s="24" t="n"/>
      <c r="F717" s="25" t="n"/>
      <c r="G717" s="10" t="n"/>
      <c r="H717" s="8" t="n"/>
      <c r="I717" s="11" t="n"/>
      <c r="J717" s="57" t="n"/>
      <c r="K717" s="12" t="n"/>
      <c r="L717" s="13" t="n"/>
      <c r="M717" s="13" t="n"/>
      <c r="N717" s="14">
        <f>ROUND(I717*(SUM(J717:M717))*68%,0)</f>
        <v/>
      </c>
      <c r="O717" s="61" t="n"/>
      <c r="P717" s="59" t="n"/>
      <c r="Q717" s="59" t="n"/>
      <c r="R717" s="58" t="n"/>
      <c r="S717" s="15">
        <f>I717*J717</f>
        <v/>
      </c>
      <c r="T717" s="15">
        <f>SUM(S717:S717)*68%</f>
        <v/>
      </c>
      <c r="U717" s="15">
        <f>I717*K717*40%*O717</f>
        <v/>
      </c>
      <c r="V717" s="15">
        <f>IF(P717&gt;=6750,(I717*K717*40%),0)</f>
        <v/>
      </c>
      <c r="W717" s="15">
        <f>IF(P717&lt;6750,0,IF(Q717="",0,IF(OR(Q717="KURANG",Q717="SANGAT KURANG"),I717*K717*10%,I717*K717*20%)))</f>
        <v/>
      </c>
      <c r="X717" s="15">
        <f>SUM(U717:W717)*68%</f>
        <v/>
      </c>
      <c r="Y717" s="15">
        <f>I717*L717</f>
        <v/>
      </c>
      <c r="Z717" s="15">
        <f>Y717 * 68%</f>
        <v/>
      </c>
      <c r="AA717" s="15">
        <f>I717*M717</f>
        <v/>
      </c>
      <c r="AB717" s="15">
        <f>AA717*68%</f>
        <v/>
      </c>
      <c r="AC717" s="16">
        <f>ROUND((T717+X717+Z717+AB717),0)</f>
        <v/>
      </c>
      <c r="AD717" s="16">
        <f>AG717</f>
        <v/>
      </c>
      <c r="AE717" s="16">
        <f>AI717</f>
        <v/>
      </c>
      <c r="AF717" s="16">
        <f>AC717+AD717+AE717</f>
        <v/>
      </c>
      <c r="AG717" s="16" t="n"/>
      <c r="AH717" s="17" t="n"/>
      <c r="AI717" s="17">
        <f>AH717*4</f>
        <v/>
      </c>
      <c r="AJ717" s="15">
        <f>AF717-AG717-AH717-AI717</f>
        <v/>
      </c>
      <c r="AK717" s="18" t="n">
        <v>710</v>
      </c>
      <c r="AL717" s="40" t="n"/>
    </row>
    <row r="718" ht="23.5" customHeight="1">
      <c r="A718" s="6" t="inlineStr">
        <is>
          <t>711</t>
        </is>
      </c>
      <c r="B718" s="28" t="n"/>
      <c r="C718" s="55" t="n"/>
      <c r="D718" s="19" t="n"/>
      <c r="E718" s="24" t="n"/>
      <c r="F718" s="25" t="n"/>
      <c r="G718" s="10" t="n"/>
      <c r="H718" s="8" t="n"/>
      <c r="I718" s="11" t="n"/>
      <c r="J718" s="57" t="n"/>
      <c r="K718" s="12" t="n"/>
      <c r="L718" s="13" t="n"/>
      <c r="M718" s="13" t="n"/>
      <c r="N718" s="14">
        <f>ROUND(I718*(SUM(J718:M718))*68%,0)</f>
        <v/>
      </c>
      <c r="O718" s="61" t="n"/>
      <c r="P718" s="59" t="n"/>
      <c r="Q718" s="59" t="n"/>
      <c r="R718" s="58" t="n"/>
      <c r="S718" s="15">
        <f>I718*J718</f>
        <v/>
      </c>
      <c r="T718" s="15">
        <f>SUM(S718:S718)*68%</f>
        <v/>
      </c>
      <c r="U718" s="15">
        <f>I718*K718*40%*O718</f>
        <v/>
      </c>
      <c r="V718" s="15">
        <f>IF(P718&gt;=6750,(I718*K718*40%),0)</f>
        <v/>
      </c>
      <c r="W718" s="15">
        <f>IF(P718&lt;6750,0,IF(Q718="",0,IF(OR(Q718="KURANG",Q718="SANGAT KURANG"),I718*K718*10%,I718*K718*20%)))</f>
        <v/>
      </c>
      <c r="X718" s="15">
        <f>SUM(U718:W718)*68%</f>
        <v/>
      </c>
      <c r="Y718" s="15">
        <f>I718*L718</f>
        <v/>
      </c>
      <c r="Z718" s="15">
        <f>Y718 * 68%</f>
        <v/>
      </c>
      <c r="AA718" s="15">
        <f>I718*M718</f>
        <v/>
      </c>
      <c r="AB718" s="15">
        <f>AA718*68%</f>
        <v/>
      </c>
      <c r="AC718" s="16">
        <f>ROUND((T718+X718+Z718+AB718),0)</f>
        <v/>
      </c>
      <c r="AD718" s="16">
        <f>AG718</f>
        <v/>
      </c>
      <c r="AE718" s="16">
        <f>AI718</f>
        <v/>
      </c>
      <c r="AF718" s="16">
        <f>AC718+AD718+AE718</f>
        <v/>
      </c>
      <c r="AG718" s="16" t="n"/>
      <c r="AH718" s="17" t="n"/>
      <c r="AI718" s="17">
        <f>AH718*4</f>
        <v/>
      </c>
      <c r="AJ718" s="15">
        <f>AF718-AG718-AH718-AI718</f>
        <v/>
      </c>
      <c r="AK718" s="18" t="n">
        <v>711</v>
      </c>
      <c r="AL718" s="23" t="n"/>
    </row>
    <row r="719" ht="23.5" customHeight="1">
      <c r="A719" s="6" t="inlineStr">
        <is>
          <t>712</t>
        </is>
      </c>
      <c r="B719" s="24" t="n"/>
      <c r="C719" s="55" t="n"/>
      <c r="D719" s="19" t="n"/>
      <c r="E719" s="24" t="n"/>
      <c r="F719" s="25" t="n"/>
      <c r="G719" s="10" t="n"/>
      <c r="H719" s="8" t="n"/>
      <c r="I719" s="11" t="n"/>
      <c r="J719" s="57" t="n"/>
      <c r="K719" s="12" t="n"/>
      <c r="L719" s="13" t="n"/>
      <c r="M719" s="13" t="n"/>
      <c r="N719" s="14">
        <f>ROUND(I719*(SUM(J719:M719))*68%,0)</f>
        <v/>
      </c>
      <c r="O719" s="61" t="n"/>
      <c r="P719" s="59" t="n"/>
      <c r="Q719" s="59" t="n"/>
      <c r="R719" s="58" t="n"/>
      <c r="S719" s="15">
        <f>I719*J719</f>
        <v/>
      </c>
      <c r="T719" s="15">
        <f>SUM(S719:S719)*68%</f>
        <v/>
      </c>
      <c r="U719" s="15">
        <f>I719*K719*40%*O719</f>
        <v/>
      </c>
      <c r="V719" s="15">
        <f>IF(P719&gt;=6750,(I719*K719*40%),0)</f>
        <v/>
      </c>
      <c r="W719" s="15">
        <f>IF(P719&lt;6750,0,IF(Q719="",0,IF(OR(Q719="KURANG",Q719="SANGAT KURANG"),I719*K719*10%,I719*K719*20%)))</f>
        <v/>
      </c>
      <c r="X719" s="15">
        <f>SUM(U719:W719)*68%</f>
        <v/>
      </c>
      <c r="Y719" s="15">
        <f>I719*L719</f>
        <v/>
      </c>
      <c r="Z719" s="15">
        <f>Y719 * 68%</f>
        <v/>
      </c>
      <c r="AA719" s="15">
        <f>I719*M719</f>
        <v/>
      </c>
      <c r="AB719" s="15">
        <f>AA719*68%</f>
        <v/>
      </c>
      <c r="AC719" s="16">
        <f>ROUND((T719+X719+Z719+AB719),0)</f>
        <v/>
      </c>
      <c r="AD719" s="16">
        <f>AG719</f>
        <v/>
      </c>
      <c r="AE719" s="16">
        <f>AI719</f>
        <v/>
      </c>
      <c r="AF719" s="16">
        <f>AC719+AD719+AE719</f>
        <v/>
      </c>
      <c r="AG719" s="16" t="n"/>
      <c r="AH719" s="17" t="n"/>
      <c r="AI719" s="17">
        <f>AH719*4</f>
        <v/>
      </c>
      <c r="AJ719" s="15">
        <f>AF719-AG719-AH719-AI719</f>
        <v/>
      </c>
      <c r="AK719" s="18" t="n">
        <v>712</v>
      </c>
      <c r="AL719" s="23" t="n"/>
    </row>
    <row r="720" ht="23.5" customHeight="1">
      <c r="A720" s="6" t="inlineStr">
        <is>
          <t>713</t>
        </is>
      </c>
      <c r="B720" s="24" t="n"/>
      <c r="C720" s="55" t="n"/>
      <c r="D720" s="19" t="n"/>
      <c r="E720" s="24" t="n"/>
      <c r="F720" s="25" t="n"/>
      <c r="G720" s="10" t="n"/>
      <c r="H720" s="8" t="n"/>
      <c r="I720" s="11" t="n"/>
      <c r="J720" s="57" t="n"/>
      <c r="K720" s="12" t="n"/>
      <c r="L720" s="13" t="n"/>
      <c r="M720" s="13" t="n"/>
      <c r="N720" s="14">
        <f>ROUND(I720*(SUM(J720:M720))*68%,0)</f>
        <v/>
      </c>
      <c r="O720" s="61" t="n"/>
      <c r="P720" s="59" t="n"/>
      <c r="Q720" s="59" t="n"/>
      <c r="R720" s="58" t="n"/>
      <c r="S720" s="15">
        <f>I720*J720</f>
        <v/>
      </c>
      <c r="T720" s="15">
        <f>SUM(S720:S720)*68%</f>
        <v/>
      </c>
      <c r="U720" s="15">
        <f>I720*K720*40%*O720</f>
        <v/>
      </c>
      <c r="V720" s="15">
        <f>IF(P720&gt;=6750,(I720*K720*40%),0)</f>
        <v/>
      </c>
      <c r="W720" s="15">
        <f>IF(P720&lt;6750,0,IF(Q720="",0,IF(OR(Q720="KURANG",Q720="SANGAT KURANG"),I720*K720*10%,I720*K720*20%)))</f>
        <v/>
      </c>
      <c r="X720" s="15">
        <f>SUM(U720:W720)*68%</f>
        <v/>
      </c>
      <c r="Y720" s="15">
        <f>I720*L720</f>
        <v/>
      </c>
      <c r="Z720" s="15">
        <f>Y720 * 68%</f>
        <v/>
      </c>
      <c r="AA720" s="15">
        <f>I720*M720</f>
        <v/>
      </c>
      <c r="AB720" s="15">
        <f>AA720*68%</f>
        <v/>
      </c>
      <c r="AC720" s="16">
        <f>ROUND((T720+X720+Z720+AB720),0)</f>
        <v/>
      </c>
      <c r="AD720" s="16">
        <f>AG720</f>
        <v/>
      </c>
      <c r="AE720" s="16">
        <f>AI720</f>
        <v/>
      </c>
      <c r="AF720" s="16">
        <f>AC720+AD720+AE720</f>
        <v/>
      </c>
      <c r="AG720" s="16" t="n"/>
      <c r="AH720" s="17" t="n"/>
      <c r="AI720" s="17">
        <f>AH720*4</f>
        <v/>
      </c>
      <c r="AJ720" s="15">
        <f>AF720-AG720-AH720-AI720</f>
        <v/>
      </c>
      <c r="AK720" s="18" t="n">
        <v>713</v>
      </c>
      <c r="AL720" s="40" t="n"/>
    </row>
    <row r="721" ht="23.5" customHeight="1">
      <c r="A721" s="6" t="inlineStr">
        <is>
          <t>714</t>
        </is>
      </c>
      <c r="B721" s="24" t="n"/>
      <c r="C721" s="55" t="n"/>
      <c r="D721" s="19" t="n"/>
      <c r="E721" s="24" t="n"/>
      <c r="F721" s="25" t="n"/>
      <c r="G721" s="10" t="n"/>
      <c r="H721" s="8" t="n"/>
      <c r="I721" s="11" t="n"/>
      <c r="J721" s="57" t="n"/>
      <c r="K721" s="12" t="n"/>
      <c r="L721" s="13" t="n"/>
      <c r="M721" s="13" t="n"/>
      <c r="N721" s="14">
        <f>ROUND(I721*(SUM(J721:M721))*68%,0)</f>
        <v/>
      </c>
      <c r="O721" s="61" t="n"/>
      <c r="P721" s="59" t="n"/>
      <c r="Q721" s="59" t="n"/>
      <c r="R721" s="58" t="n"/>
      <c r="S721" s="15">
        <f>I721*J721</f>
        <v/>
      </c>
      <c r="T721" s="15">
        <f>SUM(S721:S721)*68%</f>
        <v/>
      </c>
      <c r="U721" s="15">
        <f>I721*K721*40%*O721</f>
        <v/>
      </c>
      <c r="V721" s="15">
        <f>IF(P721&gt;=6750,(I721*K721*40%),0)</f>
        <v/>
      </c>
      <c r="W721" s="15">
        <f>IF(P721&lt;6750,0,IF(Q721="",0,IF(OR(Q721="KURANG",Q721="SANGAT KURANG"),I721*K721*10%,I721*K721*20%)))</f>
        <v/>
      </c>
      <c r="X721" s="15">
        <f>SUM(U721:W721)*68%</f>
        <v/>
      </c>
      <c r="Y721" s="15">
        <f>I721*L721</f>
        <v/>
      </c>
      <c r="Z721" s="15">
        <f>Y721 * 68%</f>
        <v/>
      </c>
      <c r="AA721" s="15">
        <f>I721*M721</f>
        <v/>
      </c>
      <c r="AB721" s="15">
        <f>AA721*68%</f>
        <v/>
      </c>
      <c r="AC721" s="16">
        <f>ROUND((T721+X721+Z721+AB721),0)</f>
        <v/>
      </c>
      <c r="AD721" s="16">
        <f>AG721</f>
        <v/>
      </c>
      <c r="AE721" s="16">
        <f>AI721</f>
        <v/>
      </c>
      <c r="AF721" s="16">
        <f>AC721+AD721+AE721</f>
        <v/>
      </c>
      <c r="AG721" s="16" t="n"/>
      <c r="AH721" s="17" t="n"/>
      <c r="AI721" s="17">
        <f>AH721*4</f>
        <v/>
      </c>
      <c r="AJ721" s="15">
        <f>AF721-AG721-AH721-AI721</f>
        <v/>
      </c>
      <c r="AK721" s="18" t="n">
        <v>714</v>
      </c>
      <c r="AL721" s="23" t="n"/>
    </row>
    <row r="722" ht="23.5" customHeight="1">
      <c r="A722" s="6" t="inlineStr">
        <is>
          <t>715</t>
        </is>
      </c>
      <c r="B722" s="28" t="n"/>
      <c r="C722" s="55" t="n"/>
      <c r="D722" s="19" t="n"/>
      <c r="E722" s="24" t="n"/>
      <c r="F722" s="25" t="n"/>
      <c r="G722" s="10" t="n"/>
      <c r="H722" s="8" t="n"/>
      <c r="I722" s="11" t="n"/>
      <c r="J722" s="57" t="n"/>
      <c r="K722" s="12" t="n"/>
      <c r="L722" s="13" t="n"/>
      <c r="M722" s="13" t="n"/>
      <c r="N722" s="14">
        <f>ROUND(I722*(SUM(J722:M722))*68%,0)</f>
        <v/>
      </c>
      <c r="O722" s="61" t="n"/>
      <c r="P722" s="59" t="n"/>
      <c r="Q722" s="59" t="n"/>
      <c r="R722" s="58" t="n"/>
      <c r="S722" s="15">
        <f>I722*J722</f>
        <v/>
      </c>
      <c r="T722" s="15">
        <f>SUM(S722:S722)*68%</f>
        <v/>
      </c>
      <c r="U722" s="15">
        <f>I722*K722*40%*O722</f>
        <v/>
      </c>
      <c r="V722" s="15">
        <f>IF(P722&gt;=6750,(I722*K722*40%),0)</f>
        <v/>
      </c>
      <c r="W722" s="15">
        <f>IF(P722&lt;6750,0,IF(Q722="",0,IF(OR(Q722="KURANG",Q722="SANGAT KURANG"),I722*K722*10%,I722*K722*20%)))</f>
        <v/>
      </c>
      <c r="X722" s="15">
        <f>SUM(U722:W722)*68%</f>
        <v/>
      </c>
      <c r="Y722" s="15">
        <f>I722*L722</f>
        <v/>
      </c>
      <c r="Z722" s="15">
        <f>Y722 * 68%</f>
        <v/>
      </c>
      <c r="AA722" s="15">
        <f>I722*M722</f>
        <v/>
      </c>
      <c r="AB722" s="15">
        <f>AA722*68%</f>
        <v/>
      </c>
      <c r="AC722" s="16">
        <f>ROUND((T722+X722+Z722+AB722),0)</f>
        <v/>
      </c>
      <c r="AD722" s="16">
        <f>AG722</f>
        <v/>
      </c>
      <c r="AE722" s="16">
        <f>AI722</f>
        <v/>
      </c>
      <c r="AF722" s="16">
        <f>AC722+AD722+AE722</f>
        <v/>
      </c>
      <c r="AG722" s="16" t="n"/>
      <c r="AH722" s="17" t="n"/>
      <c r="AI722" s="17">
        <f>AH722*4</f>
        <v/>
      </c>
      <c r="AJ722" s="15">
        <f>AF722-AG722-AH722-AI722</f>
        <v/>
      </c>
      <c r="AK722" s="18" t="n">
        <v>715</v>
      </c>
      <c r="AL722" s="23" t="n"/>
    </row>
    <row r="723" ht="23.5" customHeight="1">
      <c r="A723" s="6" t="inlineStr">
        <is>
          <t>716</t>
        </is>
      </c>
      <c r="B723" s="24" t="n"/>
      <c r="C723" s="55" t="n"/>
      <c r="D723" s="19" t="n"/>
      <c r="E723" s="24" t="n"/>
      <c r="F723" s="25" t="n"/>
      <c r="G723" s="10" t="n"/>
      <c r="H723" s="8" t="n"/>
      <c r="I723" s="11" t="n"/>
      <c r="J723" s="57" t="n"/>
      <c r="K723" s="12" t="n"/>
      <c r="L723" s="22" t="n"/>
      <c r="M723" s="13" t="n"/>
      <c r="N723" s="14">
        <f>ROUND(I723*(SUM(J723:M723))*68%,0)</f>
        <v/>
      </c>
      <c r="O723" s="61" t="n"/>
      <c r="P723" s="59" t="n"/>
      <c r="Q723" s="59" t="n"/>
      <c r="R723" s="58" t="n"/>
      <c r="S723" s="15">
        <f>I723*J723</f>
        <v/>
      </c>
      <c r="T723" s="15">
        <f>SUM(S723:S723)*68%</f>
        <v/>
      </c>
      <c r="U723" s="15">
        <f>I723*K723*40%*O723</f>
        <v/>
      </c>
      <c r="V723" s="15">
        <f>IF(P723&gt;=6750,(I723*K723*40%),0)</f>
        <v/>
      </c>
      <c r="W723" s="15">
        <f>IF(P723&lt;6750,0,IF(Q723="",0,IF(OR(Q723="KURANG",Q723="SANGAT KURANG"),I723*K723*10%,I723*K723*20%)))</f>
        <v/>
      </c>
      <c r="X723" s="15">
        <f>SUM(U723:W723)*68%</f>
        <v/>
      </c>
      <c r="Y723" s="15">
        <f>I723*L723</f>
        <v/>
      </c>
      <c r="Z723" s="15">
        <f>Y723 * 68%</f>
        <v/>
      </c>
      <c r="AA723" s="15">
        <f>I723*M723</f>
        <v/>
      </c>
      <c r="AB723" s="15">
        <f>AA723*68%</f>
        <v/>
      </c>
      <c r="AC723" s="16">
        <f>ROUND((T723+X723+Z723+AB723),0)</f>
        <v/>
      </c>
      <c r="AD723" s="16">
        <f>AG723</f>
        <v/>
      </c>
      <c r="AE723" s="16">
        <f>AI723</f>
        <v/>
      </c>
      <c r="AF723" s="16">
        <f>AC723+AD723+AE723</f>
        <v/>
      </c>
      <c r="AG723" s="16" t="n"/>
      <c r="AH723" s="17" t="n"/>
      <c r="AI723" s="17">
        <f>AH723*4</f>
        <v/>
      </c>
      <c r="AJ723" s="15">
        <f>AF723-AG723-AH723-AI723</f>
        <v/>
      </c>
      <c r="AK723" s="18" t="n">
        <v>716</v>
      </c>
      <c r="AL723" s="40" t="n"/>
    </row>
    <row r="724" ht="23.5" customHeight="1">
      <c r="A724" s="6" t="inlineStr">
        <is>
          <t>717</t>
        </is>
      </c>
      <c r="B724" s="28" t="n"/>
      <c r="C724" s="55" t="n"/>
      <c r="D724" s="19" t="n"/>
      <c r="E724" s="24" t="n"/>
      <c r="F724" s="25" t="n"/>
      <c r="G724" s="10" t="n"/>
      <c r="H724" s="8" t="n"/>
      <c r="I724" s="11" t="n"/>
      <c r="J724" s="57" t="n"/>
      <c r="K724" s="12" t="n"/>
      <c r="L724" s="22" t="n"/>
      <c r="M724" s="13" t="n"/>
      <c r="N724" s="14">
        <f>ROUND(I724*(SUM(J724:M724))*68%,0)</f>
        <v/>
      </c>
      <c r="O724" s="61" t="n"/>
      <c r="P724" s="59" t="n"/>
      <c r="Q724" s="59" t="n"/>
      <c r="R724" s="58" t="n"/>
      <c r="S724" s="15">
        <f>I724*J724</f>
        <v/>
      </c>
      <c r="T724" s="15">
        <f>SUM(S724:S724)*68%</f>
        <v/>
      </c>
      <c r="U724" s="15">
        <f>I724*K724*40%*O724</f>
        <v/>
      </c>
      <c r="V724" s="15">
        <f>IF(P724&gt;=6750,(I724*K724*40%),0)</f>
        <v/>
      </c>
      <c r="W724" s="15">
        <f>IF(P724&lt;6750,0,IF(Q724="",0,IF(OR(Q724="KURANG",Q724="SANGAT KURANG"),I724*K724*10%,I724*K724*20%)))</f>
        <v/>
      </c>
      <c r="X724" s="15">
        <f>SUM(U724:W724)*68%</f>
        <v/>
      </c>
      <c r="Y724" s="15">
        <f>I724*L724</f>
        <v/>
      </c>
      <c r="Z724" s="15">
        <f>Y724 * 68%</f>
        <v/>
      </c>
      <c r="AA724" s="15">
        <f>I724*M724</f>
        <v/>
      </c>
      <c r="AB724" s="15">
        <f>AA724*68%</f>
        <v/>
      </c>
      <c r="AC724" s="16">
        <f>ROUND((T724+X724+Z724+AB724),0)</f>
        <v/>
      </c>
      <c r="AD724" s="16">
        <f>AG724</f>
        <v/>
      </c>
      <c r="AE724" s="16">
        <f>AI724</f>
        <v/>
      </c>
      <c r="AF724" s="16">
        <f>AC724+AD724+AE724</f>
        <v/>
      </c>
      <c r="AG724" s="16" t="n"/>
      <c r="AH724" s="17" t="n"/>
      <c r="AI724" s="17">
        <f>AH724*4</f>
        <v/>
      </c>
      <c r="AJ724" s="15">
        <f>AF724-AG724-AH724-AI724</f>
        <v/>
      </c>
      <c r="AK724" s="18" t="n">
        <v>717</v>
      </c>
      <c r="AL724" s="23" t="n"/>
    </row>
    <row r="725" ht="23.5" customHeight="1">
      <c r="A725" s="6" t="inlineStr">
        <is>
          <t>718</t>
        </is>
      </c>
      <c r="B725" s="24" t="n"/>
      <c r="C725" s="55" t="n"/>
      <c r="D725" s="19" t="n"/>
      <c r="E725" s="24" t="n"/>
      <c r="F725" s="25" t="n"/>
      <c r="G725" s="10" t="n"/>
      <c r="H725" s="8" t="n"/>
      <c r="I725" s="11" t="n"/>
      <c r="J725" s="57" t="n"/>
      <c r="K725" s="12" t="n"/>
      <c r="L725" s="22" t="n"/>
      <c r="M725" s="13" t="n"/>
      <c r="N725" s="14">
        <f>ROUND(I725*(SUM(J725:M725))*68%,0)</f>
        <v/>
      </c>
      <c r="O725" s="61" t="n"/>
      <c r="P725" s="59" t="n"/>
      <c r="Q725" s="59" t="n"/>
      <c r="R725" s="58" t="n"/>
      <c r="S725" s="15">
        <f>I725*J725</f>
        <v/>
      </c>
      <c r="T725" s="15">
        <f>SUM(S725:S725)*68%</f>
        <v/>
      </c>
      <c r="U725" s="15">
        <f>I725*K725*40%*O725</f>
        <v/>
      </c>
      <c r="V725" s="15">
        <f>IF(P725&gt;=6750,(I725*K725*40%),0)</f>
        <v/>
      </c>
      <c r="W725" s="15">
        <f>IF(P725&lt;6750,0,IF(Q725="",0,IF(OR(Q725="KURANG",Q725="SANGAT KURANG"),I725*K725*10%,I725*K725*20%)))</f>
        <v/>
      </c>
      <c r="X725" s="15">
        <f>SUM(U725:W725)*68%</f>
        <v/>
      </c>
      <c r="Y725" s="15">
        <f>I725*L725</f>
        <v/>
      </c>
      <c r="Z725" s="15">
        <f>Y725 * 68%</f>
        <v/>
      </c>
      <c r="AA725" s="15">
        <f>I725*M725</f>
        <v/>
      </c>
      <c r="AB725" s="15">
        <f>AA725*68%</f>
        <v/>
      </c>
      <c r="AC725" s="16">
        <f>ROUND((T725+X725+Z725+AB725),0)</f>
        <v/>
      </c>
      <c r="AD725" s="16">
        <f>AG725</f>
        <v/>
      </c>
      <c r="AE725" s="16">
        <f>AI725</f>
        <v/>
      </c>
      <c r="AF725" s="16">
        <f>AC725+AD725+AE725</f>
        <v/>
      </c>
      <c r="AG725" s="16" t="n"/>
      <c r="AH725" s="17" t="n"/>
      <c r="AI725" s="17">
        <f>AH725*4</f>
        <v/>
      </c>
      <c r="AJ725" s="15">
        <f>AF725-AG725-AH725-AI725</f>
        <v/>
      </c>
      <c r="AK725" s="18" t="n">
        <v>718</v>
      </c>
      <c r="AL725" s="23" t="n"/>
    </row>
    <row r="726" ht="23.5" customHeight="1">
      <c r="A726" s="6" t="inlineStr">
        <is>
          <t>719</t>
        </is>
      </c>
      <c r="B726" s="24" t="n"/>
      <c r="C726" s="55" t="n"/>
      <c r="D726" s="19" t="n"/>
      <c r="E726" s="24" t="n"/>
      <c r="F726" s="25" t="n"/>
      <c r="G726" s="10" t="n"/>
      <c r="H726" s="8" t="n"/>
      <c r="I726" s="11" t="n"/>
      <c r="J726" s="57" t="n"/>
      <c r="K726" s="12" t="n"/>
      <c r="L726" s="22" t="n"/>
      <c r="M726" s="13" t="n"/>
      <c r="N726" s="14">
        <f>ROUND(I726*(SUM(J726:M726))*68%,0)</f>
        <v/>
      </c>
      <c r="O726" s="61" t="n"/>
      <c r="P726" s="59" t="n"/>
      <c r="Q726" s="59" t="n"/>
      <c r="R726" s="58" t="n"/>
      <c r="S726" s="15">
        <f>I726*J726</f>
        <v/>
      </c>
      <c r="T726" s="15">
        <f>SUM(S726:S726)*68%</f>
        <v/>
      </c>
      <c r="U726" s="15">
        <f>I726*K726*40%*O726</f>
        <v/>
      </c>
      <c r="V726" s="15">
        <f>IF(P726&gt;=6750,(I726*K726*40%),0)</f>
        <v/>
      </c>
      <c r="W726" s="15">
        <f>IF(P726&lt;6750,0,IF(Q726="",0,IF(OR(Q726="KURANG",Q726="SANGAT KURANG"),I726*K726*10%,I726*K726*20%)))</f>
        <v/>
      </c>
      <c r="X726" s="15">
        <f>SUM(U726:W726)*68%</f>
        <v/>
      </c>
      <c r="Y726" s="15">
        <f>I726*L726</f>
        <v/>
      </c>
      <c r="Z726" s="15">
        <f>Y726 * 68%</f>
        <v/>
      </c>
      <c r="AA726" s="15">
        <f>I726*M726</f>
        <v/>
      </c>
      <c r="AB726" s="15">
        <f>AA726*68%</f>
        <v/>
      </c>
      <c r="AC726" s="16">
        <f>ROUND((T726+X726+Z726+AB726),0)</f>
        <v/>
      </c>
      <c r="AD726" s="16">
        <f>AG726</f>
        <v/>
      </c>
      <c r="AE726" s="16">
        <f>AI726</f>
        <v/>
      </c>
      <c r="AF726" s="16">
        <f>AC726+AD726+AE726</f>
        <v/>
      </c>
      <c r="AG726" s="16" t="n"/>
      <c r="AH726" s="17" t="n"/>
      <c r="AI726" s="17">
        <f>AH726*4</f>
        <v/>
      </c>
      <c r="AJ726" s="15">
        <f>AF726-AG726-AH726-AI726</f>
        <v/>
      </c>
      <c r="AK726" s="18" t="n">
        <v>719</v>
      </c>
      <c r="AL726" s="40" t="n"/>
    </row>
    <row r="727" ht="23.5" customHeight="1">
      <c r="A727" s="6" t="inlineStr">
        <is>
          <t>720</t>
        </is>
      </c>
      <c r="B727" s="24" t="n"/>
      <c r="C727" s="55" t="n"/>
      <c r="D727" s="19" t="n"/>
      <c r="E727" s="24" t="n"/>
      <c r="F727" s="25" t="n"/>
      <c r="G727" s="10" t="n"/>
      <c r="H727" s="8" t="n"/>
      <c r="I727" s="11" t="n"/>
      <c r="J727" s="57" t="n"/>
      <c r="K727" s="12" t="n"/>
      <c r="L727" s="22" t="n"/>
      <c r="M727" s="13" t="n"/>
      <c r="N727" s="14">
        <f>ROUND(I727*(SUM(J727:M727))*68%,0)</f>
        <v/>
      </c>
      <c r="O727" s="61" t="n"/>
      <c r="P727" s="59" t="n"/>
      <c r="Q727" s="59" t="n"/>
      <c r="R727" s="58" t="n"/>
      <c r="S727" s="15">
        <f>I727*J727</f>
        <v/>
      </c>
      <c r="T727" s="15">
        <f>SUM(S727:S727)*68%</f>
        <v/>
      </c>
      <c r="U727" s="15">
        <f>I727*K727*40%*O727</f>
        <v/>
      </c>
      <c r="V727" s="15">
        <f>IF(P727&gt;=6750,(I727*K727*40%),0)</f>
        <v/>
      </c>
      <c r="W727" s="15">
        <f>IF(P727&lt;6750,0,IF(Q727="",0,IF(OR(Q727="KURANG",Q727="SANGAT KURANG"),I727*K727*10%,I727*K727*20%)))</f>
        <v/>
      </c>
      <c r="X727" s="15">
        <f>SUM(U727:W727)*68%</f>
        <v/>
      </c>
      <c r="Y727" s="15">
        <f>I727*L727</f>
        <v/>
      </c>
      <c r="Z727" s="15">
        <f>Y727 * 68%</f>
        <v/>
      </c>
      <c r="AA727" s="15">
        <f>I727*M727</f>
        <v/>
      </c>
      <c r="AB727" s="15">
        <f>AA727*68%</f>
        <v/>
      </c>
      <c r="AC727" s="16">
        <f>ROUND((T727+X727+Z727+AB727),0)</f>
        <v/>
      </c>
      <c r="AD727" s="16">
        <f>AG727</f>
        <v/>
      </c>
      <c r="AE727" s="16">
        <f>AI727</f>
        <v/>
      </c>
      <c r="AF727" s="16">
        <f>AC727+AD727+AE727</f>
        <v/>
      </c>
      <c r="AG727" s="16" t="n"/>
      <c r="AH727" s="17" t="n"/>
      <c r="AI727" s="17">
        <f>AH727*4</f>
        <v/>
      </c>
      <c r="AJ727" s="15">
        <f>AF727-AG727-AH727-AI727</f>
        <v/>
      </c>
      <c r="AK727" s="18" t="n">
        <v>720</v>
      </c>
      <c r="AL727" s="23" t="n"/>
    </row>
    <row r="728" ht="23.5" customHeight="1">
      <c r="A728" s="6" t="inlineStr">
        <is>
          <t>721</t>
        </is>
      </c>
      <c r="B728" s="24" t="n"/>
      <c r="C728" s="55" t="n"/>
      <c r="D728" s="19" t="n"/>
      <c r="E728" s="24" t="n"/>
      <c r="F728" s="25" t="n"/>
      <c r="G728" s="10" t="n"/>
      <c r="H728" s="8" t="n"/>
      <c r="I728" s="11" t="n"/>
      <c r="J728" s="57" t="n"/>
      <c r="K728" s="12" t="n"/>
      <c r="L728" s="22" t="n"/>
      <c r="M728" s="13" t="n"/>
      <c r="N728" s="14">
        <f>ROUND(I728*(SUM(J728:M728))*68%,0)</f>
        <v/>
      </c>
      <c r="O728" s="61" t="n"/>
      <c r="P728" s="59" t="n"/>
      <c r="Q728" s="59" t="n"/>
      <c r="R728" s="58" t="n"/>
      <c r="S728" s="15">
        <f>I728*J728</f>
        <v/>
      </c>
      <c r="T728" s="15">
        <f>SUM(S728:S728)*68%</f>
        <v/>
      </c>
      <c r="U728" s="15">
        <f>I728*K728*40%*O728</f>
        <v/>
      </c>
      <c r="V728" s="15">
        <f>IF(P728&gt;=6750,(I728*K728*40%),0)</f>
        <v/>
      </c>
      <c r="W728" s="15">
        <f>IF(P728&lt;6750,0,IF(Q728="",0,IF(OR(Q728="KURANG",Q728="SANGAT KURANG"),I728*K728*10%,I728*K728*20%)))</f>
        <v/>
      </c>
      <c r="X728" s="15">
        <f>SUM(U728:W728)*68%</f>
        <v/>
      </c>
      <c r="Y728" s="15">
        <f>I728*L728</f>
        <v/>
      </c>
      <c r="Z728" s="15">
        <f>Y728 * 68%</f>
        <v/>
      </c>
      <c r="AA728" s="15">
        <f>I728*M728</f>
        <v/>
      </c>
      <c r="AB728" s="15">
        <f>AA728*68%</f>
        <v/>
      </c>
      <c r="AC728" s="16">
        <f>ROUND((T728+X728+Z728+AB728),0)</f>
        <v/>
      </c>
      <c r="AD728" s="16">
        <f>AG728</f>
        <v/>
      </c>
      <c r="AE728" s="16">
        <f>AI728</f>
        <v/>
      </c>
      <c r="AF728" s="16">
        <f>AC728+AD728+AE728</f>
        <v/>
      </c>
      <c r="AG728" s="16" t="n"/>
      <c r="AH728" s="17" t="n"/>
      <c r="AI728" s="17">
        <f>AH728*4</f>
        <v/>
      </c>
      <c r="AJ728" s="15">
        <f>AF728-AG728-AH728-AI728</f>
        <v/>
      </c>
      <c r="AK728" s="18" t="n">
        <v>721</v>
      </c>
      <c r="AL728" s="23" t="n"/>
    </row>
    <row r="729" ht="23.5" customHeight="1">
      <c r="A729" s="6" t="inlineStr">
        <is>
          <t>722</t>
        </is>
      </c>
      <c r="B729" s="24" t="n"/>
      <c r="C729" s="55" t="n"/>
      <c r="D729" s="19" t="n"/>
      <c r="E729" s="24" t="n"/>
      <c r="F729" s="25" t="n"/>
      <c r="G729" s="10" t="n"/>
      <c r="H729" s="8" t="n"/>
      <c r="I729" s="11" t="n"/>
      <c r="J729" s="57" t="n"/>
      <c r="K729" s="12" t="n"/>
      <c r="L729" s="22" t="n"/>
      <c r="M729" s="13" t="n"/>
      <c r="N729" s="14">
        <f>ROUND(I729*(SUM(J729:M729))*68%,0)</f>
        <v/>
      </c>
      <c r="O729" s="61" t="n"/>
      <c r="P729" s="59" t="n"/>
      <c r="Q729" s="59" t="n"/>
      <c r="R729" s="58" t="n"/>
      <c r="S729" s="15">
        <f>I729*J729</f>
        <v/>
      </c>
      <c r="T729" s="15">
        <f>SUM(S729:S729)*68%</f>
        <v/>
      </c>
      <c r="U729" s="15">
        <f>I729*K729*40%*O729</f>
        <v/>
      </c>
      <c r="V729" s="15">
        <f>IF(P729&gt;=6750,(I729*K729*40%),0)</f>
        <v/>
      </c>
      <c r="W729" s="15">
        <f>IF(P729&lt;6750,0,IF(Q729="",0,IF(OR(Q729="KURANG",Q729="SANGAT KURANG"),I729*K729*10%,I729*K729*20%)))</f>
        <v/>
      </c>
      <c r="X729" s="15">
        <f>SUM(U729:W729)*68%</f>
        <v/>
      </c>
      <c r="Y729" s="15">
        <f>I729*L729</f>
        <v/>
      </c>
      <c r="Z729" s="15">
        <f>Y729 * 68%</f>
        <v/>
      </c>
      <c r="AA729" s="15">
        <f>I729*M729</f>
        <v/>
      </c>
      <c r="AB729" s="15">
        <f>AA729*68%</f>
        <v/>
      </c>
      <c r="AC729" s="16">
        <f>ROUND((T729+X729+Z729+AB729),0)</f>
        <v/>
      </c>
      <c r="AD729" s="16">
        <f>AG729</f>
        <v/>
      </c>
      <c r="AE729" s="16">
        <f>AI729</f>
        <v/>
      </c>
      <c r="AF729" s="16">
        <f>AC729+AD729+AE729</f>
        <v/>
      </c>
      <c r="AG729" s="16" t="n"/>
      <c r="AH729" s="17" t="n"/>
      <c r="AI729" s="17">
        <f>AH729*4</f>
        <v/>
      </c>
      <c r="AJ729" s="15">
        <f>AF729-AG729-AH729-AI729</f>
        <v/>
      </c>
      <c r="AK729" s="18" t="n">
        <v>722</v>
      </c>
      <c r="AL729" s="40" t="n"/>
    </row>
    <row r="730" ht="23.5" customHeight="1">
      <c r="A730" s="6" t="inlineStr">
        <is>
          <t>723</t>
        </is>
      </c>
      <c r="B730" s="28" t="n"/>
      <c r="C730" s="55" t="n"/>
      <c r="D730" s="19" t="n"/>
      <c r="E730" s="24" t="n"/>
      <c r="F730" s="25" t="n"/>
      <c r="G730" s="10" t="n"/>
      <c r="H730" s="8" t="n"/>
      <c r="I730" s="11" t="n"/>
      <c r="J730" s="57" t="n"/>
      <c r="K730" s="12" t="n"/>
      <c r="L730" s="22" t="n"/>
      <c r="M730" s="13" t="n"/>
      <c r="N730" s="14">
        <f>ROUND(I730*(SUM(J730:M730))*68%,0)</f>
        <v/>
      </c>
      <c r="O730" s="61" t="n"/>
      <c r="P730" s="59" t="n"/>
      <c r="Q730" s="59" t="n"/>
      <c r="R730" s="58" t="n"/>
      <c r="S730" s="15">
        <f>I730*J730</f>
        <v/>
      </c>
      <c r="T730" s="15">
        <f>SUM(S730:S730)*68%</f>
        <v/>
      </c>
      <c r="U730" s="15">
        <f>I730*K730*40%*O730</f>
        <v/>
      </c>
      <c r="V730" s="15">
        <f>IF(P730&gt;=6750,(I730*K730*40%),0)</f>
        <v/>
      </c>
      <c r="W730" s="15">
        <f>IF(P730&lt;6750,0,IF(Q730="",0,IF(OR(Q730="KURANG",Q730="SANGAT KURANG"),I730*K730*10%,I730*K730*20%)))</f>
        <v/>
      </c>
      <c r="X730" s="15">
        <f>SUM(U730:W730)*68%</f>
        <v/>
      </c>
      <c r="Y730" s="15">
        <f>I730*L730</f>
        <v/>
      </c>
      <c r="Z730" s="15">
        <f>Y730 * 68%</f>
        <v/>
      </c>
      <c r="AA730" s="15">
        <f>I730*M730</f>
        <v/>
      </c>
      <c r="AB730" s="15">
        <f>AA730*68%</f>
        <v/>
      </c>
      <c r="AC730" s="16">
        <f>ROUND((T730+X730+Z730+AB730),0)</f>
        <v/>
      </c>
      <c r="AD730" s="16">
        <f>AG730</f>
        <v/>
      </c>
      <c r="AE730" s="16">
        <f>AI730</f>
        <v/>
      </c>
      <c r="AF730" s="16">
        <f>AC730+AD730+AE730</f>
        <v/>
      </c>
      <c r="AG730" s="16" t="n"/>
      <c r="AH730" s="17" t="n"/>
      <c r="AI730" s="17">
        <f>AH730*4</f>
        <v/>
      </c>
      <c r="AJ730" s="15">
        <f>AF730-AG730-AH730-AI730</f>
        <v/>
      </c>
      <c r="AK730" s="18" t="n">
        <v>723</v>
      </c>
      <c r="AL730" s="23" t="n"/>
    </row>
    <row r="731" ht="23.5" customHeight="1">
      <c r="A731" s="6" t="inlineStr">
        <is>
          <t>724</t>
        </is>
      </c>
      <c r="B731" s="30" t="n"/>
      <c r="C731" s="55" t="n"/>
      <c r="D731" s="29" t="n"/>
      <c r="E731" s="30" t="n"/>
      <c r="F731" s="31" t="n"/>
      <c r="G731" s="32" t="n"/>
      <c r="H731" s="33" t="n"/>
      <c r="I731" s="11" t="n"/>
      <c r="J731" s="57" t="n"/>
      <c r="K731" s="12" t="n"/>
      <c r="L731" s="22" t="n"/>
      <c r="M731" s="13" t="n"/>
      <c r="N731" s="14">
        <f>ROUND(I731*(SUM(J731:M731))*68%,0)</f>
        <v/>
      </c>
      <c r="O731" s="61" t="n"/>
      <c r="P731" s="59" t="n"/>
      <c r="Q731" s="59" t="n"/>
      <c r="R731" s="58" t="n"/>
      <c r="S731" s="15">
        <f>I731*J731</f>
        <v/>
      </c>
      <c r="T731" s="15">
        <f>SUM(S731:S731)*68%</f>
        <v/>
      </c>
      <c r="U731" s="15">
        <f>I731*K731*40%*O731</f>
        <v/>
      </c>
      <c r="V731" s="15">
        <f>IF(P731&gt;=6750,(I731*K731*40%),0)</f>
        <v/>
      </c>
      <c r="W731" s="15">
        <f>IF(P731&lt;6750,0,IF(Q731="",0,IF(OR(Q731="KURANG",Q731="SANGAT KURANG"),I731*K731*10%,I731*K731*20%)))</f>
        <v/>
      </c>
      <c r="X731" s="15">
        <f>SUM(U731:W731)*68%</f>
        <v/>
      </c>
      <c r="Y731" s="15">
        <f>I731*L731</f>
        <v/>
      </c>
      <c r="Z731" s="15">
        <f>Y731 * 68%</f>
        <v/>
      </c>
      <c r="AA731" s="15">
        <f>I731*M731</f>
        <v/>
      </c>
      <c r="AB731" s="15">
        <f>AA731*68%</f>
        <v/>
      </c>
      <c r="AC731" s="16">
        <f>ROUND((T731+X731+Z731+AB731),0)</f>
        <v/>
      </c>
      <c r="AD731" s="16">
        <f>AG731</f>
        <v/>
      </c>
      <c r="AE731" s="16">
        <f>AI731</f>
        <v/>
      </c>
      <c r="AF731" s="16">
        <f>AC731+AD731+AE731</f>
        <v/>
      </c>
      <c r="AG731" s="16" t="n"/>
      <c r="AH731" s="17" t="n"/>
      <c r="AI731" s="17">
        <f>AH731*4</f>
        <v/>
      </c>
      <c r="AJ731" s="15">
        <f>AF731-AG731-AH731-AI731</f>
        <v/>
      </c>
      <c r="AK731" s="18" t="n">
        <v>724</v>
      </c>
      <c r="AL731" s="23" t="n"/>
    </row>
    <row r="732" ht="23.5" customHeight="1">
      <c r="A732" s="6" t="inlineStr">
        <is>
          <t>725</t>
        </is>
      </c>
      <c r="B732" s="24" t="n"/>
      <c r="C732" s="55" t="n"/>
      <c r="D732" s="19" t="n"/>
      <c r="E732" s="24" t="n"/>
      <c r="F732" s="25" t="n"/>
      <c r="G732" s="25" t="n"/>
      <c r="H732" s="24" t="n"/>
      <c r="I732" s="11" t="n"/>
      <c r="J732" s="57" t="n"/>
      <c r="K732" s="12" t="n"/>
      <c r="L732" s="22" t="n"/>
      <c r="M732" s="13" t="n"/>
      <c r="N732" s="14">
        <f>ROUND(I732*(SUM(J732:M732))*68%,0)</f>
        <v/>
      </c>
      <c r="O732" s="61" t="n"/>
      <c r="P732" s="59" t="n"/>
      <c r="Q732" s="59" t="n"/>
      <c r="R732" s="58" t="n"/>
      <c r="S732" s="15">
        <f>I732*J732</f>
        <v/>
      </c>
      <c r="T732" s="15">
        <f>SUM(S732:S732)*68%</f>
        <v/>
      </c>
      <c r="U732" s="15">
        <f>I732*K732*40%*O732</f>
        <v/>
      </c>
      <c r="V732" s="15">
        <f>IF(P732&gt;=6750,(I732*K732*40%),0)</f>
        <v/>
      </c>
      <c r="W732" s="15">
        <f>IF(P732&lt;6750,0,IF(Q732="",0,IF(OR(Q732="KURANG",Q732="SANGAT KURANG"),I732*K732*10%,I732*K732*20%)))</f>
        <v/>
      </c>
      <c r="X732" s="15">
        <f>SUM(U732:W732)*68%</f>
        <v/>
      </c>
      <c r="Y732" s="15">
        <f>I732*L732</f>
        <v/>
      </c>
      <c r="Z732" s="15">
        <f>Y732 * 68%</f>
        <v/>
      </c>
      <c r="AA732" s="15">
        <f>I732*M732</f>
        <v/>
      </c>
      <c r="AB732" s="15">
        <f>AA732*68%</f>
        <v/>
      </c>
      <c r="AC732" s="16">
        <f>ROUND((T732+X732+Z732+AB732),0)</f>
        <v/>
      </c>
      <c r="AD732" s="16">
        <f>AG732</f>
        <v/>
      </c>
      <c r="AE732" s="16">
        <f>AI732</f>
        <v/>
      </c>
      <c r="AF732" s="16">
        <f>AC732+AD732+AE732</f>
        <v/>
      </c>
      <c r="AG732" s="16" t="n"/>
      <c r="AH732" s="17" t="n"/>
      <c r="AI732" s="17">
        <f>AH732*4</f>
        <v/>
      </c>
      <c r="AJ732" s="15">
        <f>AF732-AG732-AH732-AI732</f>
        <v/>
      </c>
      <c r="AK732" s="18" t="n">
        <v>725</v>
      </c>
      <c r="AL732" s="40" t="n"/>
    </row>
    <row r="733" ht="23.5" customHeight="1">
      <c r="A733" s="6" t="inlineStr">
        <is>
          <t>726</t>
        </is>
      </c>
      <c r="B733" s="24" t="n"/>
      <c r="C733" s="55" t="n"/>
      <c r="D733" s="19" t="n"/>
      <c r="E733" s="24" t="n"/>
      <c r="F733" s="25" t="n"/>
      <c r="G733" s="25" t="n"/>
      <c r="H733" s="24" t="n"/>
      <c r="I733" s="11" t="n"/>
      <c r="J733" s="57" t="n"/>
      <c r="K733" s="12" t="n"/>
      <c r="L733" s="22" t="n"/>
      <c r="M733" s="13" t="n"/>
      <c r="N733" s="14">
        <f>ROUND(I733*(SUM(J733:M733))*68%,0)</f>
        <v/>
      </c>
      <c r="O733" s="61" t="n"/>
      <c r="P733" s="59" t="n"/>
      <c r="Q733" s="59" t="n"/>
      <c r="R733" s="58" t="n"/>
      <c r="S733" s="15">
        <f>I733*J733</f>
        <v/>
      </c>
      <c r="T733" s="15">
        <f>SUM(S733:S733)*68%</f>
        <v/>
      </c>
      <c r="U733" s="15">
        <f>I733*K733*40%*O733</f>
        <v/>
      </c>
      <c r="V733" s="15">
        <f>IF(P733&gt;=6750,(I733*K733*40%),0)</f>
        <v/>
      </c>
      <c r="W733" s="15">
        <f>IF(P733&lt;6750,0,IF(Q733="",0,IF(OR(Q733="KURANG",Q733="SANGAT KURANG"),I733*K733*10%,I733*K733*20%)))</f>
        <v/>
      </c>
      <c r="X733" s="15">
        <f>SUM(U733:W733)*68%</f>
        <v/>
      </c>
      <c r="Y733" s="15">
        <f>I733*L733</f>
        <v/>
      </c>
      <c r="Z733" s="15">
        <f>Y733 * 68%</f>
        <v/>
      </c>
      <c r="AA733" s="15">
        <f>I733*M733</f>
        <v/>
      </c>
      <c r="AB733" s="15">
        <f>AA733*68%</f>
        <v/>
      </c>
      <c r="AC733" s="16">
        <f>ROUND((T733+X733+Z733+AB733),0)</f>
        <v/>
      </c>
      <c r="AD733" s="16">
        <f>AG733</f>
        <v/>
      </c>
      <c r="AE733" s="16">
        <f>AI733</f>
        <v/>
      </c>
      <c r="AF733" s="16">
        <f>AC733+AD733+AE733</f>
        <v/>
      </c>
      <c r="AG733" s="16" t="n"/>
      <c r="AH733" s="17" t="n"/>
      <c r="AI733" s="17">
        <f>AH733*4</f>
        <v/>
      </c>
      <c r="AJ733" s="15">
        <f>AF733-AG733-AH733-AI733</f>
        <v/>
      </c>
      <c r="AK733" s="18" t="n">
        <v>726</v>
      </c>
      <c r="AL733" s="23" t="n"/>
    </row>
    <row r="734" ht="23.5" customHeight="1">
      <c r="A734" s="6" t="inlineStr">
        <is>
          <t>727</t>
        </is>
      </c>
      <c r="B734" s="24" t="n"/>
      <c r="C734" s="55" t="n"/>
      <c r="D734" s="19" t="n"/>
      <c r="E734" s="24" t="n"/>
      <c r="F734" s="25" t="n"/>
      <c r="G734" s="25" t="n"/>
      <c r="H734" s="24" t="n"/>
      <c r="I734" s="11" t="n"/>
      <c r="J734" s="57" t="n"/>
      <c r="K734" s="12" t="n"/>
      <c r="L734" s="22" t="n"/>
      <c r="M734" s="13" t="n"/>
      <c r="N734" s="14">
        <f>ROUND(I734*(SUM(J734:M734))*68%,0)</f>
        <v/>
      </c>
      <c r="O734" s="61" t="n"/>
      <c r="P734" s="59" t="n"/>
      <c r="Q734" s="59" t="n"/>
      <c r="R734" s="58" t="n"/>
      <c r="S734" s="15">
        <f>I734*J734</f>
        <v/>
      </c>
      <c r="T734" s="15">
        <f>SUM(S734:S734)*68%</f>
        <v/>
      </c>
      <c r="U734" s="15">
        <f>I734*K734*40%*O734</f>
        <v/>
      </c>
      <c r="V734" s="15">
        <f>IF(P734&gt;=6750,(I734*K734*40%),0)</f>
        <v/>
      </c>
      <c r="W734" s="15">
        <f>IF(P734&lt;6750,0,IF(Q734="",0,IF(OR(Q734="KURANG",Q734="SANGAT KURANG"),I734*K734*10%,I734*K734*20%)))</f>
        <v/>
      </c>
      <c r="X734" s="15">
        <f>SUM(U734:W734)*68%</f>
        <v/>
      </c>
      <c r="Y734" s="15">
        <f>I734*L734</f>
        <v/>
      </c>
      <c r="Z734" s="15">
        <f>Y734 * 68%</f>
        <v/>
      </c>
      <c r="AA734" s="15">
        <f>I734*M734</f>
        <v/>
      </c>
      <c r="AB734" s="15">
        <f>AA734*68%</f>
        <v/>
      </c>
      <c r="AC734" s="16">
        <f>ROUND((T734+X734+Z734+AB734),0)</f>
        <v/>
      </c>
      <c r="AD734" s="16">
        <f>AG734</f>
        <v/>
      </c>
      <c r="AE734" s="16">
        <f>AI734</f>
        <v/>
      </c>
      <c r="AF734" s="16">
        <f>AC734+AD734+AE734</f>
        <v/>
      </c>
      <c r="AG734" s="16" t="n"/>
      <c r="AH734" s="17" t="n"/>
      <c r="AI734" s="17">
        <f>AH734*4</f>
        <v/>
      </c>
      <c r="AJ734" s="15">
        <f>AF734-AG734-AH734-AI734</f>
        <v/>
      </c>
      <c r="AK734" s="18" t="n">
        <v>727</v>
      </c>
      <c r="AL734" s="23" t="n"/>
    </row>
    <row r="735" ht="23.5" customHeight="1">
      <c r="A735" s="6" t="inlineStr">
        <is>
          <t>728</t>
        </is>
      </c>
      <c r="B735" s="28" t="n"/>
      <c r="C735" s="55" t="n"/>
      <c r="D735" s="19" t="n"/>
      <c r="E735" s="24" t="n"/>
      <c r="F735" s="25" t="n"/>
      <c r="G735" s="25" t="n"/>
      <c r="H735" s="25" t="n"/>
      <c r="I735" s="11" t="n"/>
      <c r="J735" s="57" t="n"/>
      <c r="K735" s="12" t="n"/>
      <c r="L735" s="22" t="n"/>
      <c r="M735" s="13" t="n"/>
      <c r="N735" s="14">
        <f>ROUND(I735*(SUM(J735:M735))*68%,0)</f>
        <v/>
      </c>
      <c r="O735" s="61" t="n"/>
      <c r="P735" s="59" t="n"/>
      <c r="Q735" s="59" t="n"/>
      <c r="R735" s="58" t="n"/>
      <c r="S735" s="15">
        <f>I735*J735</f>
        <v/>
      </c>
      <c r="T735" s="15">
        <f>SUM(S735:S735)*68%</f>
        <v/>
      </c>
      <c r="U735" s="15">
        <f>I735*K735*40%*O735</f>
        <v/>
      </c>
      <c r="V735" s="15">
        <f>IF(P735&gt;=6750,(I735*K735*40%),0)</f>
        <v/>
      </c>
      <c r="W735" s="15">
        <f>IF(P735&lt;6750,0,IF(Q735="",0,IF(OR(Q735="KURANG",Q735="SANGAT KURANG"),I735*K735*10%,I735*K735*20%)))</f>
        <v/>
      </c>
      <c r="X735" s="15">
        <f>SUM(U735:W735)*68%</f>
        <v/>
      </c>
      <c r="Y735" s="15">
        <f>I735*L735</f>
        <v/>
      </c>
      <c r="Z735" s="15">
        <f>Y735 * 68%</f>
        <v/>
      </c>
      <c r="AA735" s="15">
        <f>I735*M735</f>
        <v/>
      </c>
      <c r="AB735" s="15">
        <f>AA735*68%</f>
        <v/>
      </c>
      <c r="AC735" s="16">
        <f>ROUND((T735+X735+Z735+AB735),0)</f>
        <v/>
      </c>
      <c r="AD735" s="16">
        <f>AG735</f>
        <v/>
      </c>
      <c r="AE735" s="16">
        <f>AI735</f>
        <v/>
      </c>
      <c r="AF735" s="16">
        <f>AC735+AD735+AE735</f>
        <v/>
      </c>
      <c r="AG735" s="16" t="n"/>
      <c r="AH735" s="17" t="n"/>
      <c r="AI735" s="17">
        <f>AH735*4</f>
        <v/>
      </c>
      <c r="AJ735" s="15">
        <f>AF735-AG735-AH735-AI735</f>
        <v/>
      </c>
      <c r="AK735" s="18" t="n">
        <v>728</v>
      </c>
      <c r="AL735" s="40" t="n"/>
    </row>
    <row r="736" ht="23.5" customHeight="1">
      <c r="A736" s="6" t="inlineStr">
        <is>
          <t>729</t>
        </is>
      </c>
      <c r="B736" s="28" t="n"/>
      <c r="C736" s="55" t="n"/>
      <c r="D736" s="19" t="n"/>
      <c r="E736" s="24" t="n"/>
      <c r="F736" s="25" t="n"/>
      <c r="G736" s="25" t="n"/>
      <c r="H736" s="25" t="n"/>
      <c r="I736" s="11" t="n"/>
      <c r="J736" s="57" t="n"/>
      <c r="K736" s="12" t="n"/>
      <c r="L736" s="22" t="n"/>
      <c r="M736" s="13" t="n"/>
      <c r="N736" s="14">
        <f>ROUND(I736*(SUM(J736:M736))*68%,0)</f>
        <v/>
      </c>
      <c r="O736" s="61" t="n"/>
      <c r="P736" s="59" t="n"/>
      <c r="Q736" s="59" t="n"/>
      <c r="R736" s="58" t="n"/>
      <c r="S736" s="15">
        <f>I736*J736</f>
        <v/>
      </c>
      <c r="T736" s="15">
        <f>SUM(S736:S736)*68%</f>
        <v/>
      </c>
      <c r="U736" s="15">
        <f>I736*K736*40%*O736</f>
        <v/>
      </c>
      <c r="V736" s="15">
        <f>IF(P736&gt;=6750,(I736*K736*40%),0)</f>
        <v/>
      </c>
      <c r="W736" s="15">
        <f>IF(P736&lt;6750,0,IF(Q736="",0,IF(OR(Q736="KURANG",Q736="SANGAT KURANG"),I736*K736*10%,I736*K736*20%)))</f>
        <v/>
      </c>
      <c r="X736" s="15">
        <f>SUM(U736:W736)*68%</f>
        <v/>
      </c>
      <c r="Y736" s="15">
        <f>I736*L736</f>
        <v/>
      </c>
      <c r="Z736" s="15">
        <f>Y736 * 68%</f>
        <v/>
      </c>
      <c r="AA736" s="15">
        <f>I736*M736</f>
        <v/>
      </c>
      <c r="AB736" s="15">
        <f>AA736*68%</f>
        <v/>
      </c>
      <c r="AC736" s="16">
        <f>ROUND((T736+X736+Z736+AB736),0)</f>
        <v/>
      </c>
      <c r="AD736" s="16">
        <f>AG736</f>
        <v/>
      </c>
      <c r="AE736" s="16">
        <f>AI736</f>
        <v/>
      </c>
      <c r="AF736" s="16">
        <f>AC736+AD736+AE736</f>
        <v/>
      </c>
      <c r="AG736" s="16" t="n"/>
      <c r="AH736" s="17" t="n"/>
      <c r="AI736" s="17">
        <f>AH736*4</f>
        <v/>
      </c>
      <c r="AJ736" s="15">
        <f>AF736-AG736-AH736-AI736</f>
        <v/>
      </c>
      <c r="AK736" s="18" t="n">
        <v>729</v>
      </c>
      <c r="AL736" s="23" t="n"/>
    </row>
    <row r="737" ht="23.5" customHeight="1">
      <c r="A737" s="6" t="inlineStr">
        <is>
          <t>730</t>
        </is>
      </c>
      <c r="B737" s="28" t="n"/>
      <c r="C737" s="55" t="n"/>
      <c r="D737" s="19" t="n"/>
      <c r="E737" s="24" t="n"/>
      <c r="F737" s="25" t="n"/>
      <c r="G737" s="25" t="n"/>
      <c r="H737" s="25" t="n"/>
      <c r="I737" s="11" t="n"/>
      <c r="J737" s="57" t="n"/>
      <c r="K737" s="12" t="n"/>
      <c r="L737" s="22" t="n"/>
      <c r="M737" s="13" t="n"/>
      <c r="N737" s="14">
        <f>ROUND(I737*(SUM(J737:M737))*68%,0)</f>
        <v/>
      </c>
      <c r="O737" s="61" t="n"/>
      <c r="P737" s="59" t="n"/>
      <c r="Q737" s="59" t="n"/>
      <c r="R737" s="58" t="n"/>
      <c r="S737" s="15">
        <f>I737*J737</f>
        <v/>
      </c>
      <c r="T737" s="15">
        <f>SUM(S737:S737)*68%</f>
        <v/>
      </c>
      <c r="U737" s="15">
        <f>I737*K737*40%*O737</f>
        <v/>
      </c>
      <c r="V737" s="15">
        <f>IF(P737&gt;=6750,(I737*K737*40%),0)</f>
        <v/>
      </c>
      <c r="W737" s="15">
        <f>IF(P737&lt;6750,0,IF(Q737="",0,IF(OR(Q737="KURANG",Q737="SANGAT KURANG"),I737*K737*10%,I737*K737*20%)))</f>
        <v/>
      </c>
      <c r="X737" s="15">
        <f>SUM(U737:W737)*68%</f>
        <v/>
      </c>
      <c r="Y737" s="15">
        <f>I737*L737</f>
        <v/>
      </c>
      <c r="Z737" s="15">
        <f>Y737 * 68%</f>
        <v/>
      </c>
      <c r="AA737" s="15">
        <f>I737*M737</f>
        <v/>
      </c>
      <c r="AB737" s="15">
        <f>AA737*68%</f>
        <v/>
      </c>
      <c r="AC737" s="16">
        <f>ROUND((T737+X737+Z737+AB737),0)</f>
        <v/>
      </c>
      <c r="AD737" s="16">
        <f>AG737</f>
        <v/>
      </c>
      <c r="AE737" s="16">
        <f>AI737</f>
        <v/>
      </c>
      <c r="AF737" s="16">
        <f>AC737+AD737+AE737</f>
        <v/>
      </c>
      <c r="AG737" s="16" t="n"/>
      <c r="AH737" s="17" t="n"/>
      <c r="AI737" s="17">
        <f>AH737*4</f>
        <v/>
      </c>
      <c r="AJ737" s="15">
        <f>AF737-AG737-AH737-AI737</f>
        <v/>
      </c>
      <c r="AK737" s="18" t="n">
        <v>730</v>
      </c>
      <c r="AL737" s="23" t="n"/>
    </row>
    <row r="738" ht="23.5" customHeight="1">
      <c r="A738" s="6" t="inlineStr">
        <is>
          <t>731</t>
        </is>
      </c>
      <c r="B738" s="24" t="n"/>
      <c r="C738" s="55" t="n"/>
      <c r="D738" s="19" t="n"/>
      <c r="E738" s="24" t="n"/>
      <c r="F738" s="25" t="n"/>
      <c r="G738" s="25" t="n"/>
      <c r="H738" s="25" t="n"/>
      <c r="I738" s="11" t="n"/>
      <c r="J738" s="57" t="n"/>
      <c r="K738" s="12" t="n"/>
      <c r="L738" s="22" t="n"/>
      <c r="M738" s="13" t="n"/>
      <c r="N738" s="14">
        <f>ROUND(I738*(SUM(J738:M738))*68%,0)</f>
        <v/>
      </c>
      <c r="O738" s="61" t="n"/>
      <c r="P738" s="59" t="n"/>
      <c r="Q738" s="59" t="n"/>
      <c r="R738" s="58" t="n"/>
      <c r="S738" s="15">
        <f>I738*J738</f>
        <v/>
      </c>
      <c r="T738" s="15">
        <f>SUM(S738:S738)*68%</f>
        <v/>
      </c>
      <c r="U738" s="15">
        <f>I738*K738*40%*O738</f>
        <v/>
      </c>
      <c r="V738" s="15">
        <f>IF(P738&gt;=6750,(I738*K738*40%),0)</f>
        <v/>
      </c>
      <c r="W738" s="15">
        <f>IF(P738&lt;6750,0,IF(Q738="",0,IF(OR(Q738="KURANG",Q738="SANGAT KURANG"),I738*K738*10%,I738*K738*20%)))</f>
        <v/>
      </c>
      <c r="X738" s="15">
        <f>SUM(U738:W738)*68%</f>
        <v/>
      </c>
      <c r="Y738" s="15">
        <f>I738*L738</f>
        <v/>
      </c>
      <c r="Z738" s="15">
        <f>Y738 * 68%</f>
        <v/>
      </c>
      <c r="AA738" s="15">
        <f>I738*M738</f>
        <v/>
      </c>
      <c r="AB738" s="15">
        <f>AA738*68%</f>
        <v/>
      </c>
      <c r="AC738" s="16">
        <f>ROUND((T738+X738+Z738+AB738),0)</f>
        <v/>
      </c>
      <c r="AD738" s="16">
        <f>AG738</f>
        <v/>
      </c>
      <c r="AE738" s="16">
        <f>AI738</f>
        <v/>
      </c>
      <c r="AF738" s="16">
        <f>AC738+AD738+AE738</f>
        <v/>
      </c>
      <c r="AG738" s="16" t="n"/>
      <c r="AH738" s="17" t="n"/>
      <c r="AI738" s="17">
        <f>AH738*4</f>
        <v/>
      </c>
      <c r="AJ738" s="15">
        <f>AF738-AG738-AH738-AI738</f>
        <v/>
      </c>
      <c r="AK738" s="18" t="n">
        <v>731</v>
      </c>
      <c r="AL738" s="40" t="n"/>
    </row>
    <row r="739" ht="23.5" customHeight="1">
      <c r="A739" s="6" t="inlineStr">
        <is>
          <t>732</t>
        </is>
      </c>
      <c r="B739" s="24" t="n"/>
      <c r="C739" s="55" t="n"/>
      <c r="D739" s="19" t="n"/>
      <c r="E739" s="24" t="n"/>
      <c r="F739" s="25" t="n"/>
      <c r="G739" s="25" t="n"/>
      <c r="H739" s="25" t="n"/>
      <c r="I739" s="11" t="n"/>
      <c r="J739" s="57" t="n"/>
      <c r="K739" s="12" t="n"/>
      <c r="L739" s="22" t="n"/>
      <c r="M739" s="13" t="n"/>
      <c r="N739" s="14">
        <f>ROUND(I739*(SUM(J739:M739))*68%,0)</f>
        <v/>
      </c>
      <c r="O739" s="61" t="n"/>
      <c r="P739" s="59" t="n"/>
      <c r="Q739" s="59" t="n"/>
      <c r="R739" s="58" t="n"/>
      <c r="S739" s="15">
        <f>I739*J739</f>
        <v/>
      </c>
      <c r="T739" s="15">
        <f>SUM(S739:S739)*68%</f>
        <v/>
      </c>
      <c r="U739" s="15">
        <f>I739*K739*40%*O739</f>
        <v/>
      </c>
      <c r="V739" s="15">
        <f>IF(P739&gt;=6750,(I739*K739*40%),0)</f>
        <v/>
      </c>
      <c r="W739" s="15">
        <f>IF(P739&lt;6750,0,IF(Q739="",0,IF(OR(Q739="KURANG",Q739="SANGAT KURANG"),I739*K739*10%,I739*K739*20%)))</f>
        <v/>
      </c>
      <c r="X739" s="15">
        <f>SUM(U739:W739)*68%</f>
        <v/>
      </c>
      <c r="Y739" s="15">
        <f>I739*L739</f>
        <v/>
      </c>
      <c r="Z739" s="15">
        <f>Y739 * 68%</f>
        <v/>
      </c>
      <c r="AA739" s="15">
        <f>I739*M739</f>
        <v/>
      </c>
      <c r="AB739" s="15">
        <f>AA739*68%</f>
        <v/>
      </c>
      <c r="AC739" s="16">
        <f>ROUND((T739+X739+Z739+AB739),0)</f>
        <v/>
      </c>
      <c r="AD739" s="16">
        <f>AG739</f>
        <v/>
      </c>
      <c r="AE739" s="16">
        <f>AI739</f>
        <v/>
      </c>
      <c r="AF739" s="16">
        <f>AC739+AD739+AE739</f>
        <v/>
      </c>
      <c r="AG739" s="16" t="n"/>
      <c r="AH739" s="17" t="n"/>
      <c r="AI739" s="17">
        <f>AH739*4</f>
        <v/>
      </c>
      <c r="AJ739" s="15">
        <f>AF739-AG739-AH739-AI739</f>
        <v/>
      </c>
      <c r="AK739" s="18" t="n">
        <v>732</v>
      </c>
      <c r="AL739" s="23" t="n"/>
    </row>
    <row r="740" ht="23.5" customHeight="1">
      <c r="A740" s="6" t="inlineStr">
        <is>
          <t>733</t>
        </is>
      </c>
      <c r="B740" s="28" t="n"/>
      <c r="C740" s="55" t="n"/>
      <c r="D740" s="19" t="n"/>
      <c r="E740" s="24" t="n"/>
      <c r="F740" s="25" t="n"/>
      <c r="G740" s="25" t="n"/>
      <c r="H740" s="25" t="n"/>
      <c r="I740" s="11" t="n"/>
      <c r="J740" s="57" t="n"/>
      <c r="K740" s="12" t="n"/>
      <c r="L740" s="22" t="n"/>
      <c r="M740" s="13" t="n"/>
      <c r="N740" s="14">
        <f>ROUND(I740*(SUM(J740:M740))*68%,0)</f>
        <v/>
      </c>
      <c r="O740" s="61" t="n"/>
      <c r="P740" s="59" t="n"/>
      <c r="Q740" s="59" t="n"/>
      <c r="R740" s="58" t="n"/>
      <c r="S740" s="15">
        <f>I740*J740</f>
        <v/>
      </c>
      <c r="T740" s="15">
        <f>SUM(S740:S740)*68%</f>
        <v/>
      </c>
      <c r="U740" s="15">
        <f>I740*K740*40%*O740</f>
        <v/>
      </c>
      <c r="V740" s="15">
        <f>IF(P740&gt;=6750,(I740*K740*40%),0)</f>
        <v/>
      </c>
      <c r="W740" s="15">
        <f>IF(P740&lt;6750,0,IF(Q740="",0,IF(OR(Q740="KURANG",Q740="SANGAT KURANG"),I740*K740*10%,I740*K740*20%)))</f>
        <v/>
      </c>
      <c r="X740" s="15">
        <f>SUM(U740:W740)*68%</f>
        <v/>
      </c>
      <c r="Y740" s="15">
        <f>I740*L740</f>
        <v/>
      </c>
      <c r="Z740" s="15">
        <f>Y740 * 68%</f>
        <v/>
      </c>
      <c r="AA740" s="15">
        <f>I740*M740</f>
        <v/>
      </c>
      <c r="AB740" s="15">
        <f>AA740*68%</f>
        <v/>
      </c>
      <c r="AC740" s="16">
        <f>ROUND((T740+X740+Z740+AB740),0)</f>
        <v/>
      </c>
      <c r="AD740" s="16">
        <f>AG740</f>
        <v/>
      </c>
      <c r="AE740" s="16">
        <f>AI740</f>
        <v/>
      </c>
      <c r="AF740" s="16">
        <f>AC740+AD740+AE740</f>
        <v/>
      </c>
      <c r="AG740" s="16" t="n"/>
      <c r="AH740" s="17" t="n"/>
      <c r="AI740" s="17">
        <f>AH740*4</f>
        <v/>
      </c>
      <c r="AJ740" s="15">
        <f>AF740-AG740-AH740-AI740</f>
        <v/>
      </c>
      <c r="AK740" s="18" t="n">
        <v>733</v>
      </c>
      <c r="AL740" s="23" t="n"/>
    </row>
    <row r="741" ht="23.5" customHeight="1">
      <c r="A741" s="6" t="inlineStr">
        <is>
          <t>734</t>
        </is>
      </c>
      <c r="B741" s="28" t="n"/>
      <c r="C741" s="55" t="n"/>
      <c r="D741" s="19" t="n"/>
      <c r="E741" s="24" t="n"/>
      <c r="F741" s="25" t="n"/>
      <c r="G741" s="25" t="n"/>
      <c r="H741" s="25" t="n"/>
      <c r="I741" s="11" t="n"/>
      <c r="J741" s="57" t="n"/>
      <c r="K741" s="12" t="n"/>
      <c r="L741" s="22" t="n"/>
      <c r="M741" s="13" t="n"/>
      <c r="N741" s="14">
        <f>ROUND(I741*(SUM(J741:M741))*68%,0)</f>
        <v/>
      </c>
      <c r="O741" s="61" t="n"/>
      <c r="P741" s="59" t="n"/>
      <c r="Q741" s="59" t="n"/>
      <c r="R741" s="58" t="n"/>
      <c r="S741" s="15">
        <f>I741*J741</f>
        <v/>
      </c>
      <c r="T741" s="15">
        <f>SUM(S741:S741)*68%</f>
        <v/>
      </c>
      <c r="U741" s="15">
        <f>I741*K741*40%*O741</f>
        <v/>
      </c>
      <c r="V741" s="15">
        <f>IF(P741&gt;=6750,(I741*K741*40%),0)</f>
        <v/>
      </c>
      <c r="W741" s="15">
        <f>IF(P741&lt;6750,0,IF(Q741="",0,IF(OR(Q741="KURANG",Q741="SANGAT KURANG"),I741*K741*10%,I741*K741*20%)))</f>
        <v/>
      </c>
      <c r="X741" s="15">
        <f>SUM(U741:W741)*68%</f>
        <v/>
      </c>
      <c r="Y741" s="15">
        <f>I741*L741</f>
        <v/>
      </c>
      <c r="Z741" s="15">
        <f>Y741 * 68%</f>
        <v/>
      </c>
      <c r="AA741" s="15">
        <f>I741*M741</f>
        <v/>
      </c>
      <c r="AB741" s="15">
        <f>AA741*68%</f>
        <v/>
      </c>
      <c r="AC741" s="16">
        <f>ROUND((T741+X741+Z741+AB741),0)</f>
        <v/>
      </c>
      <c r="AD741" s="16">
        <f>AG741</f>
        <v/>
      </c>
      <c r="AE741" s="16">
        <f>AI741</f>
        <v/>
      </c>
      <c r="AF741" s="16">
        <f>AC741+AD741+AE741</f>
        <v/>
      </c>
      <c r="AG741" s="16" t="n"/>
      <c r="AH741" s="17" t="n"/>
      <c r="AI741" s="17">
        <f>AH741*4</f>
        <v/>
      </c>
      <c r="AJ741" s="15">
        <f>AF741-AG741-AH741-AI741</f>
        <v/>
      </c>
      <c r="AK741" s="18" t="n">
        <v>734</v>
      </c>
      <c r="AL741" s="40" t="n"/>
    </row>
    <row r="742" ht="23.5" customHeight="1">
      <c r="A742" s="6" t="inlineStr">
        <is>
          <t>735</t>
        </is>
      </c>
      <c r="B742" s="24" t="n"/>
      <c r="C742" s="55" t="n"/>
      <c r="D742" s="19" t="n"/>
      <c r="E742" s="24" t="n"/>
      <c r="F742" s="25" t="n"/>
      <c r="G742" s="25" t="n"/>
      <c r="H742" s="25" t="n"/>
      <c r="I742" s="11" t="n"/>
      <c r="J742" s="57" t="n"/>
      <c r="K742" s="12" t="n"/>
      <c r="L742" s="22" t="n"/>
      <c r="M742" s="13" t="n"/>
      <c r="N742" s="14">
        <f>ROUND(I742*(SUM(J742:M742))*68%,0)</f>
        <v/>
      </c>
      <c r="O742" s="61" t="n"/>
      <c r="P742" s="59" t="n"/>
      <c r="Q742" s="59" t="n"/>
      <c r="R742" s="58" t="n"/>
      <c r="S742" s="15">
        <f>I742*J742</f>
        <v/>
      </c>
      <c r="T742" s="15">
        <f>SUM(S742:S742)*68%</f>
        <v/>
      </c>
      <c r="U742" s="15">
        <f>I742*K742*40%*O742</f>
        <v/>
      </c>
      <c r="V742" s="15">
        <f>IF(P742&gt;=6750,(I742*K742*40%),0)</f>
        <v/>
      </c>
      <c r="W742" s="15">
        <f>IF(P742&lt;6750,0,IF(Q742="",0,IF(OR(Q742="KURANG",Q742="SANGAT KURANG"),I742*K742*10%,I742*K742*20%)))</f>
        <v/>
      </c>
      <c r="X742" s="15">
        <f>SUM(U742:W742)*68%</f>
        <v/>
      </c>
      <c r="Y742" s="15">
        <f>I742*L742</f>
        <v/>
      </c>
      <c r="Z742" s="15">
        <f>Y742 * 68%</f>
        <v/>
      </c>
      <c r="AA742" s="15">
        <f>I742*M742</f>
        <v/>
      </c>
      <c r="AB742" s="15">
        <f>AA742*68%</f>
        <v/>
      </c>
      <c r="AC742" s="16">
        <f>ROUND((T742+X742+Z742+AB742),0)</f>
        <v/>
      </c>
      <c r="AD742" s="16">
        <f>AG742</f>
        <v/>
      </c>
      <c r="AE742" s="16">
        <f>AI742</f>
        <v/>
      </c>
      <c r="AF742" s="16">
        <f>AC742+AD742+AE742</f>
        <v/>
      </c>
      <c r="AG742" s="16" t="n"/>
      <c r="AH742" s="17" t="n"/>
      <c r="AI742" s="17">
        <f>AH742*4</f>
        <v/>
      </c>
      <c r="AJ742" s="15">
        <f>AF742-AG742-AH742-AI742</f>
        <v/>
      </c>
      <c r="AK742" s="18" t="n">
        <v>735</v>
      </c>
      <c r="AL742" s="23" t="n"/>
    </row>
    <row r="743" ht="23.5" customHeight="1">
      <c r="A743" s="6" t="inlineStr">
        <is>
          <t>736</t>
        </is>
      </c>
      <c r="B743" s="24" t="n"/>
      <c r="C743" s="55" t="n"/>
      <c r="D743" s="19" t="n"/>
      <c r="E743" s="24" t="n"/>
      <c r="F743" s="25" t="n"/>
      <c r="G743" s="25" t="n"/>
      <c r="H743" s="25" t="n"/>
      <c r="I743" s="11" t="n"/>
      <c r="J743" s="57" t="n"/>
      <c r="K743" s="12" t="n"/>
      <c r="L743" s="22" t="n"/>
      <c r="M743" s="13" t="n"/>
      <c r="N743" s="14">
        <f>ROUND(I743*(SUM(J743:M743))*68%,0)</f>
        <v/>
      </c>
      <c r="O743" s="61" t="n"/>
      <c r="P743" s="59" t="n"/>
      <c r="Q743" s="59" t="n"/>
      <c r="R743" s="58" t="n"/>
      <c r="S743" s="15">
        <f>I743*J743</f>
        <v/>
      </c>
      <c r="T743" s="15">
        <f>SUM(S743:S743)*68%</f>
        <v/>
      </c>
      <c r="U743" s="15">
        <f>I743*K743*40%*O743</f>
        <v/>
      </c>
      <c r="V743" s="15">
        <f>IF(P743&gt;=6750,(I743*K743*40%),0)</f>
        <v/>
      </c>
      <c r="W743" s="15">
        <f>IF(P743&lt;6750,0,IF(Q743="",0,IF(OR(Q743="KURANG",Q743="SANGAT KURANG"),I743*K743*10%,I743*K743*20%)))</f>
        <v/>
      </c>
      <c r="X743" s="15">
        <f>SUM(U743:W743)*68%</f>
        <v/>
      </c>
      <c r="Y743" s="15">
        <f>I743*L743</f>
        <v/>
      </c>
      <c r="Z743" s="15">
        <f>Y743 * 68%</f>
        <v/>
      </c>
      <c r="AA743" s="15">
        <f>I743*M743</f>
        <v/>
      </c>
      <c r="AB743" s="15">
        <f>AA743*68%</f>
        <v/>
      </c>
      <c r="AC743" s="16">
        <f>ROUND((T743+X743+Z743+AB743),0)</f>
        <v/>
      </c>
      <c r="AD743" s="16">
        <f>AG743</f>
        <v/>
      </c>
      <c r="AE743" s="16">
        <f>AI743</f>
        <v/>
      </c>
      <c r="AF743" s="16">
        <f>AC743+AD743+AE743</f>
        <v/>
      </c>
      <c r="AG743" s="16" t="n"/>
      <c r="AH743" s="17" t="n"/>
      <c r="AI743" s="17">
        <f>AH743*4</f>
        <v/>
      </c>
      <c r="AJ743" s="15">
        <f>AF743-AG743-AH743-AI743</f>
        <v/>
      </c>
      <c r="AK743" s="18" t="n">
        <v>736</v>
      </c>
      <c r="AL743" s="23" t="n"/>
    </row>
    <row r="744" ht="23.5" customHeight="1">
      <c r="A744" s="6" t="inlineStr">
        <is>
          <t>737</t>
        </is>
      </c>
      <c r="B744" s="24" t="n"/>
      <c r="C744" s="55" t="n"/>
      <c r="D744" s="19" t="n"/>
      <c r="E744" s="24" t="n"/>
      <c r="F744" s="25" t="n"/>
      <c r="G744" s="25" t="n"/>
      <c r="H744" s="25" t="n"/>
      <c r="I744" s="11" t="n"/>
      <c r="J744" s="57" t="n"/>
      <c r="K744" s="12" t="n"/>
      <c r="L744" s="22" t="n"/>
      <c r="M744" s="13" t="n"/>
      <c r="N744" s="14">
        <f>ROUND(I744*(SUM(J744:M744))*68%,0)</f>
        <v/>
      </c>
      <c r="O744" s="61" t="n"/>
      <c r="P744" s="59" t="n"/>
      <c r="Q744" s="59" t="n"/>
      <c r="R744" s="58" t="n"/>
      <c r="S744" s="15">
        <f>I744*J744</f>
        <v/>
      </c>
      <c r="T744" s="15">
        <f>SUM(S744:S744)*68%</f>
        <v/>
      </c>
      <c r="U744" s="15">
        <f>I744*K744*40%*O744</f>
        <v/>
      </c>
      <c r="V744" s="15">
        <f>IF(P744&gt;=6750,(I744*K744*40%),0)</f>
        <v/>
      </c>
      <c r="W744" s="15">
        <f>IF(P744&lt;6750,0,IF(Q744="",0,IF(OR(Q744="KURANG",Q744="SANGAT KURANG"),I744*K744*10%,I744*K744*20%)))</f>
        <v/>
      </c>
      <c r="X744" s="15">
        <f>SUM(U744:W744)*68%</f>
        <v/>
      </c>
      <c r="Y744" s="15">
        <f>I744*L744</f>
        <v/>
      </c>
      <c r="Z744" s="15">
        <f>Y744 * 68%</f>
        <v/>
      </c>
      <c r="AA744" s="15">
        <f>I744*M744</f>
        <v/>
      </c>
      <c r="AB744" s="15">
        <f>AA744*68%</f>
        <v/>
      </c>
      <c r="AC744" s="16">
        <f>ROUND((T744+X744+Z744+AB744),0)</f>
        <v/>
      </c>
      <c r="AD744" s="16">
        <f>AG744</f>
        <v/>
      </c>
      <c r="AE744" s="16">
        <f>AI744</f>
        <v/>
      </c>
      <c r="AF744" s="16">
        <f>AC744+AD744+AE744</f>
        <v/>
      </c>
      <c r="AG744" s="16" t="n"/>
      <c r="AH744" s="17" t="n"/>
      <c r="AI744" s="17">
        <f>AH744*4</f>
        <v/>
      </c>
      <c r="AJ744" s="15">
        <f>AF744-AG744-AH744-AI744</f>
        <v/>
      </c>
      <c r="AK744" s="18" t="n">
        <v>737</v>
      </c>
      <c r="AL744" s="40" t="n"/>
    </row>
    <row r="745" ht="23.5" customHeight="1">
      <c r="A745" s="6" t="inlineStr">
        <is>
          <t>738</t>
        </is>
      </c>
      <c r="B745" s="24" t="n"/>
      <c r="C745" s="55" t="n"/>
      <c r="D745" s="19" t="n"/>
      <c r="E745" s="24" t="n"/>
      <c r="F745" s="25" t="n"/>
      <c r="G745" s="25" t="n"/>
      <c r="H745" s="25" t="n"/>
      <c r="I745" s="11" t="n"/>
      <c r="J745" s="57" t="n"/>
      <c r="K745" s="12" t="n"/>
      <c r="L745" s="22" t="n"/>
      <c r="M745" s="13" t="n"/>
      <c r="N745" s="14">
        <f>ROUND(I745*(SUM(J745:M745))*68%,0)</f>
        <v/>
      </c>
      <c r="O745" s="61" t="n"/>
      <c r="P745" s="59" t="n"/>
      <c r="Q745" s="59" t="n"/>
      <c r="R745" s="58" t="n"/>
      <c r="S745" s="15">
        <f>I745*J745</f>
        <v/>
      </c>
      <c r="T745" s="15">
        <f>SUM(S745:S745)*68%</f>
        <v/>
      </c>
      <c r="U745" s="15">
        <f>I745*K745*40%*O745</f>
        <v/>
      </c>
      <c r="V745" s="15">
        <f>IF(P745&gt;=6750,(I745*K745*40%),0)</f>
        <v/>
      </c>
      <c r="W745" s="15">
        <f>IF(P745&lt;6750,0,IF(Q745="",0,IF(OR(Q745="KURANG",Q745="SANGAT KURANG"),I745*K745*10%,I745*K745*20%)))</f>
        <v/>
      </c>
      <c r="X745" s="15">
        <f>SUM(U745:W745)*68%</f>
        <v/>
      </c>
      <c r="Y745" s="15">
        <f>I745*L745</f>
        <v/>
      </c>
      <c r="Z745" s="15">
        <f>Y745 * 68%</f>
        <v/>
      </c>
      <c r="AA745" s="15">
        <f>I745*M745</f>
        <v/>
      </c>
      <c r="AB745" s="15">
        <f>AA745*68%</f>
        <v/>
      </c>
      <c r="AC745" s="16">
        <f>ROUND((T745+X745+Z745+AB745),0)</f>
        <v/>
      </c>
      <c r="AD745" s="16">
        <f>AG745</f>
        <v/>
      </c>
      <c r="AE745" s="16">
        <f>AI745</f>
        <v/>
      </c>
      <c r="AF745" s="16">
        <f>AC745+AD745+AE745</f>
        <v/>
      </c>
      <c r="AG745" s="16" t="n"/>
      <c r="AH745" s="17" t="n"/>
      <c r="AI745" s="17">
        <f>AH745*4</f>
        <v/>
      </c>
      <c r="AJ745" s="15">
        <f>AF745-AG745-AH745-AI745</f>
        <v/>
      </c>
      <c r="AK745" s="18" t="n">
        <v>738</v>
      </c>
      <c r="AL745" s="23" t="n"/>
    </row>
    <row r="746" ht="23.5" customHeight="1">
      <c r="A746" s="6" t="inlineStr">
        <is>
          <t>739</t>
        </is>
      </c>
      <c r="B746" s="24" t="n"/>
      <c r="C746" s="55" t="n"/>
      <c r="D746" s="19" t="n"/>
      <c r="E746" s="24" t="n"/>
      <c r="F746" s="25" t="n"/>
      <c r="G746" s="25" t="n"/>
      <c r="H746" s="25" t="n"/>
      <c r="I746" s="11" t="n"/>
      <c r="J746" s="57" t="n"/>
      <c r="K746" s="12" t="n"/>
      <c r="L746" s="22" t="n"/>
      <c r="M746" s="13" t="n"/>
      <c r="N746" s="14">
        <f>ROUND(I746*(SUM(J746:M746))*68%,0)</f>
        <v/>
      </c>
      <c r="O746" s="61" t="n"/>
      <c r="P746" s="59" t="n"/>
      <c r="Q746" s="59" t="n"/>
      <c r="R746" s="58" t="n"/>
      <c r="S746" s="15">
        <f>I746*J746</f>
        <v/>
      </c>
      <c r="T746" s="15">
        <f>SUM(S746:S746)*68%</f>
        <v/>
      </c>
      <c r="U746" s="15">
        <f>I746*K746*40%*O746</f>
        <v/>
      </c>
      <c r="V746" s="15">
        <f>IF(P746&gt;=6750,(I746*K746*40%),0)</f>
        <v/>
      </c>
      <c r="W746" s="15">
        <f>IF(P746&lt;6750,0,IF(Q746="",0,IF(OR(Q746="KURANG",Q746="SANGAT KURANG"),I746*K746*10%,I746*K746*20%)))</f>
        <v/>
      </c>
      <c r="X746" s="15">
        <f>SUM(U746:W746)*68%</f>
        <v/>
      </c>
      <c r="Y746" s="15">
        <f>I746*L746</f>
        <v/>
      </c>
      <c r="Z746" s="15">
        <f>Y746 * 68%</f>
        <v/>
      </c>
      <c r="AA746" s="15">
        <f>I746*M746</f>
        <v/>
      </c>
      <c r="AB746" s="15">
        <f>AA746*68%</f>
        <v/>
      </c>
      <c r="AC746" s="16">
        <f>ROUND((T746+X746+Z746+AB746),0)</f>
        <v/>
      </c>
      <c r="AD746" s="16">
        <f>AG746</f>
        <v/>
      </c>
      <c r="AE746" s="16">
        <f>AI746</f>
        <v/>
      </c>
      <c r="AF746" s="16">
        <f>AC746+AD746+AE746</f>
        <v/>
      </c>
      <c r="AG746" s="16" t="n"/>
      <c r="AH746" s="17" t="n"/>
      <c r="AI746" s="17">
        <f>AH746*4</f>
        <v/>
      </c>
      <c r="AJ746" s="15">
        <f>AF746-AG746-AH746-AI746</f>
        <v/>
      </c>
      <c r="AK746" s="18" t="n">
        <v>739</v>
      </c>
      <c r="AL746" s="23" t="n"/>
    </row>
    <row r="747" ht="23.5" customHeight="1">
      <c r="A747" s="6" t="inlineStr">
        <is>
          <t>740</t>
        </is>
      </c>
      <c r="B747" s="24" t="n"/>
      <c r="C747" s="55" t="n"/>
      <c r="D747" s="19" t="n"/>
      <c r="E747" s="24" t="n"/>
      <c r="F747" s="25" t="n"/>
      <c r="G747" s="25" t="n"/>
      <c r="H747" s="25" t="n"/>
      <c r="I747" s="11" t="n"/>
      <c r="J747" s="57" t="n"/>
      <c r="K747" s="12" t="n"/>
      <c r="L747" s="22" t="n"/>
      <c r="M747" s="13" t="n"/>
      <c r="N747" s="14">
        <f>ROUND(I747*(SUM(J747:M747))*68%,0)</f>
        <v/>
      </c>
      <c r="O747" s="61" t="n"/>
      <c r="P747" s="59" t="n"/>
      <c r="Q747" s="59" t="n"/>
      <c r="R747" s="58" t="n"/>
      <c r="S747" s="15">
        <f>I747*J747</f>
        <v/>
      </c>
      <c r="T747" s="15">
        <f>SUM(S747:S747)*68%</f>
        <v/>
      </c>
      <c r="U747" s="15">
        <f>I747*K747*40%*O747</f>
        <v/>
      </c>
      <c r="V747" s="15">
        <f>IF(P747&gt;=6750,(I747*K747*40%),0)</f>
        <v/>
      </c>
      <c r="W747" s="15">
        <f>IF(P747&lt;6750,0,IF(Q747="",0,IF(OR(Q747="KURANG",Q747="SANGAT KURANG"),I747*K747*10%,I747*K747*20%)))</f>
        <v/>
      </c>
      <c r="X747" s="15">
        <f>SUM(U747:W747)*68%</f>
        <v/>
      </c>
      <c r="Y747" s="15">
        <f>I747*L747</f>
        <v/>
      </c>
      <c r="Z747" s="15">
        <f>Y747 * 68%</f>
        <v/>
      </c>
      <c r="AA747" s="15">
        <f>I747*M747</f>
        <v/>
      </c>
      <c r="AB747" s="15">
        <f>AA747*68%</f>
        <v/>
      </c>
      <c r="AC747" s="16">
        <f>ROUND((T747+X747+Z747+AB747),0)</f>
        <v/>
      </c>
      <c r="AD747" s="16">
        <f>AG747</f>
        <v/>
      </c>
      <c r="AE747" s="16">
        <f>AI747</f>
        <v/>
      </c>
      <c r="AF747" s="16">
        <f>AC747+AD747+AE747</f>
        <v/>
      </c>
      <c r="AG747" s="16" t="n"/>
      <c r="AH747" s="17" t="n"/>
      <c r="AI747" s="17">
        <f>AH747*4</f>
        <v/>
      </c>
      <c r="AJ747" s="15">
        <f>AF747-AG747-AH747-AI747</f>
        <v/>
      </c>
      <c r="AK747" s="18" t="n">
        <v>740</v>
      </c>
      <c r="AL747" s="40" t="n"/>
    </row>
    <row r="748" ht="23.5" customHeight="1">
      <c r="A748" s="6" t="inlineStr">
        <is>
          <t>741</t>
        </is>
      </c>
      <c r="B748" s="28" t="n"/>
      <c r="C748" s="55" t="n"/>
      <c r="D748" s="19" t="n"/>
      <c r="E748" s="24" t="n"/>
      <c r="F748" s="25" t="n"/>
      <c r="G748" s="25" t="n"/>
      <c r="H748" s="25" t="n"/>
      <c r="I748" s="11" t="n"/>
      <c r="J748" s="57" t="n"/>
      <c r="K748" s="12" t="n"/>
      <c r="L748" s="22" t="n"/>
      <c r="M748" s="13" t="n"/>
      <c r="N748" s="14">
        <f>ROUND(I748*(SUM(J748:M748))*68%,0)</f>
        <v/>
      </c>
      <c r="O748" s="61" t="n"/>
      <c r="P748" s="59" t="n"/>
      <c r="Q748" s="59" t="n"/>
      <c r="R748" s="58" t="n"/>
      <c r="S748" s="15">
        <f>I748*J748</f>
        <v/>
      </c>
      <c r="T748" s="15">
        <f>SUM(S748:S748)*68%</f>
        <v/>
      </c>
      <c r="U748" s="15">
        <f>I748*K748*40%*O748</f>
        <v/>
      </c>
      <c r="V748" s="15">
        <f>IF(P748&gt;=6750,(I748*K748*40%),0)</f>
        <v/>
      </c>
      <c r="W748" s="15">
        <f>IF(P748&lt;6750,0,IF(Q748="",0,IF(OR(Q748="KURANG",Q748="SANGAT KURANG"),I748*K748*10%,I748*K748*20%)))</f>
        <v/>
      </c>
      <c r="X748" s="15">
        <f>SUM(U748:W748)*68%</f>
        <v/>
      </c>
      <c r="Y748" s="15">
        <f>I748*L748</f>
        <v/>
      </c>
      <c r="Z748" s="15">
        <f>Y748 * 68%</f>
        <v/>
      </c>
      <c r="AA748" s="15">
        <f>I748*M748</f>
        <v/>
      </c>
      <c r="AB748" s="15">
        <f>AA748*68%</f>
        <v/>
      </c>
      <c r="AC748" s="16">
        <f>ROUND((T748+X748+Z748+AB748),0)</f>
        <v/>
      </c>
      <c r="AD748" s="16">
        <f>AG748</f>
        <v/>
      </c>
      <c r="AE748" s="16">
        <f>AI748</f>
        <v/>
      </c>
      <c r="AF748" s="16">
        <f>AC748+AD748+AE748</f>
        <v/>
      </c>
      <c r="AG748" s="16" t="n"/>
      <c r="AH748" s="17" t="n"/>
      <c r="AI748" s="17">
        <f>AH748*4</f>
        <v/>
      </c>
      <c r="AJ748" s="15">
        <f>AF748-AG748-AH748-AI748</f>
        <v/>
      </c>
      <c r="AK748" s="18" t="n">
        <v>741</v>
      </c>
      <c r="AL748" s="23" t="n"/>
    </row>
    <row r="749" ht="23.5" customHeight="1">
      <c r="A749" s="6" t="inlineStr">
        <is>
          <t>742</t>
        </is>
      </c>
      <c r="B749" s="28" t="n"/>
      <c r="C749" s="55" t="n"/>
      <c r="D749" s="19" t="n"/>
      <c r="E749" s="24" t="n"/>
      <c r="F749" s="25" t="n"/>
      <c r="G749" s="25" t="n"/>
      <c r="H749" s="25" t="n"/>
      <c r="I749" s="11" t="n"/>
      <c r="J749" s="57" t="n"/>
      <c r="K749" s="12" t="n"/>
      <c r="L749" s="22" t="n"/>
      <c r="M749" s="13" t="n"/>
      <c r="N749" s="14">
        <f>ROUND(I749*(SUM(J749:M749))*68%,0)</f>
        <v/>
      </c>
      <c r="O749" s="61" t="n"/>
      <c r="P749" s="59" t="n"/>
      <c r="Q749" s="59" t="n"/>
      <c r="R749" s="58" t="n"/>
      <c r="S749" s="15">
        <f>I749*J749</f>
        <v/>
      </c>
      <c r="T749" s="15">
        <f>SUM(S749:S749)*68%</f>
        <v/>
      </c>
      <c r="U749" s="15">
        <f>I749*K749*40%*O749</f>
        <v/>
      </c>
      <c r="V749" s="15">
        <f>IF(P749&gt;=6750,(I749*K749*40%),0)</f>
        <v/>
      </c>
      <c r="W749" s="15">
        <f>IF(P749&lt;6750,0,IF(Q749="",0,IF(OR(Q749="KURANG",Q749="SANGAT KURANG"),I749*K749*10%,I749*K749*20%)))</f>
        <v/>
      </c>
      <c r="X749" s="15">
        <f>SUM(U749:W749)*68%</f>
        <v/>
      </c>
      <c r="Y749" s="15">
        <f>I749*L749</f>
        <v/>
      </c>
      <c r="Z749" s="15">
        <f>Y749 * 68%</f>
        <v/>
      </c>
      <c r="AA749" s="15">
        <f>I749*M749</f>
        <v/>
      </c>
      <c r="AB749" s="15">
        <f>AA749*68%</f>
        <v/>
      </c>
      <c r="AC749" s="16">
        <f>ROUND((T749+X749+Z749+AB749),0)</f>
        <v/>
      </c>
      <c r="AD749" s="16">
        <f>AG749</f>
        <v/>
      </c>
      <c r="AE749" s="16">
        <f>AI749</f>
        <v/>
      </c>
      <c r="AF749" s="16">
        <f>AC749+AD749+AE749</f>
        <v/>
      </c>
      <c r="AG749" s="16" t="n"/>
      <c r="AH749" s="17" t="n"/>
      <c r="AI749" s="17">
        <f>AH749*4</f>
        <v/>
      </c>
      <c r="AJ749" s="15">
        <f>AF749-AG749-AH749-AI749</f>
        <v/>
      </c>
      <c r="AK749" s="18" t="n">
        <v>742</v>
      </c>
      <c r="AL749" s="23" t="n"/>
    </row>
    <row r="750" ht="23.5" customHeight="1">
      <c r="A750" s="6" t="inlineStr">
        <is>
          <t>743</t>
        </is>
      </c>
      <c r="B750" s="24" t="n"/>
      <c r="C750" s="55" t="n"/>
      <c r="D750" s="19" t="n"/>
      <c r="E750" s="24" t="n"/>
      <c r="F750" s="25" t="n"/>
      <c r="G750" s="25" t="n"/>
      <c r="H750" s="25" t="n"/>
      <c r="I750" s="11" t="n"/>
      <c r="J750" s="57" t="n"/>
      <c r="K750" s="12" t="n"/>
      <c r="L750" s="22" t="n"/>
      <c r="M750" s="13" t="n"/>
      <c r="N750" s="14">
        <f>ROUND(I750*(SUM(J750:M750))*68%,0)</f>
        <v/>
      </c>
      <c r="O750" s="61" t="n"/>
      <c r="P750" s="59" t="n"/>
      <c r="Q750" s="59" t="n"/>
      <c r="R750" s="58" t="n"/>
      <c r="S750" s="15">
        <f>I750*J750</f>
        <v/>
      </c>
      <c r="T750" s="15">
        <f>SUM(S750:S750)*68%</f>
        <v/>
      </c>
      <c r="U750" s="15">
        <f>I750*K750*40%*O750</f>
        <v/>
      </c>
      <c r="V750" s="15">
        <f>IF(P750&gt;=6750,(I750*K750*40%),0)</f>
        <v/>
      </c>
      <c r="W750" s="15">
        <f>IF(P750&lt;6750,0,IF(Q750="",0,IF(OR(Q750="KURANG",Q750="SANGAT KURANG"),I750*K750*10%,I750*K750*20%)))</f>
        <v/>
      </c>
      <c r="X750" s="15">
        <f>SUM(U750:W750)*68%</f>
        <v/>
      </c>
      <c r="Y750" s="15">
        <f>I750*L750</f>
        <v/>
      </c>
      <c r="Z750" s="15">
        <f>Y750 * 68%</f>
        <v/>
      </c>
      <c r="AA750" s="15">
        <f>I750*M750</f>
        <v/>
      </c>
      <c r="AB750" s="15">
        <f>AA750*68%</f>
        <v/>
      </c>
      <c r="AC750" s="16">
        <f>ROUND((T750+X750+Z750+AB750),0)</f>
        <v/>
      </c>
      <c r="AD750" s="16">
        <f>AG750</f>
        <v/>
      </c>
      <c r="AE750" s="16">
        <f>AI750</f>
        <v/>
      </c>
      <c r="AF750" s="16">
        <f>AC750+AD750+AE750</f>
        <v/>
      </c>
      <c r="AG750" s="16" t="n"/>
      <c r="AH750" s="17" t="n"/>
      <c r="AI750" s="17">
        <f>AH750*4</f>
        <v/>
      </c>
      <c r="AJ750" s="15">
        <f>AF750-AG750-AH750-AI750</f>
        <v/>
      </c>
      <c r="AK750" s="18" t="n">
        <v>743</v>
      </c>
      <c r="AL750" s="40" t="n"/>
    </row>
    <row r="751" ht="23.5" customHeight="1">
      <c r="A751" s="6" t="inlineStr">
        <is>
          <t>744</t>
        </is>
      </c>
      <c r="B751" s="24" t="n"/>
      <c r="C751" s="55" t="n"/>
      <c r="D751" s="19" t="n"/>
      <c r="E751" s="24" t="n"/>
      <c r="F751" s="25" t="n"/>
      <c r="G751" s="25" t="n"/>
      <c r="H751" s="25" t="n"/>
      <c r="I751" s="11" t="n"/>
      <c r="J751" s="57" t="n"/>
      <c r="K751" s="12" t="n"/>
      <c r="L751" s="22" t="n"/>
      <c r="M751" s="13" t="n"/>
      <c r="N751" s="14">
        <f>ROUND(I751*(SUM(J751:M751))*68%,0)</f>
        <v/>
      </c>
      <c r="O751" s="61" t="n"/>
      <c r="P751" s="59" t="n"/>
      <c r="Q751" s="59" t="n"/>
      <c r="R751" s="58" t="n"/>
      <c r="S751" s="15">
        <f>I751*J751</f>
        <v/>
      </c>
      <c r="T751" s="15">
        <f>SUM(S751:S751)*68%</f>
        <v/>
      </c>
      <c r="U751" s="15">
        <f>I751*K751*40%*O751</f>
        <v/>
      </c>
      <c r="V751" s="15">
        <f>IF(P751&gt;=6750,(I751*K751*40%),0)</f>
        <v/>
      </c>
      <c r="W751" s="15">
        <f>IF(P751&lt;6750,0,IF(Q751="",0,IF(OR(Q751="KURANG",Q751="SANGAT KURANG"),I751*K751*10%,I751*K751*20%)))</f>
        <v/>
      </c>
      <c r="X751" s="15">
        <f>SUM(U751:W751)*68%</f>
        <v/>
      </c>
      <c r="Y751" s="15">
        <f>I751*L751</f>
        <v/>
      </c>
      <c r="Z751" s="15">
        <f>Y751 * 68%</f>
        <v/>
      </c>
      <c r="AA751" s="15">
        <f>I751*M751</f>
        <v/>
      </c>
      <c r="AB751" s="15">
        <f>AA751*68%</f>
        <v/>
      </c>
      <c r="AC751" s="16">
        <f>ROUND((T751+X751+Z751+AB751),0)</f>
        <v/>
      </c>
      <c r="AD751" s="16">
        <f>AG751</f>
        <v/>
      </c>
      <c r="AE751" s="16">
        <f>AI751</f>
        <v/>
      </c>
      <c r="AF751" s="16">
        <f>AC751+AD751+AE751</f>
        <v/>
      </c>
      <c r="AG751" s="16" t="n"/>
      <c r="AH751" s="17" t="n"/>
      <c r="AI751" s="17">
        <f>AH751*4</f>
        <v/>
      </c>
      <c r="AJ751" s="15">
        <f>AF751-AG751-AH751-AI751</f>
        <v/>
      </c>
      <c r="AK751" s="18" t="n">
        <v>744</v>
      </c>
      <c r="AL751" s="23" t="n"/>
    </row>
    <row r="752" ht="23.5" customHeight="1">
      <c r="A752" s="6" t="inlineStr">
        <is>
          <t>745</t>
        </is>
      </c>
      <c r="B752" s="24" t="n"/>
      <c r="C752" s="55" t="n"/>
      <c r="D752" s="19" t="n"/>
      <c r="E752" s="24" t="n"/>
      <c r="F752" s="25" t="n"/>
      <c r="G752" s="25" t="n"/>
      <c r="H752" s="25" t="n"/>
      <c r="I752" s="11" t="n"/>
      <c r="J752" s="57" t="n"/>
      <c r="K752" s="12" t="n"/>
      <c r="L752" s="22" t="n"/>
      <c r="M752" s="13" t="n"/>
      <c r="N752" s="14">
        <f>ROUND(I752*(SUM(J752:M752))*68%,0)</f>
        <v/>
      </c>
      <c r="O752" s="61" t="n"/>
      <c r="P752" s="59" t="n"/>
      <c r="Q752" s="59" t="n"/>
      <c r="R752" s="58" t="n"/>
      <c r="S752" s="15">
        <f>I752*J752</f>
        <v/>
      </c>
      <c r="T752" s="15">
        <f>SUM(S752:S752)*68%</f>
        <v/>
      </c>
      <c r="U752" s="15">
        <f>I752*K752*40%*O752</f>
        <v/>
      </c>
      <c r="V752" s="15">
        <f>IF(P752&gt;=6750,(I752*K752*40%),0)</f>
        <v/>
      </c>
      <c r="W752" s="15">
        <f>IF(P752&lt;6750,0,IF(Q752="",0,IF(OR(Q752="KURANG",Q752="SANGAT KURANG"),I752*K752*10%,I752*K752*20%)))</f>
        <v/>
      </c>
      <c r="X752" s="15">
        <f>SUM(U752:W752)*68%</f>
        <v/>
      </c>
      <c r="Y752" s="15">
        <f>I752*L752</f>
        <v/>
      </c>
      <c r="Z752" s="15">
        <f>Y752 * 68%</f>
        <v/>
      </c>
      <c r="AA752" s="15">
        <f>I752*M752</f>
        <v/>
      </c>
      <c r="AB752" s="15">
        <f>AA752*68%</f>
        <v/>
      </c>
      <c r="AC752" s="16">
        <f>ROUND((T752+X752+Z752+AB752),0)</f>
        <v/>
      </c>
      <c r="AD752" s="16">
        <f>AG752</f>
        <v/>
      </c>
      <c r="AE752" s="16">
        <f>AI752</f>
        <v/>
      </c>
      <c r="AF752" s="16">
        <f>AC752+AD752+AE752</f>
        <v/>
      </c>
      <c r="AG752" s="16" t="n"/>
      <c r="AH752" s="17" t="n"/>
      <c r="AI752" s="17">
        <f>AH752*4</f>
        <v/>
      </c>
      <c r="AJ752" s="15">
        <f>AF752-AG752-AH752-AI752</f>
        <v/>
      </c>
      <c r="AK752" s="18" t="n">
        <v>745</v>
      </c>
      <c r="AL752" s="23" t="n"/>
    </row>
    <row r="753" ht="23.5" customHeight="1">
      <c r="A753" s="6" t="inlineStr">
        <is>
          <t>746</t>
        </is>
      </c>
      <c r="B753" s="24" t="n"/>
      <c r="C753" s="55" t="n"/>
      <c r="D753" s="19" t="n"/>
      <c r="E753" s="24" t="n"/>
      <c r="F753" s="25" t="n"/>
      <c r="G753" s="25" t="n"/>
      <c r="H753" s="25" t="n"/>
      <c r="I753" s="11" t="n"/>
      <c r="J753" s="57" t="n"/>
      <c r="K753" s="12" t="n"/>
      <c r="L753" s="22" t="n"/>
      <c r="M753" s="13" t="n"/>
      <c r="N753" s="14">
        <f>ROUND(I753*(SUM(J753:M753))*68%,0)</f>
        <v/>
      </c>
      <c r="O753" s="61" t="n"/>
      <c r="P753" s="59" t="n"/>
      <c r="Q753" s="59" t="n"/>
      <c r="R753" s="58" t="n"/>
      <c r="S753" s="15">
        <f>I753*J753</f>
        <v/>
      </c>
      <c r="T753" s="15">
        <f>SUM(S753:S753)*68%</f>
        <v/>
      </c>
      <c r="U753" s="15">
        <f>I753*K753*40%*O753</f>
        <v/>
      </c>
      <c r="V753" s="15">
        <f>IF(P753&gt;=6750,(I753*K753*40%),0)</f>
        <v/>
      </c>
      <c r="W753" s="15">
        <f>IF(P753&lt;6750,0,IF(Q753="",0,IF(OR(Q753="KURANG",Q753="SANGAT KURANG"),I753*K753*10%,I753*K753*20%)))</f>
        <v/>
      </c>
      <c r="X753" s="15">
        <f>SUM(U753:W753)*68%</f>
        <v/>
      </c>
      <c r="Y753" s="15">
        <f>I753*L753</f>
        <v/>
      </c>
      <c r="Z753" s="15">
        <f>Y753 * 68%</f>
        <v/>
      </c>
      <c r="AA753" s="15">
        <f>I753*M753</f>
        <v/>
      </c>
      <c r="AB753" s="15">
        <f>AA753*68%</f>
        <v/>
      </c>
      <c r="AC753" s="16">
        <f>ROUND((T753+X753+Z753+AB753),0)</f>
        <v/>
      </c>
      <c r="AD753" s="16">
        <f>AG753</f>
        <v/>
      </c>
      <c r="AE753" s="16">
        <f>AI753</f>
        <v/>
      </c>
      <c r="AF753" s="16">
        <f>AC753+AD753+AE753</f>
        <v/>
      </c>
      <c r="AG753" s="16" t="n"/>
      <c r="AH753" s="17" t="n"/>
      <c r="AI753" s="17">
        <f>AH753*4</f>
        <v/>
      </c>
      <c r="AJ753" s="15">
        <f>AF753-AG753-AH753-AI753</f>
        <v/>
      </c>
      <c r="AK753" s="18" t="n">
        <v>746</v>
      </c>
      <c r="AL753" s="40" t="n"/>
    </row>
    <row r="754" ht="23.5" customHeight="1">
      <c r="A754" s="6" t="inlineStr">
        <is>
          <t>747</t>
        </is>
      </c>
      <c r="B754" s="24" t="n"/>
      <c r="C754" s="55" t="n"/>
      <c r="D754" s="19" t="n"/>
      <c r="E754" s="24" t="n"/>
      <c r="F754" s="25" t="n"/>
      <c r="G754" s="25" t="n"/>
      <c r="H754" s="25" t="n"/>
      <c r="I754" s="11" t="n"/>
      <c r="J754" s="57" t="n"/>
      <c r="K754" s="12" t="n"/>
      <c r="L754" s="22" t="n"/>
      <c r="M754" s="13" t="n"/>
      <c r="N754" s="14">
        <f>ROUND(I754*(SUM(J754:M754))*68%,0)</f>
        <v/>
      </c>
      <c r="O754" s="61" t="n"/>
      <c r="P754" s="59" t="n"/>
      <c r="Q754" s="59" t="n"/>
      <c r="R754" s="58" t="n"/>
      <c r="S754" s="15">
        <f>I754*J754</f>
        <v/>
      </c>
      <c r="T754" s="15">
        <f>SUM(S754:S754)*68%</f>
        <v/>
      </c>
      <c r="U754" s="15">
        <f>I754*K754*40%*O754</f>
        <v/>
      </c>
      <c r="V754" s="15">
        <f>IF(P754&gt;=6750,(I754*K754*40%),0)</f>
        <v/>
      </c>
      <c r="W754" s="15">
        <f>IF(P754&lt;6750,0,IF(Q754="",0,IF(OR(Q754="KURANG",Q754="SANGAT KURANG"),I754*K754*10%,I754*K754*20%)))</f>
        <v/>
      </c>
      <c r="X754" s="15">
        <f>SUM(U754:W754)*68%</f>
        <v/>
      </c>
      <c r="Y754" s="15">
        <f>I754*L754</f>
        <v/>
      </c>
      <c r="Z754" s="15">
        <f>Y754 * 68%</f>
        <v/>
      </c>
      <c r="AA754" s="15">
        <f>I754*M754</f>
        <v/>
      </c>
      <c r="AB754" s="15">
        <f>AA754*68%</f>
        <v/>
      </c>
      <c r="AC754" s="16">
        <f>ROUND((T754+X754+Z754+AB754),0)</f>
        <v/>
      </c>
      <c r="AD754" s="16">
        <f>AG754</f>
        <v/>
      </c>
      <c r="AE754" s="16">
        <f>AI754</f>
        <v/>
      </c>
      <c r="AF754" s="16">
        <f>AC754+AD754+AE754</f>
        <v/>
      </c>
      <c r="AG754" s="16" t="n"/>
      <c r="AH754" s="17" t="n"/>
      <c r="AI754" s="17">
        <f>AH754*4</f>
        <v/>
      </c>
      <c r="AJ754" s="15">
        <f>AF754-AG754-AH754-AI754</f>
        <v/>
      </c>
      <c r="AK754" s="18" t="n">
        <v>747</v>
      </c>
      <c r="AL754" s="23" t="n"/>
    </row>
    <row r="755" ht="23.5" customHeight="1">
      <c r="A755" s="6" t="inlineStr">
        <is>
          <t>748</t>
        </is>
      </c>
      <c r="B755" s="24" t="n"/>
      <c r="C755" s="55" t="n"/>
      <c r="D755" s="19" t="n"/>
      <c r="E755" s="24" t="n"/>
      <c r="F755" s="25" t="n"/>
      <c r="G755" s="25" t="n"/>
      <c r="H755" s="25" t="n"/>
      <c r="I755" s="11" t="n"/>
      <c r="J755" s="57" t="n"/>
      <c r="K755" s="12" t="n"/>
      <c r="L755" s="22" t="n"/>
      <c r="M755" s="13" t="n"/>
      <c r="N755" s="14">
        <f>ROUND(I755*(SUM(J755:M755))*68%,0)</f>
        <v/>
      </c>
      <c r="O755" s="61" t="n"/>
      <c r="P755" s="59" t="n"/>
      <c r="Q755" s="59" t="n"/>
      <c r="R755" s="58" t="n"/>
      <c r="S755" s="15">
        <f>I755*J755</f>
        <v/>
      </c>
      <c r="T755" s="15">
        <f>SUM(S755:S755)*68%</f>
        <v/>
      </c>
      <c r="U755" s="15">
        <f>I755*K755*40%*O755</f>
        <v/>
      </c>
      <c r="V755" s="15">
        <f>IF(P755&gt;=6750,(I755*K755*40%),0)</f>
        <v/>
      </c>
      <c r="W755" s="15">
        <f>IF(P755&lt;6750,0,IF(Q755="",0,IF(OR(Q755="KURANG",Q755="SANGAT KURANG"),I755*K755*10%,I755*K755*20%)))</f>
        <v/>
      </c>
      <c r="X755" s="15">
        <f>SUM(U755:W755)*68%</f>
        <v/>
      </c>
      <c r="Y755" s="15">
        <f>I755*L755</f>
        <v/>
      </c>
      <c r="Z755" s="15">
        <f>Y755 * 68%</f>
        <v/>
      </c>
      <c r="AA755" s="15">
        <f>I755*M755</f>
        <v/>
      </c>
      <c r="AB755" s="15">
        <f>AA755*68%</f>
        <v/>
      </c>
      <c r="AC755" s="16">
        <f>ROUND((T755+X755+Z755+AB755),0)</f>
        <v/>
      </c>
      <c r="AD755" s="16">
        <f>AG755</f>
        <v/>
      </c>
      <c r="AE755" s="16">
        <f>AI755</f>
        <v/>
      </c>
      <c r="AF755" s="16">
        <f>AC755+AD755+AE755</f>
        <v/>
      </c>
      <c r="AG755" s="16" t="n"/>
      <c r="AH755" s="17" t="n"/>
      <c r="AI755" s="17">
        <f>AH755*4</f>
        <v/>
      </c>
      <c r="AJ755" s="15">
        <f>AF755-AG755-AH755-AI755</f>
        <v/>
      </c>
      <c r="AK755" s="18" t="n">
        <v>748</v>
      </c>
      <c r="AL755" s="23" t="n"/>
    </row>
    <row r="756" ht="23.5" customHeight="1">
      <c r="A756" s="6" t="inlineStr">
        <is>
          <t>749</t>
        </is>
      </c>
      <c r="B756" s="28" t="n"/>
      <c r="C756" s="55" t="n"/>
      <c r="D756" s="19" t="n"/>
      <c r="E756" s="24" t="n"/>
      <c r="F756" s="25" t="n"/>
      <c r="G756" s="25" t="n"/>
      <c r="H756" s="25" t="n"/>
      <c r="I756" s="11" t="n"/>
      <c r="J756" s="57" t="n"/>
      <c r="K756" s="12" t="n"/>
      <c r="L756" s="22" t="n"/>
      <c r="M756" s="13" t="n"/>
      <c r="N756" s="14">
        <f>ROUND(I756*(SUM(J756:M756))*68%,0)</f>
        <v/>
      </c>
      <c r="O756" s="61" t="n"/>
      <c r="P756" s="59" t="n"/>
      <c r="Q756" s="59" t="n"/>
      <c r="R756" s="58" t="n"/>
      <c r="S756" s="15">
        <f>I756*J756</f>
        <v/>
      </c>
      <c r="T756" s="15">
        <f>SUM(S756:S756)*68%</f>
        <v/>
      </c>
      <c r="U756" s="15">
        <f>I756*K756*40%*O756</f>
        <v/>
      </c>
      <c r="V756" s="15">
        <f>IF(P756&gt;=6750,(I756*K756*40%),0)</f>
        <v/>
      </c>
      <c r="W756" s="15">
        <f>IF(P756&lt;6750,0,IF(Q756="",0,IF(OR(Q756="KURANG",Q756="SANGAT KURANG"),I756*K756*10%,I756*K756*20%)))</f>
        <v/>
      </c>
      <c r="X756" s="15">
        <f>SUM(U756:W756)*68%</f>
        <v/>
      </c>
      <c r="Y756" s="15">
        <f>I756*L756</f>
        <v/>
      </c>
      <c r="Z756" s="15">
        <f>Y756 * 68%</f>
        <v/>
      </c>
      <c r="AA756" s="15">
        <f>I756*M756</f>
        <v/>
      </c>
      <c r="AB756" s="15">
        <f>AA756*68%</f>
        <v/>
      </c>
      <c r="AC756" s="16">
        <f>ROUND((T756+X756+Z756+AB756),0)</f>
        <v/>
      </c>
      <c r="AD756" s="16">
        <f>AG756</f>
        <v/>
      </c>
      <c r="AE756" s="16">
        <f>AI756</f>
        <v/>
      </c>
      <c r="AF756" s="16">
        <f>AC756+AD756+AE756</f>
        <v/>
      </c>
      <c r="AG756" s="16" t="n"/>
      <c r="AH756" s="17" t="n"/>
      <c r="AI756" s="17">
        <f>AH756*4</f>
        <v/>
      </c>
      <c r="AJ756" s="15">
        <f>AF756-AG756-AH756-AI756</f>
        <v/>
      </c>
      <c r="AK756" s="18" t="n">
        <v>749</v>
      </c>
      <c r="AL756" s="40" t="n"/>
    </row>
    <row r="757" ht="23.5" customHeight="1">
      <c r="A757" s="6" t="inlineStr">
        <is>
          <t>750</t>
        </is>
      </c>
      <c r="B757" s="28" t="n"/>
      <c r="C757" s="55" t="n"/>
      <c r="D757" s="19" t="n"/>
      <c r="E757" s="24" t="n"/>
      <c r="F757" s="25" t="n"/>
      <c r="G757" s="25" t="n"/>
      <c r="H757" s="25" t="n"/>
      <c r="I757" s="11" t="n"/>
      <c r="J757" s="57" t="n"/>
      <c r="K757" s="12" t="n"/>
      <c r="L757" s="22" t="n"/>
      <c r="M757" s="13" t="n"/>
      <c r="N757" s="14">
        <f>ROUND(I757*(SUM(J757:M757))*68%,0)</f>
        <v/>
      </c>
      <c r="O757" s="61" t="n"/>
      <c r="P757" s="59" t="n"/>
      <c r="Q757" s="59" t="n"/>
      <c r="R757" s="58" t="n"/>
      <c r="S757" s="15">
        <f>I757*J757</f>
        <v/>
      </c>
      <c r="T757" s="15">
        <f>SUM(S757:S757)*68%</f>
        <v/>
      </c>
      <c r="U757" s="15">
        <f>I757*K757*40%*O757</f>
        <v/>
      </c>
      <c r="V757" s="15">
        <f>IF(P757&gt;=6750,(I757*K757*40%),0)</f>
        <v/>
      </c>
      <c r="W757" s="15">
        <f>IF(P757&lt;6750,0,IF(Q757="",0,IF(OR(Q757="KURANG",Q757="SANGAT KURANG"),I757*K757*10%,I757*K757*20%)))</f>
        <v/>
      </c>
      <c r="X757" s="15">
        <f>SUM(U757:W757)*68%</f>
        <v/>
      </c>
      <c r="Y757" s="15">
        <f>I757*L757</f>
        <v/>
      </c>
      <c r="Z757" s="15">
        <f>Y757 * 68%</f>
        <v/>
      </c>
      <c r="AA757" s="15">
        <f>I757*M757</f>
        <v/>
      </c>
      <c r="AB757" s="15">
        <f>AA757*68%</f>
        <v/>
      </c>
      <c r="AC757" s="16">
        <f>ROUND((T757+X757+Z757+AB757),0)</f>
        <v/>
      </c>
      <c r="AD757" s="16">
        <f>AG757</f>
        <v/>
      </c>
      <c r="AE757" s="16">
        <f>AI757</f>
        <v/>
      </c>
      <c r="AF757" s="16">
        <f>AC757+AD757+AE757</f>
        <v/>
      </c>
      <c r="AG757" s="16" t="n"/>
      <c r="AH757" s="17" t="n"/>
      <c r="AI757" s="17">
        <f>AH757*4</f>
        <v/>
      </c>
      <c r="AJ757" s="15">
        <f>AF757-AG757-AH757-AI757</f>
        <v/>
      </c>
      <c r="AK757" s="18" t="n">
        <v>750</v>
      </c>
      <c r="AL757" s="23" t="n"/>
    </row>
    <row r="758" ht="23.5" customHeight="1">
      <c r="A758" s="6" t="inlineStr">
        <is>
          <t>751</t>
        </is>
      </c>
      <c r="B758" s="24" t="n"/>
      <c r="C758" s="55" t="n"/>
      <c r="D758" s="19" t="n"/>
      <c r="E758" s="24" t="n"/>
      <c r="F758" s="25" t="n"/>
      <c r="G758" s="25" t="n"/>
      <c r="H758" s="25" t="n"/>
      <c r="I758" s="11" t="n"/>
      <c r="J758" s="57" t="n"/>
      <c r="K758" s="12" t="n"/>
      <c r="L758" s="22" t="n"/>
      <c r="M758" s="13" t="n"/>
      <c r="N758" s="14">
        <f>ROUND(I758*(SUM(J758:M758))*68%,0)</f>
        <v/>
      </c>
      <c r="O758" s="61" t="n"/>
      <c r="P758" s="59" t="n"/>
      <c r="Q758" s="59" t="n"/>
      <c r="R758" s="58" t="n"/>
      <c r="S758" s="15">
        <f>I758*J758</f>
        <v/>
      </c>
      <c r="T758" s="15">
        <f>SUM(S758:S758)*68%</f>
        <v/>
      </c>
      <c r="U758" s="15">
        <f>I758*K758*40%*O758</f>
        <v/>
      </c>
      <c r="V758" s="15">
        <f>IF(P758&gt;=6750,(I758*K758*40%),0)</f>
        <v/>
      </c>
      <c r="W758" s="15">
        <f>IF(P758&lt;6750,0,IF(Q758="",0,IF(OR(Q758="KURANG",Q758="SANGAT KURANG"),I758*K758*10%,I758*K758*20%)))</f>
        <v/>
      </c>
      <c r="X758" s="15">
        <f>SUM(U758:W758)*68%</f>
        <v/>
      </c>
      <c r="Y758" s="15">
        <f>I758*L758</f>
        <v/>
      </c>
      <c r="Z758" s="15">
        <f>Y758 * 68%</f>
        <v/>
      </c>
      <c r="AA758" s="15">
        <f>I758*M758</f>
        <v/>
      </c>
      <c r="AB758" s="15">
        <f>AA758*68%</f>
        <v/>
      </c>
      <c r="AC758" s="16">
        <f>ROUND((T758+X758+Z758+AB758),0)</f>
        <v/>
      </c>
      <c r="AD758" s="16">
        <f>AG758</f>
        <v/>
      </c>
      <c r="AE758" s="16">
        <f>AI758</f>
        <v/>
      </c>
      <c r="AF758" s="16">
        <f>AC758+AD758+AE758</f>
        <v/>
      </c>
      <c r="AG758" s="16" t="n"/>
      <c r="AH758" s="17" t="n"/>
      <c r="AI758" s="17">
        <f>AH758*4</f>
        <v/>
      </c>
      <c r="AJ758" s="15">
        <f>AF758-AG758-AH758-AI758</f>
        <v/>
      </c>
      <c r="AK758" s="18" t="n">
        <v>751</v>
      </c>
      <c r="AL758" s="23" t="n"/>
    </row>
    <row r="759" ht="23.5" customHeight="1">
      <c r="A759" s="6" t="inlineStr">
        <is>
          <t>752</t>
        </is>
      </c>
      <c r="B759" s="24" t="n"/>
      <c r="C759" s="55" t="n"/>
      <c r="D759" s="19" t="n"/>
      <c r="E759" s="24" t="n"/>
      <c r="F759" s="25" t="n"/>
      <c r="G759" s="25" t="n"/>
      <c r="H759" s="25" t="n"/>
      <c r="I759" s="11" t="n"/>
      <c r="J759" s="57" t="n"/>
      <c r="K759" s="12" t="n"/>
      <c r="L759" s="22" t="n"/>
      <c r="M759" s="13" t="n"/>
      <c r="N759" s="14">
        <f>ROUND(I759*(SUM(J759:M759))*68%,0)</f>
        <v/>
      </c>
      <c r="O759" s="61" t="n"/>
      <c r="P759" s="59" t="n"/>
      <c r="Q759" s="59" t="n"/>
      <c r="R759" s="58" t="n"/>
      <c r="S759" s="15">
        <f>I759*J759</f>
        <v/>
      </c>
      <c r="T759" s="15">
        <f>SUM(S759:S759)*68%</f>
        <v/>
      </c>
      <c r="U759" s="15">
        <f>I759*K759*40%*O759</f>
        <v/>
      </c>
      <c r="V759" s="15">
        <f>IF(P759&gt;=6750,(I759*K759*40%),0)</f>
        <v/>
      </c>
      <c r="W759" s="15">
        <f>IF(P759&lt;6750,0,IF(Q759="",0,IF(OR(Q759="KURANG",Q759="SANGAT KURANG"),I759*K759*10%,I759*K759*20%)))</f>
        <v/>
      </c>
      <c r="X759" s="15">
        <f>SUM(U759:W759)*68%</f>
        <v/>
      </c>
      <c r="Y759" s="15">
        <f>I759*L759</f>
        <v/>
      </c>
      <c r="Z759" s="15">
        <f>Y759 * 68%</f>
        <v/>
      </c>
      <c r="AA759" s="15">
        <f>I759*M759</f>
        <v/>
      </c>
      <c r="AB759" s="15">
        <f>AA759*68%</f>
        <v/>
      </c>
      <c r="AC759" s="16">
        <f>ROUND((T759+X759+Z759+AB759),0)</f>
        <v/>
      </c>
      <c r="AD759" s="16">
        <f>AG759</f>
        <v/>
      </c>
      <c r="AE759" s="16">
        <f>AI759</f>
        <v/>
      </c>
      <c r="AF759" s="16">
        <f>AC759+AD759+AE759</f>
        <v/>
      </c>
      <c r="AG759" s="16" t="n"/>
      <c r="AH759" s="17" t="n"/>
      <c r="AI759" s="17">
        <f>AH759*4</f>
        <v/>
      </c>
      <c r="AJ759" s="15">
        <f>AF759-AG759-AH759-AI759</f>
        <v/>
      </c>
      <c r="AK759" s="18" t="n">
        <v>752</v>
      </c>
      <c r="AL759" s="40" t="n"/>
    </row>
    <row r="760" ht="23.5" customHeight="1">
      <c r="A760" s="6" t="inlineStr">
        <is>
          <t>753</t>
        </is>
      </c>
      <c r="B760" s="24" t="n"/>
      <c r="C760" s="55" t="n"/>
      <c r="D760" s="19" t="n"/>
      <c r="E760" s="24" t="n"/>
      <c r="F760" s="25" t="n"/>
      <c r="G760" s="25" t="n"/>
      <c r="H760" s="25" t="n"/>
      <c r="I760" s="11" t="n"/>
      <c r="J760" s="57" t="n"/>
      <c r="K760" s="12" t="n"/>
      <c r="L760" s="22" t="n"/>
      <c r="M760" s="13" t="n"/>
      <c r="N760" s="14">
        <f>ROUND(I760*(SUM(J760:M760))*68%,0)</f>
        <v/>
      </c>
      <c r="O760" s="61" t="n"/>
      <c r="P760" s="59" t="n"/>
      <c r="Q760" s="59" t="n"/>
      <c r="R760" s="58" t="n"/>
      <c r="S760" s="15">
        <f>I760*J760</f>
        <v/>
      </c>
      <c r="T760" s="15">
        <f>SUM(S760:S760)*68%</f>
        <v/>
      </c>
      <c r="U760" s="15">
        <f>I760*K760*40%*O760</f>
        <v/>
      </c>
      <c r="V760" s="15">
        <f>IF(P760&gt;=6750,(I760*K760*40%),0)</f>
        <v/>
      </c>
      <c r="W760" s="15">
        <f>IF(P760&lt;6750,0,IF(Q760="",0,IF(OR(Q760="KURANG",Q760="SANGAT KURANG"),I760*K760*10%,I760*K760*20%)))</f>
        <v/>
      </c>
      <c r="X760" s="15">
        <f>SUM(U760:W760)*68%</f>
        <v/>
      </c>
      <c r="Y760" s="15">
        <f>I760*L760</f>
        <v/>
      </c>
      <c r="Z760" s="15">
        <f>Y760 * 68%</f>
        <v/>
      </c>
      <c r="AA760" s="15">
        <f>I760*M760</f>
        <v/>
      </c>
      <c r="AB760" s="15">
        <f>AA760*68%</f>
        <v/>
      </c>
      <c r="AC760" s="16">
        <f>ROUND((T760+X760+Z760+AB760),0)</f>
        <v/>
      </c>
      <c r="AD760" s="16">
        <f>AG760</f>
        <v/>
      </c>
      <c r="AE760" s="16">
        <f>AI760</f>
        <v/>
      </c>
      <c r="AF760" s="16">
        <f>AC760+AD760+AE760</f>
        <v/>
      </c>
      <c r="AG760" s="16" t="n"/>
      <c r="AH760" s="17" t="n"/>
      <c r="AI760" s="17">
        <f>AH760*4</f>
        <v/>
      </c>
      <c r="AJ760" s="15">
        <f>AF760-AG760-AH760-AI760</f>
        <v/>
      </c>
      <c r="AK760" s="18" t="n">
        <v>753</v>
      </c>
      <c r="AL760" s="23" t="n"/>
    </row>
    <row r="761" ht="23.5" customHeight="1">
      <c r="A761" s="6" t="inlineStr">
        <is>
          <t>754</t>
        </is>
      </c>
      <c r="B761" s="24" t="n"/>
      <c r="C761" s="55" t="n"/>
      <c r="D761" s="19" t="n"/>
      <c r="E761" s="24" t="n"/>
      <c r="F761" s="25" t="n"/>
      <c r="G761" s="25" t="n"/>
      <c r="H761" s="25" t="n"/>
      <c r="I761" s="11" t="n"/>
      <c r="J761" s="57" t="n"/>
      <c r="K761" s="12" t="n"/>
      <c r="L761" s="22" t="n"/>
      <c r="M761" s="13" t="n"/>
      <c r="N761" s="14">
        <f>ROUND(I761*(SUM(J761:M761))*68%,0)</f>
        <v/>
      </c>
      <c r="O761" s="61" t="n"/>
      <c r="P761" s="59" t="n"/>
      <c r="Q761" s="59" t="n"/>
      <c r="R761" s="58" t="n"/>
      <c r="S761" s="15">
        <f>I761*J761</f>
        <v/>
      </c>
      <c r="T761" s="15">
        <f>SUM(S761:S761)*68%</f>
        <v/>
      </c>
      <c r="U761" s="15">
        <f>I761*K761*40%*O761</f>
        <v/>
      </c>
      <c r="V761" s="15">
        <f>IF(P761&gt;=6750,(I761*K761*40%),0)</f>
        <v/>
      </c>
      <c r="W761" s="15">
        <f>IF(P761&lt;6750,0,IF(Q761="",0,IF(OR(Q761="KURANG",Q761="SANGAT KURANG"),I761*K761*10%,I761*K761*20%)))</f>
        <v/>
      </c>
      <c r="X761" s="15">
        <f>SUM(U761:W761)*68%</f>
        <v/>
      </c>
      <c r="Y761" s="15">
        <f>I761*L761</f>
        <v/>
      </c>
      <c r="Z761" s="15">
        <f>Y761 * 68%</f>
        <v/>
      </c>
      <c r="AA761" s="15">
        <f>I761*M761</f>
        <v/>
      </c>
      <c r="AB761" s="15">
        <f>AA761*68%</f>
        <v/>
      </c>
      <c r="AC761" s="16">
        <f>ROUND((T761+X761+Z761+AB761),0)</f>
        <v/>
      </c>
      <c r="AD761" s="16">
        <f>AG761</f>
        <v/>
      </c>
      <c r="AE761" s="16">
        <f>AI761</f>
        <v/>
      </c>
      <c r="AF761" s="16">
        <f>AC761+AD761+AE761</f>
        <v/>
      </c>
      <c r="AG761" s="16" t="n"/>
      <c r="AH761" s="17" t="n"/>
      <c r="AI761" s="17">
        <f>AH761*4</f>
        <v/>
      </c>
      <c r="AJ761" s="15">
        <f>AF761-AG761-AH761-AI761</f>
        <v/>
      </c>
      <c r="AK761" s="18" t="n">
        <v>754</v>
      </c>
      <c r="AL761" s="23" t="n"/>
    </row>
    <row r="762" ht="23.5" customHeight="1">
      <c r="A762" s="6" t="inlineStr">
        <is>
          <t>755</t>
        </is>
      </c>
      <c r="B762" s="24" t="n"/>
      <c r="C762" s="55" t="n"/>
      <c r="D762" s="19" t="n"/>
      <c r="E762" s="24" t="n"/>
      <c r="F762" s="25" t="n"/>
      <c r="G762" s="25" t="n"/>
      <c r="H762" s="25" t="n"/>
      <c r="I762" s="11" t="n"/>
      <c r="J762" s="57" t="n"/>
      <c r="K762" s="12" t="n"/>
      <c r="L762" s="22" t="n"/>
      <c r="M762" s="13" t="n"/>
      <c r="N762" s="14">
        <f>ROUND(I762*(SUM(J762:M762))*68%,0)</f>
        <v/>
      </c>
      <c r="O762" s="61" t="n"/>
      <c r="P762" s="59" t="n"/>
      <c r="Q762" s="59" t="n"/>
      <c r="R762" s="58" t="n"/>
      <c r="S762" s="15">
        <f>I762*J762</f>
        <v/>
      </c>
      <c r="T762" s="15">
        <f>SUM(S762:S762)*68%</f>
        <v/>
      </c>
      <c r="U762" s="15">
        <f>I762*K762*40%*O762</f>
        <v/>
      </c>
      <c r="V762" s="15">
        <f>IF(P762&gt;=6750,(I762*K762*40%),0)</f>
        <v/>
      </c>
      <c r="W762" s="15">
        <f>IF(P762&lt;6750,0,IF(Q762="",0,IF(OR(Q762="KURANG",Q762="SANGAT KURANG"),I762*K762*10%,I762*K762*20%)))</f>
        <v/>
      </c>
      <c r="X762" s="15">
        <f>SUM(U762:W762)*68%</f>
        <v/>
      </c>
      <c r="Y762" s="15">
        <f>I762*L762</f>
        <v/>
      </c>
      <c r="Z762" s="15">
        <f>Y762 * 68%</f>
        <v/>
      </c>
      <c r="AA762" s="15">
        <f>I762*M762</f>
        <v/>
      </c>
      <c r="AB762" s="15">
        <f>AA762*68%</f>
        <v/>
      </c>
      <c r="AC762" s="16">
        <f>ROUND((T762+X762+Z762+AB762),0)</f>
        <v/>
      </c>
      <c r="AD762" s="16">
        <f>AG762</f>
        <v/>
      </c>
      <c r="AE762" s="16">
        <f>AI762</f>
        <v/>
      </c>
      <c r="AF762" s="16">
        <f>AC762+AD762+AE762</f>
        <v/>
      </c>
      <c r="AG762" s="16" t="n"/>
      <c r="AH762" s="17" t="n"/>
      <c r="AI762" s="17">
        <f>AH762*4</f>
        <v/>
      </c>
      <c r="AJ762" s="15">
        <f>AF762-AG762-AH762-AI762</f>
        <v/>
      </c>
      <c r="AK762" s="18" t="n">
        <v>755</v>
      </c>
      <c r="AL762" s="40" t="n"/>
    </row>
    <row r="763" ht="23.5" customHeight="1">
      <c r="A763" s="6" t="inlineStr">
        <is>
          <t>756</t>
        </is>
      </c>
      <c r="B763" s="24" t="n"/>
      <c r="C763" s="55" t="n"/>
      <c r="D763" s="19" t="n"/>
      <c r="E763" s="24" t="n"/>
      <c r="F763" s="25" t="n"/>
      <c r="G763" s="25" t="n"/>
      <c r="H763" s="25" t="n"/>
      <c r="I763" s="11" t="n"/>
      <c r="J763" s="57" t="n"/>
      <c r="K763" s="12" t="n"/>
      <c r="L763" s="22" t="n"/>
      <c r="M763" s="13" t="n"/>
      <c r="N763" s="14">
        <f>ROUND(I763*(SUM(J763:M763))*68%,0)</f>
        <v/>
      </c>
      <c r="O763" s="61" t="n"/>
      <c r="P763" s="59" t="n"/>
      <c r="Q763" s="59" t="n"/>
      <c r="R763" s="58" t="n"/>
      <c r="S763" s="15">
        <f>I763*J763</f>
        <v/>
      </c>
      <c r="T763" s="15">
        <f>SUM(S763:S763)*68%</f>
        <v/>
      </c>
      <c r="U763" s="15">
        <f>I763*K763*40%*O763</f>
        <v/>
      </c>
      <c r="V763" s="15">
        <f>IF(P763&gt;=6750,(I763*K763*40%),0)</f>
        <v/>
      </c>
      <c r="W763" s="15">
        <f>IF(P763&lt;6750,0,IF(Q763="",0,IF(OR(Q763="KURANG",Q763="SANGAT KURANG"),I763*K763*10%,I763*K763*20%)))</f>
        <v/>
      </c>
      <c r="X763" s="15">
        <f>SUM(U763:W763)*68%</f>
        <v/>
      </c>
      <c r="Y763" s="15">
        <f>I763*L763</f>
        <v/>
      </c>
      <c r="Z763" s="15">
        <f>Y763 * 68%</f>
        <v/>
      </c>
      <c r="AA763" s="15">
        <f>I763*M763</f>
        <v/>
      </c>
      <c r="AB763" s="15">
        <f>AA763*68%</f>
        <v/>
      </c>
      <c r="AC763" s="16">
        <f>ROUND((T763+X763+Z763+AB763),0)</f>
        <v/>
      </c>
      <c r="AD763" s="16">
        <f>AG763</f>
        <v/>
      </c>
      <c r="AE763" s="16">
        <f>AI763</f>
        <v/>
      </c>
      <c r="AF763" s="16">
        <f>AC763+AD763+AE763</f>
        <v/>
      </c>
      <c r="AG763" s="16" t="n"/>
      <c r="AH763" s="17" t="n"/>
      <c r="AI763" s="17">
        <f>AH763*4</f>
        <v/>
      </c>
      <c r="AJ763" s="15">
        <f>AF763-AG763-AH763-AI763</f>
        <v/>
      </c>
      <c r="AK763" s="18" t="n">
        <v>756</v>
      </c>
      <c r="AL763" s="23" t="n"/>
    </row>
    <row r="764" ht="23.5" customHeight="1">
      <c r="A764" s="6" t="inlineStr">
        <is>
          <t>757</t>
        </is>
      </c>
      <c r="B764" s="24" t="n"/>
      <c r="C764" s="55" t="n"/>
      <c r="D764" s="19" t="n"/>
      <c r="E764" s="24" t="n"/>
      <c r="F764" s="25" t="n"/>
      <c r="G764" s="25" t="n"/>
      <c r="H764" s="25" t="n"/>
      <c r="I764" s="11" t="n"/>
      <c r="J764" s="57" t="n"/>
      <c r="K764" s="12" t="n"/>
      <c r="L764" s="22" t="n"/>
      <c r="M764" s="13" t="n"/>
      <c r="N764" s="14">
        <f>ROUND(I764*(SUM(J764:M764))*68%,0)</f>
        <v/>
      </c>
      <c r="O764" s="61" t="n"/>
      <c r="P764" s="59" t="n"/>
      <c r="Q764" s="59" t="n"/>
      <c r="R764" s="58" t="n"/>
      <c r="S764" s="15">
        <f>I764*J764</f>
        <v/>
      </c>
      <c r="T764" s="15">
        <f>SUM(S764:S764)*68%</f>
        <v/>
      </c>
      <c r="U764" s="15">
        <f>I764*K764*40%*O764</f>
        <v/>
      </c>
      <c r="V764" s="15">
        <f>IF(P764&gt;=6750,(I764*K764*40%),0)</f>
        <v/>
      </c>
      <c r="W764" s="15">
        <f>IF(P764&lt;6750,0,IF(Q764="",0,IF(OR(Q764="KURANG",Q764="SANGAT KURANG"),I764*K764*10%,I764*K764*20%)))</f>
        <v/>
      </c>
      <c r="X764" s="15">
        <f>SUM(U764:W764)*68%</f>
        <v/>
      </c>
      <c r="Y764" s="15">
        <f>I764*L764</f>
        <v/>
      </c>
      <c r="Z764" s="15">
        <f>Y764 * 68%</f>
        <v/>
      </c>
      <c r="AA764" s="15">
        <f>I764*M764</f>
        <v/>
      </c>
      <c r="AB764" s="15">
        <f>AA764*68%</f>
        <v/>
      </c>
      <c r="AC764" s="16">
        <f>ROUND((T764+X764+Z764+AB764),0)</f>
        <v/>
      </c>
      <c r="AD764" s="16">
        <f>AG764</f>
        <v/>
      </c>
      <c r="AE764" s="16">
        <f>AI764</f>
        <v/>
      </c>
      <c r="AF764" s="16">
        <f>AC764+AD764+AE764</f>
        <v/>
      </c>
      <c r="AG764" s="16" t="n"/>
      <c r="AH764" s="17" t="n"/>
      <c r="AI764" s="17">
        <f>AH764*4</f>
        <v/>
      </c>
      <c r="AJ764" s="15">
        <f>AF764-AG764-AH764-AI764</f>
        <v/>
      </c>
      <c r="AK764" s="18" t="n">
        <v>757</v>
      </c>
      <c r="AL764" s="23" t="n"/>
    </row>
    <row r="765" ht="23.5" customHeight="1">
      <c r="A765" s="6" t="inlineStr">
        <is>
          <t>758</t>
        </is>
      </c>
      <c r="B765" s="24" t="n"/>
      <c r="C765" s="55" t="n"/>
      <c r="D765" s="19" t="n"/>
      <c r="E765" s="24" t="n"/>
      <c r="F765" s="25" t="n"/>
      <c r="G765" s="25" t="n"/>
      <c r="H765" s="25" t="n"/>
      <c r="I765" s="11" t="n"/>
      <c r="J765" s="57" t="n"/>
      <c r="K765" s="12" t="n"/>
      <c r="L765" s="22" t="n"/>
      <c r="M765" s="13" t="n"/>
      <c r="N765" s="14">
        <f>ROUND(I765*(SUM(J765:M765))*68%,0)</f>
        <v/>
      </c>
      <c r="O765" s="61" t="n"/>
      <c r="P765" s="59" t="n"/>
      <c r="Q765" s="59" t="n"/>
      <c r="R765" s="58" t="n"/>
      <c r="S765" s="15">
        <f>I765*J765</f>
        <v/>
      </c>
      <c r="T765" s="15">
        <f>SUM(S765:S765)*68%</f>
        <v/>
      </c>
      <c r="U765" s="15">
        <f>I765*K765*40%*O765</f>
        <v/>
      </c>
      <c r="V765" s="15">
        <f>IF(P765&gt;=6750,(I765*K765*40%),0)</f>
        <v/>
      </c>
      <c r="W765" s="15">
        <f>IF(P765&lt;6750,0,IF(Q765="",0,IF(OR(Q765="KURANG",Q765="SANGAT KURANG"),I765*K765*10%,I765*K765*20%)))</f>
        <v/>
      </c>
      <c r="X765" s="15">
        <f>SUM(U765:W765)*68%</f>
        <v/>
      </c>
      <c r="Y765" s="15">
        <f>I765*L765</f>
        <v/>
      </c>
      <c r="Z765" s="15">
        <f>Y765 * 68%</f>
        <v/>
      </c>
      <c r="AA765" s="15">
        <f>I765*M765</f>
        <v/>
      </c>
      <c r="AB765" s="15">
        <f>AA765*68%</f>
        <v/>
      </c>
      <c r="AC765" s="16">
        <f>ROUND((T765+X765+Z765+AB765),0)</f>
        <v/>
      </c>
      <c r="AD765" s="16">
        <f>AG765</f>
        <v/>
      </c>
      <c r="AE765" s="16">
        <f>AI765</f>
        <v/>
      </c>
      <c r="AF765" s="16">
        <f>AC765+AD765+AE765</f>
        <v/>
      </c>
      <c r="AG765" s="16" t="n"/>
      <c r="AH765" s="17" t="n"/>
      <c r="AI765" s="17">
        <f>AH765*4</f>
        <v/>
      </c>
      <c r="AJ765" s="15">
        <f>AF765-AG765-AH765-AI765</f>
        <v/>
      </c>
      <c r="AK765" s="18" t="n">
        <v>758</v>
      </c>
      <c r="AL765" s="40" t="n"/>
    </row>
    <row r="766" ht="23.5" customHeight="1">
      <c r="A766" s="6" t="inlineStr">
        <is>
          <t>759</t>
        </is>
      </c>
      <c r="B766" s="24" t="n"/>
      <c r="C766" s="55" t="n"/>
      <c r="D766" s="19" t="n"/>
      <c r="E766" s="24" t="n"/>
      <c r="F766" s="25" t="n"/>
      <c r="G766" s="25" t="n"/>
      <c r="H766" s="25" t="n"/>
      <c r="I766" s="11" t="n"/>
      <c r="J766" s="57" t="n"/>
      <c r="K766" s="12" t="n"/>
      <c r="L766" s="22" t="n"/>
      <c r="M766" s="13" t="n"/>
      <c r="N766" s="14">
        <f>ROUND(I766*(SUM(J766:M766))*68%,0)</f>
        <v/>
      </c>
      <c r="O766" s="61" t="n"/>
      <c r="P766" s="59" t="n"/>
      <c r="Q766" s="59" t="n"/>
      <c r="R766" s="58" t="n"/>
      <c r="S766" s="15">
        <f>I766*J766</f>
        <v/>
      </c>
      <c r="T766" s="15">
        <f>SUM(S766:S766)*68%</f>
        <v/>
      </c>
      <c r="U766" s="15">
        <f>I766*K766*40%*O766</f>
        <v/>
      </c>
      <c r="V766" s="15">
        <f>IF(P766&gt;=6750,(I766*K766*40%),0)</f>
        <v/>
      </c>
      <c r="W766" s="15">
        <f>IF(P766&lt;6750,0,IF(Q766="",0,IF(OR(Q766="KURANG",Q766="SANGAT KURANG"),I766*K766*10%,I766*K766*20%)))</f>
        <v/>
      </c>
      <c r="X766" s="15">
        <f>SUM(U766:W766)*68%</f>
        <v/>
      </c>
      <c r="Y766" s="15">
        <f>I766*L766</f>
        <v/>
      </c>
      <c r="Z766" s="15">
        <f>Y766 * 68%</f>
        <v/>
      </c>
      <c r="AA766" s="15">
        <f>I766*M766</f>
        <v/>
      </c>
      <c r="AB766" s="15">
        <f>AA766*68%</f>
        <v/>
      </c>
      <c r="AC766" s="16">
        <f>ROUND((T766+X766+Z766+AB766),0)</f>
        <v/>
      </c>
      <c r="AD766" s="16">
        <f>AG766</f>
        <v/>
      </c>
      <c r="AE766" s="16">
        <f>AI766</f>
        <v/>
      </c>
      <c r="AF766" s="16">
        <f>AC766+AD766+AE766</f>
        <v/>
      </c>
      <c r="AG766" s="16" t="n"/>
      <c r="AH766" s="17" t="n"/>
      <c r="AI766" s="17">
        <f>AH766*4</f>
        <v/>
      </c>
      <c r="AJ766" s="15">
        <f>AF766-AG766-AH766-AI766</f>
        <v/>
      </c>
      <c r="AK766" s="18" t="n">
        <v>759</v>
      </c>
      <c r="AL766" s="23" t="n"/>
    </row>
    <row r="767" ht="23.5" customHeight="1">
      <c r="A767" s="6" t="inlineStr">
        <is>
          <t>760</t>
        </is>
      </c>
      <c r="B767" s="24" t="n"/>
      <c r="C767" s="55" t="n"/>
      <c r="D767" s="19" t="n"/>
      <c r="E767" s="24" t="n"/>
      <c r="F767" s="25" t="n"/>
      <c r="G767" s="25" t="n"/>
      <c r="H767" s="25" t="n"/>
      <c r="I767" s="11" t="n"/>
      <c r="J767" s="57" t="n"/>
      <c r="K767" s="12" t="n"/>
      <c r="L767" s="22" t="n"/>
      <c r="M767" s="13" t="n"/>
      <c r="N767" s="14">
        <f>ROUND(I767*(SUM(J767:M767))*68%,0)</f>
        <v/>
      </c>
      <c r="O767" s="61" t="n"/>
      <c r="P767" s="59" t="n"/>
      <c r="Q767" s="59" t="n"/>
      <c r="R767" s="58" t="n"/>
      <c r="S767" s="15">
        <f>I767*J767</f>
        <v/>
      </c>
      <c r="T767" s="15">
        <f>SUM(S767:S767)*68%</f>
        <v/>
      </c>
      <c r="U767" s="15">
        <f>I767*K767*40%*O767</f>
        <v/>
      </c>
      <c r="V767" s="15">
        <f>IF(P767&gt;=6750,(I767*K767*40%),0)</f>
        <v/>
      </c>
      <c r="W767" s="15">
        <f>IF(P767&lt;6750,0,IF(Q767="",0,IF(OR(Q767="KURANG",Q767="SANGAT KURANG"),I767*K767*10%,I767*K767*20%)))</f>
        <v/>
      </c>
      <c r="X767" s="15">
        <f>SUM(U767:W767)*68%</f>
        <v/>
      </c>
      <c r="Y767" s="15">
        <f>I767*L767</f>
        <v/>
      </c>
      <c r="Z767" s="15">
        <f>Y767 * 68%</f>
        <v/>
      </c>
      <c r="AA767" s="15">
        <f>I767*M767</f>
        <v/>
      </c>
      <c r="AB767" s="15">
        <f>AA767*68%</f>
        <v/>
      </c>
      <c r="AC767" s="16">
        <f>ROUND((T767+X767+Z767+AB767),0)</f>
        <v/>
      </c>
      <c r="AD767" s="16">
        <f>AG767</f>
        <v/>
      </c>
      <c r="AE767" s="16">
        <f>AI767</f>
        <v/>
      </c>
      <c r="AF767" s="16">
        <f>AC767+AD767+AE767</f>
        <v/>
      </c>
      <c r="AG767" s="16" t="n"/>
      <c r="AH767" s="17" t="n"/>
      <c r="AI767" s="17">
        <f>AH767*4</f>
        <v/>
      </c>
      <c r="AJ767" s="15">
        <f>AF767-AG767-AH767-AI767</f>
        <v/>
      </c>
      <c r="AK767" s="18" t="n">
        <v>760</v>
      </c>
      <c r="AL767" s="23" t="n"/>
    </row>
    <row r="768" ht="23.5" customHeight="1">
      <c r="A768" s="6" t="inlineStr">
        <is>
          <t>761</t>
        </is>
      </c>
      <c r="B768" s="24" t="n"/>
      <c r="C768" s="55" t="n"/>
      <c r="D768" s="19" t="n"/>
      <c r="E768" s="24" t="n"/>
      <c r="F768" s="25" t="n"/>
      <c r="G768" s="10" t="n"/>
      <c r="H768" s="8" t="n"/>
      <c r="I768" s="11" t="n"/>
      <c r="J768" s="57" t="n"/>
      <c r="K768" s="12" t="n"/>
      <c r="L768" s="13" t="n"/>
      <c r="M768" s="13" t="n"/>
      <c r="N768" s="14">
        <f>ROUND(I768*(SUM(J768:M768))*68%,0)</f>
        <v/>
      </c>
      <c r="O768" s="61" t="n"/>
      <c r="P768" s="59" t="n"/>
      <c r="Q768" s="59" t="n"/>
      <c r="R768" s="58" t="n"/>
      <c r="S768" s="15">
        <f>I768*J768</f>
        <v/>
      </c>
      <c r="T768" s="15">
        <f>SUM(S768:S768)*68%</f>
        <v/>
      </c>
      <c r="U768" s="15">
        <f>I768*K768*40%*O768</f>
        <v/>
      </c>
      <c r="V768" s="15">
        <f>IF(P768&gt;=6750,(I768*K768*40%),0)</f>
        <v/>
      </c>
      <c r="W768" s="15">
        <f>IF(P768&lt;6750,0,IF(Q768="",0,IF(OR(Q768="KURANG",Q768="SANGAT KURANG"),I768*K768*10%,I768*K768*20%)))</f>
        <v/>
      </c>
      <c r="X768" s="15">
        <f>SUM(U768:W768)*68%</f>
        <v/>
      </c>
      <c r="Y768" s="15">
        <f>I768*L768</f>
        <v/>
      </c>
      <c r="Z768" s="15">
        <f>Y768 * 68%</f>
        <v/>
      </c>
      <c r="AA768" s="15">
        <f>I768*M768</f>
        <v/>
      </c>
      <c r="AB768" s="15">
        <f>AA768*68%</f>
        <v/>
      </c>
      <c r="AC768" s="16">
        <f>ROUND((T768+X768+Z768+AB768),0)</f>
        <v/>
      </c>
      <c r="AD768" s="16">
        <f>AG768</f>
        <v/>
      </c>
      <c r="AE768" s="16">
        <f>AI768</f>
        <v/>
      </c>
      <c r="AF768" s="16">
        <f>AC768+AD768+AE768</f>
        <v/>
      </c>
      <c r="AG768" s="16" t="n"/>
      <c r="AH768" s="17" t="n"/>
      <c r="AI768" s="17">
        <f>AH768*4</f>
        <v/>
      </c>
      <c r="AJ768" s="15">
        <f>AF768-AG768-AH768-AI768</f>
        <v/>
      </c>
      <c r="AK768" s="18" t="n">
        <v>761</v>
      </c>
      <c r="AL768" s="40" t="n"/>
    </row>
    <row r="769" ht="23.5" customHeight="1">
      <c r="A769" s="6" t="inlineStr">
        <is>
          <t>762</t>
        </is>
      </c>
      <c r="B769" s="24" t="n"/>
      <c r="C769" s="55" t="n"/>
      <c r="D769" s="19" t="n"/>
      <c r="E769" s="24" t="n"/>
      <c r="F769" s="25" t="n"/>
      <c r="G769" s="10" t="n"/>
      <c r="H769" s="8" t="n"/>
      <c r="I769" s="11" t="n"/>
      <c r="J769" s="57" t="n"/>
      <c r="K769" s="12" t="n"/>
      <c r="L769" s="22" t="n"/>
      <c r="M769" s="13" t="n"/>
      <c r="N769" s="14">
        <f>ROUND(I769*(SUM(J769:M769))*68%,0)</f>
        <v/>
      </c>
      <c r="O769" s="61" t="n"/>
      <c r="P769" s="59" t="n"/>
      <c r="Q769" s="59" t="n"/>
      <c r="R769" s="58" t="n"/>
      <c r="S769" s="15">
        <f>I769*J769</f>
        <v/>
      </c>
      <c r="T769" s="15">
        <f>SUM(S769:S769)*68%</f>
        <v/>
      </c>
      <c r="U769" s="15">
        <f>I769*K769*40%*O769</f>
        <v/>
      </c>
      <c r="V769" s="15">
        <f>IF(P769&gt;=6750,(I769*K769*40%),0)</f>
        <v/>
      </c>
      <c r="W769" s="15">
        <f>IF(P769&lt;6750,0,IF(Q769="",0,IF(OR(Q769="KURANG",Q769="SANGAT KURANG"),I769*K769*10%,I769*K769*20%)))</f>
        <v/>
      </c>
      <c r="X769" s="15">
        <f>SUM(U769:W769)*68%</f>
        <v/>
      </c>
      <c r="Y769" s="15">
        <f>I769*L769</f>
        <v/>
      </c>
      <c r="Z769" s="15">
        <f>Y769 * 68%</f>
        <v/>
      </c>
      <c r="AA769" s="15">
        <f>I769*M769</f>
        <v/>
      </c>
      <c r="AB769" s="15">
        <f>AA769*68%</f>
        <v/>
      </c>
      <c r="AC769" s="16">
        <f>ROUND((T769+X769+Z769+AB769),0)</f>
        <v/>
      </c>
      <c r="AD769" s="16">
        <f>AG769</f>
        <v/>
      </c>
      <c r="AE769" s="16">
        <f>AI769</f>
        <v/>
      </c>
      <c r="AF769" s="16">
        <f>AC769+AD769+AE769</f>
        <v/>
      </c>
      <c r="AG769" s="16" t="n"/>
      <c r="AH769" s="17" t="n"/>
      <c r="AI769" s="17">
        <f>AH769*4</f>
        <v/>
      </c>
      <c r="AJ769" s="15">
        <f>AF769-AG769-AH769-AI769</f>
        <v/>
      </c>
      <c r="AK769" s="18" t="n">
        <v>762</v>
      </c>
      <c r="AL769" s="23" t="n"/>
    </row>
    <row r="770" ht="23.5" customHeight="1">
      <c r="A770" s="6" t="inlineStr">
        <is>
          <t>763</t>
        </is>
      </c>
      <c r="B770" s="28" t="n"/>
      <c r="C770" s="55" t="n"/>
      <c r="D770" s="19" t="n"/>
      <c r="E770" s="24" t="n"/>
      <c r="F770" s="25" t="n"/>
      <c r="G770" s="10" t="n"/>
      <c r="H770" s="8" t="n"/>
      <c r="I770" s="11" t="n"/>
      <c r="J770" s="57" t="n"/>
      <c r="K770" s="12" t="n"/>
      <c r="L770" s="22" t="n"/>
      <c r="M770" s="13" t="n"/>
      <c r="N770" s="14">
        <f>ROUND(I770*(SUM(J770:M770))*68%,0)</f>
        <v/>
      </c>
      <c r="O770" s="61" t="n"/>
      <c r="P770" s="59" t="n"/>
      <c r="Q770" s="59" t="n"/>
      <c r="R770" s="58" t="n"/>
      <c r="S770" s="15">
        <f>I770*J770</f>
        <v/>
      </c>
      <c r="T770" s="15">
        <f>SUM(S770:S770)*68%</f>
        <v/>
      </c>
      <c r="U770" s="15">
        <f>I770*K770*40%*O770</f>
        <v/>
      </c>
      <c r="V770" s="15">
        <f>IF(P770&gt;=6750,(I770*K770*40%),0)</f>
        <v/>
      </c>
      <c r="W770" s="15">
        <f>IF(P770&lt;6750,0,IF(Q770="",0,IF(OR(Q770="KURANG",Q770="SANGAT KURANG"),I770*K770*10%,I770*K770*20%)))</f>
        <v/>
      </c>
      <c r="X770" s="15">
        <f>SUM(U770:W770)*68%</f>
        <v/>
      </c>
      <c r="Y770" s="15">
        <f>I770*L770</f>
        <v/>
      </c>
      <c r="Z770" s="15">
        <f>Y770 * 68%</f>
        <v/>
      </c>
      <c r="AA770" s="15">
        <f>I770*M770</f>
        <v/>
      </c>
      <c r="AB770" s="15">
        <f>AA770*68%</f>
        <v/>
      </c>
      <c r="AC770" s="16">
        <f>ROUND((T770+X770+Z770+AB770),0)</f>
        <v/>
      </c>
      <c r="AD770" s="16">
        <f>AG770</f>
        <v/>
      </c>
      <c r="AE770" s="16">
        <f>AI770</f>
        <v/>
      </c>
      <c r="AF770" s="16">
        <f>AC770+AD770+AE770</f>
        <v/>
      </c>
      <c r="AG770" s="16" t="n"/>
      <c r="AH770" s="17" t="n"/>
      <c r="AI770" s="17">
        <f>AH770*4</f>
        <v/>
      </c>
      <c r="AJ770" s="15">
        <f>AF770-AG770-AH770-AI770</f>
        <v/>
      </c>
      <c r="AK770" s="18" t="n">
        <v>763</v>
      </c>
      <c r="AL770" s="23" t="n"/>
    </row>
    <row r="771" ht="23.5" customHeight="1">
      <c r="A771" s="6" t="inlineStr">
        <is>
          <t>764</t>
        </is>
      </c>
      <c r="B771" s="24" t="n"/>
      <c r="C771" s="55" t="n"/>
      <c r="D771" s="19" t="n"/>
      <c r="E771" s="24" t="n"/>
      <c r="F771" s="25" t="n"/>
      <c r="G771" s="10" t="n"/>
      <c r="H771" s="8" t="n"/>
      <c r="I771" s="11" t="n"/>
      <c r="J771" s="57" t="n"/>
      <c r="K771" s="12" t="n"/>
      <c r="L771" s="22" t="n"/>
      <c r="M771" s="13" t="n"/>
      <c r="N771" s="14">
        <f>ROUND(I771*(SUM(J771:M771))*68%,0)</f>
        <v/>
      </c>
      <c r="O771" s="61" t="n"/>
      <c r="P771" s="59" t="n"/>
      <c r="Q771" s="59" t="n"/>
      <c r="R771" s="58" t="n"/>
      <c r="S771" s="15">
        <f>I771*J771</f>
        <v/>
      </c>
      <c r="T771" s="15">
        <f>SUM(S771:S771)*68%</f>
        <v/>
      </c>
      <c r="U771" s="15">
        <f>I771*K771*40%*O771</f>
        <v/>
      </c>
      <c r="V771" s="15">
        <f>IF(P771&gt;=6750,(I771*K771*40%),0)</f>
        <v/>
      </c>
      <c r="W771" s="15">
        <f>IF(P771&lt;6750,0,IF(Q771="",0,IF(OR(Q771="KURANG",Q771="SANGAT KURANG"),I771*K771*10%,I771*K771*20%)))</f>
        <v/>
      </c>
      <c r="X771" s="15">
        <f>SUM(U771:W771)*68%</f>
        <v/>
      </c>
      <c r="Y771" s="15">
        <f>I771*L771</f>
        <v/>
      </c>
      <c r="Z771" s="15">
        <f>Y771 * 68%</f>
        <v/>
      </c>
      <c r="AA771" s="15">
        <f>I771*M771</f>
        <v/>
      </c>
      <c r="AB771" s="15">
        <f>AA771*68%</f>
        <v/>
      </c>
      <c r="AC771" s="16">
        <f>ROUND((T771+X771+Z771+AB771),0)</f>
        <v/>
      </c>
      <c r="AD771" s="16">
        <f>AG771</f>
        <v/>
      </c>
      <c r="AE771" s="16">
        <f>AI771</f>
        <v/>
      </c>
      <c r="AF771" s="16">
        <f>AC771+AD771+AE771</f>
        <v/>
      </c>
      <c r="AG771" s="16" t="n"/>
      <c r="AH771" s="17" t="n"/>
      <c r="AI771" s="17">
        <f>AH771*4</f>
        <v/>
      </c>
      <c r="AJ771" s="15">
        <f>AF771-AG771-AH771-AI771</f>
        <v/>
      </c>
      <c r="AK771" s="18" t="n">
        <v>764</v>
      </c>
      <c r="AL771" s="40" t="n"/>
    </row>
    <row r="772" ht="23.5" customHeight="1">
      <c r="A772" s="6" t="inlineStr">
        <is>
          <t>765</t>
        </is>
      </c>
      <c r="B772" s="24" t="n"/>
      <c r="C772" s="55" t="n"/>
      <c r="D772" s="19" t="n"/>
      <c r="E772" s="24" t="n"/>
      <c r="F772" s="25" t="n"/>
      <c r="G772" s="10" t="n"/>
      <c r="H772" s="8" t="n"/>
      <c r="I772" s="11" t="n"/>
      <c r="J772" s="57" t="n"/>
      <c r="K772" s="12" t="n"/>
      <c r="L772" s="22" t="n"/>
      <c r="M772" s="13" t="n"/>
      <c r="N772" s="14">
        <f>ROUND(I772*(SUM(J772:M772))*68%,0)</f>
        <v/>
      </c>
      <c r="O772" s="61" t="n"/>
      <c r="P772" s="59" t="n"/>
      <c r="Q772" s="59" t="n"/>
      <c r="R772" s="58" t="n"/>
      <c r="S772" s="15">
        <f>I772*J772</f>
        <v/>
      </c>
      <c r="T772" s="15">
        <f>SUM(S772:S772)*68%</f>
        <v/>
      </c>
      <c r="U772" s="15">
        <f>I772*K772*40%*O772</f>
        <v/>
      </c>
      <c r="V772" s="15">
        <f>IF(P772&gt;=6750,(I772*K772*40%),0)</f>
        <v/>
      </c>
      <c r="W772" s="15">
        <f>IF(P772&lt;6750,0,IF(Q772="",0,IF(OR(Q772="KURANG",Q772="SANGAT KURANG"),I772*K772*10%,I772*K772*20%)))</f>
        <v/>
      </c>
      <c r="X772" s="15">
        <f>SUM(U772:W772)*68%</f>
        <v/>
      </c>
      <c r="Y772" s="15">
        <f>I772*L772</f>
        <v/>
      </c>
      <c r="Z772" s="15">
        <f>Y772 * 68%</f>
        <v/>
      </c>
      <c r="AA772" s="15">
        <f>I772*M772</f>
        <v/>
      </c>
      <c r="AB772" s="15">
        <f>AA772*68%</f>
        <v/>
      </c>
      <c r="AC772" s="16">
        <f>ROUND((T772+X772+Z772+AB772),0)</f>
        <v/>
      </c>
      <c r="AD772" s="16">
        <f>AG772</f>
        <v/>
      </c>
      <c r="AE772" s="16">
        <f>AI772</f>
        <v/>
      </c>
      <c r="AF772" s="16">
        <f>AC772+AD772+AE772</f>
        <v/>
      </c>
      <c r="AG772" s="16" t="n"/>
      <c r="AH772" s="17" t="n"/>
      <c r="AI772" s="17">
        <f>AH772*4</f>
        <v/>
      </c>
      <c r="AJ772" s="15">
        <f>AF772-AG772-AH772-AI772</f>
        <v/>
      </c>
      <c r="AK772" s="18" t="n">
        <v>765</v>
      </c>
      <c r="AL772" s="23" t="n"/>
    </row>
    <row r="773" ht="23.5" customHeight="1">
      <c r="A773" s="6" t="inlineStr">
        <is>
          <t>766</t>
        </is>
      </c>
      <c r="B773" s="24" t="n"/>
      <c r="C773" s="55" t="n"/>
      <c r="D773" s="19" t="n"/>
      <c r="E773" s="24" t="n"/>
      <c r="F773" s="25" t="n"/>
      <c r="G773" s="10" t="n"/>
      <c r="H773" s="8" t="n"/>
      <c r="I773" s="11" t="n"/>
      <c r="J773" s="57" t="n"/>
      <c r="K773" s="12" t="n"/>
      <c r="L773" s="22" t="n"/>
      <c r="M773" s="13" t="n"/>
      <c r="N773" s="14">
        <f>ROUND(I773*(SUM(J773:M773))*68%,0)</f>
        <v/>
      </c>
      <c r="O773" s="61" t="n"/>
      <c r="P773" s="59" t="n"/>
      <c r="Q773" s="59" t="n"/>
      <c r="R773" s="58" t="n"/>
      <c r="S773" s="15">
        <f>I773*J773</f>
        <v/>
      </c>
      <c r="T773" s="15">
        <f>SUM(S773:S773)*68%</f>
        <v/>
      </c>
      <c r="U773" s="15">
        <f>I773*K773*40%*O773</f>
        <v/>
      </c>
      <c r="V773" s="15">
        <f>IF(P773&gt;=6750,(I773*K773*40%),0)</f>
        <v/>
      </c>
      <c r="W773" s="15">
        <f>IF(P773&lt;6750,0,IF(Q773="",0,IF(OR(Q773="KURANG",Q773="SANGAT KURANG"),I773*K773*10%,I773*K773*20%)))</f>
        <v/>
      </c>
      <c r="X773" s="15">
        <f>SUM(U773:W773)*68%</f>
        <v/>
      </c>
      <c r="Y773" s="15">
        <f>I773*L773</f>
        <v/>
      </c>
      <c r="Z773" s="15">
        <f>Y773 * 68%</f>
        <v/>
      </c>
      <c r="AA773" s="15">
        <f>I773*M773</f>
        <v/>
      </c>
      <c r="AB773" s="15">
        <f>AA773*68%</f>
        <v/>
      </c>
      <c r="AC773" s="16">
        <f>ROUND((T773+X773+Z773+AB773),0)</f>
        <v/>
      </c>
      <c r="AD773" s="16">
        <f>AG773</f>
        <v/>
      </c>
      <c r="AE773" s="16">
        <f>AI773</f>
        <v/>
      </c>
      <c r="AF773" s="16">
        <f>AC773+AD773+AE773</f>
        <v/>
      </c>
      <c r="AG773" s="16" t="n"/>
      <c r="AH773" s="17" t="n"/>
      <c r="AI773" s="17">
        <f>AH773*4</f>
        <v/>
      </c>
      <c r="AJ773" s="15">
        <f>AF773-AG773-AH773-AI773</f>
        <v/>
      </c>
      <c r="AK773" s="18" t="n">
        <v>766</v>
      </c>
      <c r="AL773" s="23" t="n"/>
    </row>
    <row r="774" ht="23.5" customHeight="1">
      <c r="A774" s="6" t="inlineStr">
        <is>
          <t>767</t>
        </is>
      </c>
      <c r="B774" s="24" t="n"/>
      <c r="C774" s="55" t="n"/>
      <c r="D774" s="19" t="n"/>
      <c r="E774" s="24" t="n"/>
      <c r="F774" s="25" t="n"/>
      <c r="G774" s="10" t="n"/>
      <c r="H774" s="8" t="n"/>
      <c r="I774" s="11" t="n"/>
      <c r="J774" s="57" t="n"/>
      <c r="K774" s="12" t="n"/>
      <c r="L774" s="22" t="n"/>
      <c r="M774" s="13" t="n"/>
      <c r="N774" s="14">
        <f>ROUND(I774*(SUM(J774:M774))*68%,0)</f>
        <v/>
      </c>
      <c r="O774" s="61" t="n"/>
      <c r="P774" s="59" t="n"/>
      <c r="Q774" s="59" t="n"/>
      <c r="R774" s="58" t="n"/>
      <c r="S774" s="15">
        <f>I774*J774</f>
        <v/>
      </c>
      <c r="T774" s="15">
        <f>SUM(S774:S774)*68%</f>
        <v/>
      </c>
      <c r="U774" s="15">
        <f>I774*K774*40%*O774</f>
        <v/>
      </c>
      <c r="V774" s="15">
        <f>IF(P774&gt;=6750,(I774*K774*40%),0)</f>
        <v/>
      </c>
      <c r="W774" s="15">
        <f>IF(P774&lt;6750,0,IF(Q774="",0,IF(OR(Q774="KURANG",Q774="SANGAT KURANG"),I774*K774*10%,I774*K774*20%)))</f>
        <v/>
      </c>
      <c r="X774" s="15">
        <f>SUM(U774:W774)*68%</f>
        <v/>
      </c>
      <c r="Y774" s="15">
        <f>I774*L774</f>
        <v/>
      </c>
      <c r="Z774" s="15">
        <f>Y774 * 68%</f>
        <v/>
      </c>
      <c r="AA774" s="15">
        <f>I774*M774</f>
        <v/>
      </c>
      <c r="AB774" s="15">
        <f>AA774*68%</f>
        <v/>
      </c>
      <c r="AC774" s="16">
        <f>ROUND((T774+X774+Z774+AB774),0)</f>
        <v/>
      </c>
      <c r="AD774" s="16">
        <f>AG774</f>
        <v/>
      </c>
      <c r="AE774" s="16">
        <f>AI774</f>
        <v/>
      </c>
      <c r="AF774" s="16">
        <f>AC774+AD774+AE774</f>
        <v/>
      </c>
      <c r="AG774" s="16" t="n"/>
      <c r="AH774" s="17" t="n"/>
      <c r="AI774" s="17">
        <f>AH774*4</f>
        <v/>
      </c>
      <c r="AJ774" s="15">
        <f>AF774-AG774-AH774-AI774</f>
        <v/>
      </c>
      <c r="AK774" s="18" t="n">
        <v>767</v>
      </c>
      <c r="AL774" s="40" t="n"/>
    </row>
    <row r="775" ht="23.5" customHeight="1">
      <c r="A775" s="6" t="inlineStr">
        <is>
          <t>768</t>
        </is>
      </c>
      <c r="B775" s="24" t="n"/>
      <c r="C775" s="55" t="n"/>
      <c r="D775" s="19" t="n"/>
      <c r="E775" s="24" t="n"/>
      <c r="F775" s="25" t="n"/>
      <c r="G775" s="10" t="n"/>
      <c r="H775" s="8" t="n"/>
      <c r="I775" s="11" t="n"/>
      <c r="J775" s="57" t="n"/>
      <c r="K775" s="12" t="n"/>
      <c r="L775" s="22" t="n"/>
      <c r="M775" s="13" t="n"/>
      <c r="N775" s="14">
        <f>ROUND(I775*(SUM(J775:M775))*68%,0)</f>
        <v/>
      </c>
      <c r="O775" s="61" t="n"/>
      <c r="P775" s="59" t="n"/>
      <c r="Q775" s="59" t="n"/>
      <c r="R775" s="58" t="n"/>
      <c r="S775" s="15">
        <f>I775*J775</f>
        <v/>
      </c>
      <c r="T775" s="15">
        <f>SUM(S775:S775)*68%</f>
        <v/>
      </c>
      <c r="U775" s="15">
        <f>I775*K775*40%*O775</f>
        <v/>
      </c>
      <c r="V775" s="15">
        <f>IF(P775&gt;=6750,(I775*K775*40%),0)</f>
        <v/>
      </c>
      <c r="W775" s="15">
        <f>IF(P775&lt;6750,0,IF(Q775="",0,IF(OR(Q775="KURANG",Q775="SANGAT KURANG"),I775*K775*10%,I775*K775*20%)))</f>
        <v/>
      </c>
      <c r="X775" s="15">
        <f>SUM(U775:W775)*68%</f>
        <v/>
      </c>
      <c r="Y775" s="15">
        <f>I775*L775</f>
        <v/>
      </c>
      <c r="Z775" s="15">
        <f>Y775 * 68%</f>
        <v/>
      </c>
      <c r="AA775" s="15">
        <f>I775*M775</f>
        <v/>
      </c>
      <c r="AB775" s="15">
        <f>AA775*68%</f>
        <v/>
      </c>
      <c r="AC775" s="16">
        <f>ROUND((T775+X775+Z775+AB775),0)</f>
        <v/>
      </c>
      <c r="AD775" s="16">
        <f>AG775</f>
        <v/>
      </c>
      <c r="AE775" s="16">
        <f>AI775</f>
        <v/>
      </c>
      <c r="AF775" s="16">
        <f>AC775+AD775+AE775</f>
        <v/>
      </c>
      <c r="AG775" s="16" t="n"/>
      <c r="AH775" s="17" t="n"/>
      <c r="AI775" s="17">
        <f>AH775*4</f>
        <v/>
      </c>
      <c r="AJ775" s="15">
        <f>AF775-AG775-AH775-AI775</f>
        <v/>
      </c>
      <c r="AK775" s="18" t="n">
        <v>768</v>
      </c>
      <c r="AL775" s="23" t="n"/>
    </row>
    <row r="776" ht="23.5" customHeight="1">
      <c r="A776" s="6" t="inlineStr">
        <is>
          <t>769</t>
        </is>
      </c>
      <c r="B776" s="28" t="n"/>
      <c r="C776" s="55" t="n"/>
      <c r="D776" s="19" t="n"/>
      <c r="E776" s="24" t="n"/>
      <c r="F776" s="25" t="n"/>
      <c r="G776" s="10" t="n"/>
      <c r="H776" s="8" t="n"/>
      <c r="I776" s="11" t="n"/>
      <c r="J776" s="57" t="n"/>
      <c r="K776" s="12" t="n"/>
      <c r="L776" s="22" t="n"/>
      <c r="M776" s="13" t="n"/>
      <c r="N776" s="14">
        <f>ROUND(I776*(SUM(J776:M776))*68%,0)</f>
        <v/>
      </c>
      <c r="O776" s="61" t="n"/>
      <c r="P776" s="59" t="n"/>
      <c r="Q776" s="59" t="n"/>
      <c r="R776" s="58" t="n"/>
      <c r="S776" s="15">
        <f>I776*J776</f>
        <v/>
      </c>
      <c r="T776" s="15">
        <f>SUM(S776:S776)*68%</f>
        <v/>
      </c>
      <c r="U776" s="15">
        <f>I776*K776*40%*O776</f>
        <v/>
      </c>
      <c r="V776" s="15">
        <f>IF(P776&gt;=6750,(I776*K776*40%),0)</f>
        <v/>
      </c>
      <c r="W776" s="15">
        <f>IF(P776&lt;6750,0,IF(Q776="",0,IF(OR(Q776="KURANG",Q776="SANGAT KURANG"),I776*K776*10%,I776*K776*20%)))</f>
        <v/>
      </c>
      <c r="X776" s="15">
        <f>SUM(U776:W776)*68%</f>
        <v/>
      </c>
      <c r="Y776" s="15">
        <f>I776*L776</f>
        <v/>
      </c>
      <c r="Z776" s="15">
        <f>Y776 * 68%</f>
        <v/>
      </c>
      <c r="AA776" s="15">
        <f>I776*M776</f>
        <v/>
      </c>
      <c r="AB776" s="15">
        <f>AA776*68%</f>
        <v/>
      </c>
      <c r="AC776" s="16">
        <f>ROUND((T776+X776+Z776+AB776),0)</f>
        <v/>
      </c>
      <c r="AD776" s="16">
        <f>AG776</f>
        <v/>
      </c>
      <c r="AE776" s="16">
        <f>AI776</f>
        <v/>
      </c>
      <c r="AF776" s="16">
        <f>AC776+AD776+AE776</f>
        <v/>
      </c>
      <c r="AG776" s="16" t="n"/>
      <c r="AH776" s="17" t="n"/>
      <c r="AI776" s="17">
        <f>AH776*4</f>
        <v/>
      </c>
      <c r="AJ776" s="15">
        <f>AF776-AG776-AH776-AI776</f>
        <v/>
      </c>
      <c r="AK776" s="18" t="n">
        <v>769</v>
      </c>
      <c r="AL776" s="23" t="n"/>
    </row>
    <row r="777" ht="23.5" customHeight="1">
      <c r="A777" s="6" t="inlineStr">
        <is>
          <t>770</t>
        </is>
      </c>
      <c r="B777" s="30" t="n"/>
      <c r="C777" s="55" t="n"/>
      <c r="D777" s="29" t="n"/>
      <c r="E777" s="30" t="n"/>
      <c r="F777" s="31" t="n"/>
      <c r="G777" s="32" t="n"/>
      <c r="H777" s="33" t="n"/>
      <c r="I777" s="11" t="n"/>
      <c r="J777" s="57" t="n"/>
      <c r="K777" s="12" t="n"/>
      <c r="L777" s="22" t="n"/>
      <c r="M777" s="13" t="n"/>
      <c r="N777" s="14">
        <f>ROUND(I777*(SUM(J777:M777))*68%,0)</f>
        <v/>
      </c>
      <c r="O777" s="61" t="n"/>
      <c r="P777" s="59" t="n"/>
      <c r="Q777" s="59" t="n"/>
      <c r="R777" s="58" t="n"/>
      <c r="S777" s="15">
        <f>I777*J777</f>
        <v/>
      </c>
      <c r="T777" s="15">
        <f>SUM(S777:S777)*68%</f>
        <v/>
      </c>
      <c r="U777" s="15">
        <f>I777*K777*40%*O777</f>
        <v/>
      </c>
      <c r="V777" s="15">
        <f>IF(P777&gt;=6750,(I777*K777*40%),0)</f>
        <v/>
      </c>
      <c r="W777" s="15">
        <f>IF(P777&lt;6750,0,IF(Q777="",0,IF(OR(Q777="KURANG",Q777="SANGAT KURANG"),I777*K777*10%,I777*K777*20%)))</f>
        <v/>
      </c>
      <c r="X777" s="15">
        <f>SUM(U777:W777)*68%</f>
        <v/>
      </c>
      <c r="Y777" s="15">
        <f>I777*L777</f>
        <v/>
      </c>
      <c r="Z777" s="15">
        <f>Y777 * 68%</f>
        <v/>
      </c>
      <c r="AA777" s="15">
        <f>I777*M777</f>
        <v/>
      </c>
      <c r="AB777" s="15">
        <f>AA777*68%</f>
        <v/>
      </c>
      <c r="AC777" s="16">
        <f>ROUND((T777+X777+Z777+AB777),0)</f>
        <v/>
      </c>
      <c r="AD777" s="16">
        <f>AG777</f>
        <v/>
      </c>
      <c r="AE777" s="16">
        <f>AI777</f>
        <v/>
      </c>
      <c r="AF777" s="16">
        <f>AC777+AD777+AE777</f>
        <v/>
      </c>
      <c r="AG777" s="16" t="n"/>
      <c r="AH777" s="17" t="n"/>
      <c r="AI777" s="17">
        <f>AH777*4</f>
        <v/>
      </c>
      <c r="AJ777" s="15">
        <f>AF777-AG777-AH777-AI777</f>
        <v/>
      </c>
      <c r="AK777" s="18" t="n">
        <v>770</v>
      </c>
      <c r="AL777" s="40" t="n"/>
    </row>
    <row r="778" ht="23.5" customHeight="1">
      <c r="A778" s="6" t="inlineStr">
        <is>
          <t>771</t>
        </is>
      </c>
      <c r="B778" s="24" t="n"/>
      <c r="C778" s="55" t="n"/>
      <c r="D778" s="19" t="n"/>
      <c r="E778" s="24" t="n"/>
      <c r="F778" s="25" t="n"/>
      <c r="G778" s="25" t="n"/>
      <c r="H778" s="24" t="n"/>
      <c r="I778" s="11" t="n"/>
      <c r="J778" s="57" t="n"/>
      <c r="K778" s="12" t="n"/>
      <c r="L778" s="22" t="n"/>
      <c r="M778" s="13" t="n"/>
      <c r="N778" s="14">
        <f>ROUND(I778*(SUM(J778:M778))*68%,0)</f>
        <v/>
      </c>
      <c r="O778" s="61" t="n"/>
      <c r="P778" s="59" t="n"/>
      <c r="Q778" s="59" t="n"/>
      <c r="R778" s="58" t="n"/>
      <c r="S778" s="15">
        <f>I778*J778</f>
        <v/>
      </c>
      <c r="T778" s="15">
        <f>SUM(S778:S778)*68%</f>
        <v/>
      </c>
      <c r="U778" s="15">
        <f>I778*K778*40%*O778</f>
        <v/>
      </c>
      <c r="V778" s="15">
        <f>IF(P778&gt;=6750,(I778*K778*40%),0)</f>
        <v/>
      </c>
      <c r="W778" s="15">
        <f>IF(P778&lt;6750,0,IF(Q778="",0,IF(OR(Q778="KURANG",Q778="SANGAT KURANG"),I778*K778*10%,I778*K778*20%)))</f>
        <v/>
      </c>
      <c r="X778" s="15">
        <f>SUM(U778:W778)*68%</f>
        <v/>
      </c>
      <c r="Y778" s="15">
        <f>I778*L778</f>
        <v/>
      </c>
      <c r="Z778" s="15">
        <f>Y778 * 68%</f>
        <v/>
      </c>
      <c r="AA778" s="15">
        <f>I778*M778</f>
        <v/>
      </c>
      <c r="AB778" s="15">
        <f>AA778*68%</f>
        <v/>
      </c>
      <c r="AC778" s="16">
        <f>ROUND((T778+X778+Z778+AB778),0)</f>
        <v/>
      </c>
      <c r="AD778" s="16">
        <f>AG778</f>
        <v/>
      </c>
      <c r="AE778" s="16">
        <f>AI778</f>
        <v/>
      </c>
      <c r="AF778" s="16">
        <f>AC778+AD778+AE778</f>
        <v/>
      </c>
      <c r="AG778" s="16" t="n"/>
      <c r="AH778" s="17" t="n"/>
      <c r="AI778" s="17">
        <f>AH778*4</f>
        <v/>
      </c>
      <c r="AJ778" s="15">
        <f>AF778-AG778-AH778-AI778</f>
        <v/>
      </c>
      <c r="AK778" s="18" t="n">
        <v>771</v>
      </c>
      <c r="AL778" s="23" t="n"/>
    </row>
    <row r="779" ht="23.5" customHeight="1">
      <c r="A779" s="6" t="inlineStr">
        <is>
          <t>772</t>
        </is>
      </c>
      <c r="B779" s="24" t="n"/>
      <c r="C779" s="55" t="n"/>
      <c r="D779" s="19" t="n"/>
      <c r="E779" s="24" t="n"/>
      <c r="F779" s="25" t="n"/>
      <c r="G779" s="25" t="n"/>
      <c r="H779" s="24" t="n"/>
      <c r="I779" s="11" t="n"/>
      <c r="J779" s="57" t="n"/>
      <c r="K779" s="12" t="n"/>
      <c r="L779" s="22" t="n"/>
      <c r="M779" s="13" t="n"/>
      <c r="N779" s="14">
        <f>ROUND(I779*(SUM(J779:M779))*68%,0)</f>
        <v/>
      </c>
      <c r="O779" s="61" t="n"/>
      <c r="P779" s="59" t="n"/>
      <c r="Q779" s="59" t="n"/>
      <c r="R779" s="58" t="n"/>
      <c r="S779" s="15">
        <f>I779*J779</f>
        <v/>
      </c>
      <c r="T779" s="15">
        <f>SUM(S779:S779)*68%</f>
        <v/>
      </c>
      <c r="U779" s="15">
        <f>I779*K779*40%*O779</f>
        <v/>
      </c>
      <c r="V779" s="15">
        <f>IF(P779&gt;=6750,(I779*K779*40%),0)</f>
        <v/>
      </c>
      <c r="W779" s="15">
        <f>IF(P779&lt;6750,0,IF(Q779="",0,IF(OR(Q779="KURANG",Q779="SANGAT KURANG"),I779*K779*10%,I779*K779*20%)))</f>
        <v/>
      </c>
      <c r="X779" s="15">
        <f>SUM(U779:W779)*68%</f>
        <v/>
      </c>
      <c r="Y779" s="15">
        <f>I779*L779</f>
        <v/>
      </c>
      <c r="Z779" s="15">
        <f>Y779 * 68%</f>
        <v/>
      </c>
      <c r="AA779" s="15">
        <f>I779*M779</f>
        <v/>
      </c>
      <c r="AB779" s="15">
        <f>AA779*68%</f>
        <v/>
      </c>
      <c r="AC779" s="16">
        <f>ROUND((T779+X779+Z779+AB779),0)</f>
        <v/>
      </c>
      <c r="AD779" s="16">
        <f>AG779</f>
        <v/>
      </c>
      <c r="AE779" s="16">
        <f>AI779</f>
        <v/>
      </c>
      <c r="AF779" s="16">
        <f>AC779+AD779+AE779</f>
        <v/>
      </c>
      <c r="AG779" s="16" t="n"/>
      <c r="AH779" s="17" t="n"/>
      <c r="AI779" s="17">
        <f>AH779*4</f>
        <v/>
      </c>
      <c r="AJ779" s="15">
        <f>AF779-AG779-AH779-AI779</f>
        <v/>
      </c>
      <c r="AK779" s="18" t="n">
        <v>772</v>
      </c>
      <c r="AL779" s="23" t="n"/>
    </row>
    <row r="780" ht="23.5" customHeight="1">
      <c r="A780" s="6" t="inlineStr">
        <is>
          <t>773</t>
        </is>
      </c>
      <c r="B780" s="24" t="n"/>
      <c r="C780" s="55" t="n"/>
      <c r="D780" s="19" t="n"/>
      <c r="E780" s="24" t="n"/>
      <c r="F780" s="25" t="n"/>
      <c r="G780" s="25" t="n"/>
      <c r="H780" s="24" t="n"/>
      <c r="I780" s="11" t="n"/>
      <c r="J780" s="57" t="n"/>
      <c r="K780" s="12" t="n"/>
      <c r="L780" s="22" t="n"/>
      <c r="M780" s="13" t="n"/>
      <c r="N780" s="14">
        <f>ROUND(I780*(SUM(J780:M780))*68%,0)</f>
        <v/>
      </c>
      <c r="O780" s="61" t="n"/>
      <c r="P780" s="59" t="n"/>
      <c r="Q780" s="59" t="n"/>
      <c r="R780" s="58" t="n"/>
      <c r="S780" s="15">
        <f>I780*J780</f>
        <v/>
      </c>
      <c r="T780" s="15">
        <f>SUM(S780:S780)*68%</f>
        <v/>
      </c>
      <c r="U780" s="15">
        <f>I780*K780*40%*O780</f>
        <v/>
      </c>
      <c r="V780" s="15">
        <f>IF(P780&gt;=6750,(I780*K780*40%),0)</f>
        <v/>
      </c>
      <c r="W780" s="15">
        <f>IF(P780&lt;6750,0,IF(Q780="",0,IF(OR(Q780="KURANG",Q780="SANGAT KURANG"),I780*K780*10%,I780*K780*20%)))</f>
        <v/>
      </c>
      <c r="X780" s="15">
        <f>SUM(U780:W780)*68%</f>
        <v/>
      </c>
      <c r="Y780" s="15">
        <f>I780*L780</f>
        <v/>
      </c>
      <c r="Z780" s="15">
        <f>Y780 * 68%</f>
        <v/>
      </c>
      <c r="AA780" s="15">
        <f>I780*M780</f>
        <v/>
      </c>
      <c r="AB780" s="15">
        <f>AA780*68%</f>
        <v/>
      </c>
      <c r="AC780" s="16">
        <f>ROUND((T780+X780+Z780+AB780),0)</f>
        <v/>
      </c>
      <c r="AD780" s="16">
        <f>AG780</f>
        <v/>
      </c>
      <c r="AE780" s="16">
        <f>AI780</f>
        <v/>
      </c>
      <c r="AF780" s="16">
        <f>AC780+AD780+AE780</f>
        <v/>
      </c>
      <c r="AG780" s="16" t="n"/>
      <c r="AH780" s="17" t="n"/>
      <c r="AI780" s="17">
        <f>AH780*4</f>
        <v/>
      </c>
      <c r="AJ780" s="15">
        <f>AF780-AG780-AH780-AI780</f>
        <v/>
      </c>
      <c r="AK780" s="18" t="n">
        <v>773</v>
      </c>
      <c r="AL780" s="40" t="n"/>
    </row>
    <row r="781" ht="23.5" customHeight="1">
      <c r="A781" s="6" t="inlineStr">
        <is>
          <t>774</t>
        </is>
      </c>
      <c r="B781" s="28" t="n"/>
      <c r="C781" s="55" t="n"/>
      <c r="D781" s="19" t="n"/>
      <c r="E781" s="24" t="n"/>
      <c r="F781" s="25" t="n"/>
      <c r="G781" s="25" t="n"/>
      <c r="H781" s="25" t="n"/>
      <c r="I781" s="11" t="n"/>
      <c r="J781" s="57" t="n"/>
      <c r="K781" s="12" t="n"/>
      <c r="L781" s="22" t="n"/>
      <c r="M781" s="13" t="n"/>
      <c r="N781" s="14">
        <f>ROUND(I781*(SUM(J781:M781))*68%,0)</f>
        <v/>
      </c>
      <c r="O781" s="61" t="n"/>
      <c r="P781" s="59" t="n"/>
      <c r="Q781" s="59" t="n"/>
      <c r="R781" s="58" t="n"/>
      <c r="S781" s="15">
        <f>I781*J781</f>
        <v/>
      </c>
      <c r="T781" s="15">
        <f>SUM(S781:S781)*68%</f>
        <v/>
      </c>
      <c r="U781" s="15">
        <f>I781*K781*40%*O781</f>
        <v/>
      </c>
      <c r="V781" s="15">
        <f>IF(P781&gt;=6750,(I781*K781*40%),0)</f>
        <v/>
      </c>
      <c r="W781" s="15">
        <f>IF(P781&lt;6750,0,IF(Q781="",0,IF(OR(Q781="KURANG",Q781="SANGAT KURANG"),I781*K781*10%,I781*K781*20%)))</f>
        <v/>
      </c>
      <c r="X781" s="15">
        <f>SUM(U781:W781)*68%</f>
        <v/>
      </c>
      <c r="Y781" s="15">
        <f>I781*L781</f>
        <v/>
      </c>
      <c r="Z781" s="15">
        <f>Y781 * 68%</f>
        <v/>
      </c>
      <c r="AA781" s="15">
        <f>I781*M781</f>
        <v/>
      </c>
      <c r="AB781" s="15">
        <f>AA781*68%</f>
        <v/>
      </c>
      <c r="AC781" s="16">
        <f>ROUND((T781+X781+Z781+AB781),0)</f>
        <v/>
      </c>
      <c r="AD781" s="16">
        <f>AG781</f>
        <v/>
      </c>
      <c r="AE781" s="16">
        <f>AI781</f>
        <v/>
      </c>
      <c r="AF781" s="16">
        <f>AC781+AD781+AE781</f>
        <v/>
      </c>
      <c r="AG781" s="16" t="n"/>
      <c r="AH781" s="17" t="n"/>
      <c r="AI781" s="17">
        <f>AH781*4</f>
        <v/>
      </c>
      <c r="AJ781" s="15">
        <f>AF781-AG781-AH781-AI781</f>
        <v/>
      </c>
      <c r="AK781" s="18" t="n">
        <v>774</v>
      </c>
      <c r="AL781" s="23" t="n"/>
    </row>
    <row r="782" ht="23.5" customHeight="1">
      <c r="A782" s="6" t="inlineStr">
        <is>
          <t>775</t>
        </is>
      </c>
      <c r="B782" s="28" t="n"/>
      <c r="C782" s="55" t="n"/>
      <c r="D782" s="19" t="n"/>
      <c r="E782" s="24" t="n"/>
      <c r="F782" s="25" t="n"/>
      <c r="G782" s="25" t="n"/>
      <c r="H782" s="25" t="n"/>
      <c r="I782" s="11" t="n"/>
      <c r="J782" s="57" t="n"/>
      <c r="K782" s="12" t="n"/>
      <c r="L782" s="22" t="n"/>
      <c r="M782" s="13" t="n"/>
      <c r="N782" s="14">
        <f>ROUND(I782*(SUM(J782:M782))*68%,0)</f>
        <v/>
      </c>
      <c r="O782" s="61" t="n"/>
      <c r="P782" s="59" t="n"/>
      <c r="Q782" s="59" t="n"/>
      <c r="R782" s="58" t="n"/>
      <c r="S782" s="15">
        <f>I782*J782</f>
        <v/>
      </c>
      <c r="T782" s="15">
        <f>SUM(S782:S782)*68%</f>
        <v/>
      </c>
      <c r="U782" s="15">
        <f>I782*K782*40%*O782</f>
        <v/>
      </c>
      <c r="V782" s="15">
        <f>IF(P782&gt;=6750,(I782*K782*40%),0)</f>
        <v/>
      </c>
      <c r="W782" s="15">
        <f>IF(P782&lt;6750,0,IF(Q782="",0,IF(OR(Q782="KURANG",Q782="SANGAT KURANG"),I782*K782*10%,I782*K782*20%)))</f>
        <v/>
      </c>
      <c r="X782" s="15">
        <f>SUM(U782:W782)*68%</f>
        <v/>
      </c>
      <c r="Y782" s="15">
        <f>I782*L782</f>
        <v/>
      </c>
      <c r="Z782" s="15">
        <f>Y782 * 68%</f>
        <v/>
      </c>
      <c r="AA782" s="15">
        <f>I782*M782</f>
        <v/>
      </c>
      <c r="AB782" s="15">
        <f>AA782*68%</f>
        <v/>
      </c>
      <c r="AC782" s="16">
        <f>ROUND((T782+X782+Z782+AB782),0)</f>
        <v/>
      </c>
      <c r="AD782" s="16">
        <f>AG782</f>
        <v/>
      </c>
      <c r="AE782" s="16">
        <f>AI782</f>
        <v/>
      </c>
      <c r="AF782" s="16">
        <f>AC782+AD782+AE782</f>
        <v/>
      </c>
      <c r="AG782" s="16" t="n"/>
      <c r="AH782" s="17" t="n"/>
      <c r="AI782" s="17">
        <f>AH782*4</f>
        <v/>
      </c>
      <c r="AJ782" s="15">
        <f>AF782-AG782-AH782-AI782</f>
        <v/>
      </c>
      <c r="AK782" s="18" t="n">
        <v>775</v>
      </c>
      <c r="AL782" s="23" t="n"/>
    </row>
    <row r="783" ht="23.5" customHeight="1">
      <c r="A783" s="6" t="inlineStr">
        <is>
          <t>776</t>
        </is>
      </c>
      <c r="B783" s="28" t="n"/>
      <c r="C783" s="55" t="n"/>
      <c r="D783" s="19" t="n"/>
      <c r="E783" s="24" t="n"/>
      <c r="F783" s="25" t="n"/>
      <c r="G783" s="25" t="n"/>
      <c r="H783" s="25" t="n"/>
      <c r="I783" s="11" t="n"/>
      <c r="J783" s="57" t="n"/>
      <c r="K783" s="12" t="n"/>
      <c r="L783" s="22" t="n"/>
      <c r="M783" s="13" t="n"/>
      <c r="N783" s="14">
        <f>ROUND(I783*(SUM(J783:M783))*68%,0)</f>
        <v/>
      </c>
      <c r="O783" s="61" t="n"/>
      <c r="P783" s="59" t="n"/>
      <c r="Q783" s="59" t="n"/>
      <c r="R783" s="58" t="n"/>
      <c r="S783" s="15">
        <f>I783*J783</f>
        <v/>
      </c>
      <c r="T783" s="15">
        <f>SUM(S783:S783)*68%</f>
        <v/>
      </c>
      <c r="U783" s="15">
        <f>I783*K783*40%*O783</f>
        <v/>
      </c>
      <c r="V783" s="15">
        <f>IF(P783&gt;=6750,(I783*K783*40%),0)</f>
        <v/>
      </c>
      <c r="W783" s="15">
        <f>IF(P783&lt;6750,0,IF(Q783="",0,IF(OR(Q783="KURANG",Q783="SANGAT KURANG"),I783*K783*10%,I783*K783*20%)))</f>
        <v/>
      </c>
      <c r="X783" s="15">
        <f>SUM(U783:W783)*68%</f>
        <v/>
      </c>
      <c r="Y783" s="15">
        <f>I783*L783</f>
        <v/>
      </c>
      <c r="Z783" s="15">
        <f>Y783 * 68%</f>
        <v/>
      </c>
      <c r="AA783" s="15">
        <f>I783*M783</f>
        <v/>
      </c>
      <c r="AB783" s="15">
        <f>AA783*68%</f>
        <v/>
      </c>
      <c r="AC783" s="16">
        <f>ROUND((T783+X783+Z783+AB783),0)</f>
        <v/>
      </c>
      <c r="AD783" s="16">
        <f>AG783</f>
        <v/>
      </c>
      <c r="AE783" s="16">
        <f>AI783</f>
        <v/>
      </c>
      <c r="AF783" s="16">
        <f>AC783+AD783+AE783</f>
        <v/>
      </c>
      <c r="AG783" s="16" t="n"/>
      <c r="AH783" s="17" t="n"/>
      <c r="AI783" s="17">
        <f>AH783*4</f>
        <v/>
      </c>
      <c r="AJ783" s="15">
        <f>AF783-AG783-AH783-AI783</f>
        <v/>
      </c>
      <c r="AK783" s="18" t="n">
        <v>776</v>
      </c>
      <c r="AL783" s="40" t="n"/>
    </row>
    <row r="784" ht="23.5" customHeight="1">
      <c r="A784" s="6" t="inlineStr">
        <is>
          <t>777</t>
        </is>
      </c>
      <c r="B784" s="24" t="n"/>
      <c r="C784" s="55" t="n"/>
      <c r="D784" s="19" t="n"/>
      <c r="E784" s="24" t="n"/>
      <c r="F784" s="25" t="n"/>
      <c r="G784" s="25" t="n"/>
      <c r="H784" s="25" t="n"/>
      <c r="I784" s="11" t="n"/>
      <c r="J784" s="57" t="n"/>
      <c r="K784" s="12" t="n"/>
      <c r="L784" s="22" t="n"/>
      <c r="M784" s="13" t="n"/>
      <c r="N784" s="14">
        <f>ROUND(I784*(SUM(J784:M784))*68%,0)</f>
        <v/>
      </c>
      <c r="O784" s="61" t="n"/>
      <c r="P784" s="59" t="n"/>
      <c r="Q784" s="59" t="n"/>
      <c r="R784" s="58" t="n"/>
      <c r="S784" s="15">
        <f>I784*J784</f>
        <v/>
      </c>
      <c r="T784" s="15">
        <f>SUM(S784:S784)*68%</f>
        <v/>
      </c>
      <c r="U784" s="15">
        <f>I784*K784*40%*O784</f>
        <v/>
      </c>
      <c r="V784" s="15">
        <f>IF(P784&gt;=6750,(I784*K784*40%),0)</f>
        <v/>
      </c>
      <c r="W784" s="15">
        <f>IF(P784&lt;6750,0,IF(Q784="",0,IF(OR(Q784="KURANG",Q784="SANGAT KURANG"),I784*K784*10%,I784*K784*20%)))</f>
        <v/>
      </c>
      <c r="X784" s="15">
        <f>SUM(U784:W784)*68%</f>
        <v/>
      </c>
      <c r="Y784" s="15">
        <f>I784*L784</f>
        <v/>
      </c>
      <c r="Z784" s="15">
        <f>Y784 * 68%</f>
        <v/>
      </c>
      <c r="AA784" s="15">
        <f>I784*M784</f>
        <v/>
      </c>
      <c r="AB784" s="15">
        <f>AA784*68%</f>
        <v/>
      </c>
      <c r="AC784" s="16">
        <f>ROUND((T784+X784+Z784+AB784),0)</f>
        <v/>
      </c>
      <c r="AD784" s="16">
        <f>AG784</f>
        <v/>
      </c>
      <c r="AE784" s="16">
        <f>AI784</f>
        <v/>
      </c>
      <c r="AF784" s="16">
        <f>AC784+AD784+AE784</f>
        <v/>
      </c>
      <c r="AG784" s="16" t="n"/>
      <c r="AH784" s="17" t="n"/>
      <c r="AI784" s="17">
        <f>AH784*4</f>
        <v/>
      </c>
      <c r="AJ784" s="15">
        <f>AF784-AG784-AH784-AI784</f>
        <v/>
      </c>
      <c r="AK784" s="18" t="n">
        <v>777</v>
      </c>
      <c r="AL784" s="23" t="n"/>
    </row>
    <row r="785" ht="23.5" customHeight="1">
      <c r="A785" s="6" t="inlineStr">
        <is>
          <t>778</t>
        </is>
      </c>
      <c r="B785" s="24" t="n"/>
      <c r="C785" s="55" t="n"/>
      <c r="D785" s="19" t="n"/>
      <c r="E785" s="24" t="n"/>
      <c r="F785" s="25" t="n"/>
      <c r="G785" s="25" t="n"/>
      <c r="H785" s="25" t="n"/>
      <c r="I785" s="11" t="n"/>
      <c r="J785" s="57" t="n"/>
      <c r="K785" s="12" t="n"/>
      <c r="L785" s="22" t="n"/>
      <c r="M785" s="13" t="n"/>
      <c r="N785" s="14">
        <f>ROUND(I785*(SUM(J785:M785))*68%,0)</f>
        <v/>
      </c>
      <c r="O785" s="61" t="n"/>
      <c r="P785" s="59" t="n"/>
      <c r="Q785" s="59" t="n"/>
      <c r="R785" s="58" t="n"/>
      <c r="S785" s="15">
        <f>I785*J785</f>
        <v/>
      </c>
      <c r="T785" s="15">
        <f>SUM(S785:S785)*68%</f>
        <v/>
      </c>
      <c r="U785" s="15">
        <f>I785*K785*40%*O785</f>
        <v/>
      </c>
      <c r="V785" s="15">
        <f>IF(P785&gt;=6750,(I785*K785*40%),0)</f>
        <v/>
      </c>
      <c r="W785" s="15">
        <f>IF(P785&lt;6750,0,IF(Q785="",0,IF(OR(Q785="KURANG",Q785="SANGAT KURANG"),I785*K785*10%,I785*K785*20%)))</f>
        <v/>
      </c>
      <c r="X785" s="15">
        <f>SUM(U785:W785)*68%</f>
        <v/>
      </c>
      <c r="Y785" s="15">
        <f>I785*L785</f>
        <v/>
      </c>
      <c r="Z785" s="15">
        <f>Y785 * 68%</f>
        <v/>
      </c>
      <c r="AA785" s="15">
        <f>I785*M785</f>
        <v/>
      </c>
      <c r="AB785" s="15">
        <f>AA785*68%</f>
        <v/>
      </c>
      <c r="AC785" s="16">
        <f>ROUND((T785+X785+Z785+AB785),0)</f>
        <v/>
      </c>
      <c r="AD785" s="16">
        <f>AG785</f>
        <v/>
      </c>
      <c r="AE785" s="16">
        <f>AI785</f>
        <v/>
      </c>
      <c r="AF785" s="16">
        <f>AC785+AD785+AE785</f>
        <v/>
      </c>
      <c r="AG785" s="16" t="n"/>
      <c r="AH785" s="17" t="n"/>
      <c r="AI785" s="17">
        <f>AH785*4</f>
        <v/>
      </c>
      <c r="AJ785" s="15">
        <f>AF785-AG785-AH785-AI785</f>
        <v/>
      </c>
      <c r="AK785" s="18" t="n">
        <v>778</v>
      </c>
      <c r="AL785" s="23" t="n"/>
    </row>
    <row r="786" ht="23.5" customHeight="1">
      <c r="A786" s="6" t="inlineStr">
        <is>
          <t>779</t>
        </is>
      </c>
      <c r="B786" s="28" t="n"/>
      <c r="C786" s="55" t="n"/>
      <c r="D786" s="19" t="n"/>
      <c r="E786" s="24" t="n"/>
      <c r="F786" s="25" t="n"/>
      <c r="G786" s="25" t="n"/>
      <c r="H786" s="25" t="n"/>
      <c r="I786" s="11" t="n"/>
      <c r="J786" s="57" t="n"/>
      <c r="K786" s="12" t="n"/>
      <c r="L786" s="22" t="n"/>
      <c r="M786" s="13" t="n"/>
      <c r="N786" s="14">
        <f>ROUND(I786*(SUM(J786:M786))*68%,0)</f>
        <v/>
      </c>
      <c r="O786" s="61" t="n"/>
      <c r="P786" s="59" t="n"/>
      <c r="Q786" s="59" t="n"/>
      <c r="R786" s="58" t="n"/>
      <c r="S786" s="15">
        <f>I786*J786</f>
        <v/>
      </c>
      <c r="T786" s="15">
        <f>SUM(S786:S786)*68%</f>
        <v/>
      </c>
      <c r="U786" s="15">
        <f>I786*K786*40%*O786</f>
        <v/>
      </c>
      <c r="V786" s="15">
        <f>IF(P786&gt;=6750,(I786*K786*40%),0)</f>
        <v/>
      </c>
      <c r="W786" s="15">
        <f>IF(P786&lt;6750,0,IF(Q786="",0,IF(OR(Q786="KURANG",Q786="SANGAT KURANG"),I786*K786*10%,I786*K786*20%)))</f>
        <v/>
      </c>
      <c r="X786" s="15">
        <f>SUM(U786:W786)*68%</f>
        <v/>
      </c>
      <c r="Y786" s="15">
        <f>I786*L786</f>
        <v/>
      </c>
      <c r="Z786" s="15">
        <f>Y786 * 68%</f>
        <v/>
      </c>
      <c r="AA786" s="15">
        <f>I786*M786</f>
        <v/>
      </c>
      <c r="AB786" s="15">
        <f>AA786*68%</f>
        <v/>
      </c>
      <c r="AC786" s="16">
        <f>ROUND((T786+X786+Z786+AB786),0)</f>
        <v/>
      </c>
      <c r="AD786" s="16">
        <f>AG786</f>
        <v/>
      </c>
      <c r="AE786" s="16">
        <f>AI786</f>
        <v/>
      </c>
      <c r="AF786" s="16">
        <f>AC786+AD786+AE786</f>
        <v/>
      </c>
      <c r="AG786" s="16" t="n"/>
      <c r="AH786" s="17" t="n"/>
      <c r="AI786" s="17">
        <f>AH786*4</f>
        <v/>
      </c>
      <c r="AJ786" s="15">
        <f>AF786-AG786-AH786-AI786</f>
        <v/>
      </c>
      <c r="AK786" s="18" t="n">
        <v>779</v>
      </c>
      <c r="AL786" s="40" t="n"/>
    </row>
    <row r="787" ht="23.5" customHeight="1">
      <c r="A787" s="6" t="inlineStr">
        <is>
          <t>780</t>
        </is>
      </c>
      <c r="B787" s="28" t="n"/>
      <c r="C787" s="55" t="n"/>
      <c r="D787" s="19" t="n"/>
      <c r="E787" s="24" t="n"/>
      <c r="F787" s="25" t="n"/>
      <c r="G787" s="25" t="n"/>
      <c r="H787" s="25" t="n"/>
      <c r="I787" s="11" t="n"/>
      <c r="J787" s="57" t="n"/>
      <c r="K787" s="12" t="n"/>
      <c r="L787" s="22" t="n"/>
      <c r="M787" s="13" t="n"/>
      <c r="N787" s="14">
        <f>ROUND(I787*(SUM(J787:M787))*68%,0)</f>
        <v/>
      </c>
      <c r="O787" s="61" t="n"/>
      <c r="P787" s="59" t="n"/>
      <c r="Q787" s="59" t="n"/>
      <c r="R787" s="58" t="n"/>
      <c r="S787" s="15">
        <f>I787*J787</f>
        <v/>
      </c>
      <c r="T787" s="15">
        <f>SUM(S787:S787)*68%</f>
        <v/>
      </c>
      <c r="U787" s="15">
        <f>I787*K787*40%*O787</f>
        <v/>
      </c>
      <c r="V787" s="15">
        <f>IF(P787&gt;=6750,(I787*K787*40%),0)</f>
        <v/>
      </c>
      <c r="W787" s="15">
        <f>IF(P787&lt;6750,0,IF(Q787="",0,IF(OR(Q787="KURANG",Q787="SANGAT KURANG"),I787*K787*10%,I787*K787*20%)))</f>
        <v/>
      </c>
      <c r="X787" s="15">
        <f>SUM(U787:W787)*68%</f>
        <v/>
      </c>
      <c r="Y787" s="15">
        <f>I787*L787</f>
        <v/>
      </c>
      <c r="Z787" s="15">
        <f>Y787 * 68%</f>
        <v/>
      </c>
      <c r="AA787" s="15">
        <f>I787*M787</f>
        <v/>
      </c>
      <c r="AB787" s="15">
        <f>AA787*68%</f>
        <v/>
      </c>
      <c r="AC787" s="16">
        <f>ROUND((T787+X787+Z787+AB787),0)</f>
        <v/>
      </c>
      <c r="AD787" s="16">
        <f>AG787</f>
        <v/>
      </c>
      <c r="AE787" s="16">
        <f>AI787</f>
        <v/>
      </c>
      <c r="AF787" s="16">
        <f>AC787+AD787+AE787</f>
        <v/>
      </c>
      <c r="AG787" s="16" t="n"/>
      <c r="AH787" s="17" t="n"/>
      <c r="AI787" s="17">
        <f>AH787*4</f>
        <v/>
      </c>
      <c r="AJ787" s="15">
        <f>AF787-AG787-AH787-AI787</f>
        <v/>
      </c>
      <c r="AK787" s="18" t="n">
        <v>780</v>
      </c>
      <c r="AL787" s="23" t="n"/>
    </row>
    <row r="788" ht="23.5" customHeight="1">
      <c r="A788" s="6" t="inlineStr">
        <is>
          <t>781</t>
        </is>
      </c>
      <c r="B788" s="24" t="n"/>
      <c r="C788" s="55" t="n"/>
      <c r="D788" s="19" t="n"/>
      <c r="E788" s="24" t="n"/>
      <c r="F788" s="25" t="n"/>
      <c r="G788" s="25" t="n"/>
      <c r="H788" s="25" t="n"/>
      <c r="I788" s="11" t="n"/>
      <c r="J788" s="57" t="n"/>
      <c r="K788" s="12" t="n"/>
      <c r="L788" s="22" t="n"/>
      <c r="M788" s="13" t="n"/>
      <c r="N788" s="14">
        <f>ROUND(I788*(SUM(J788:M788))*68%,0)</f>
        <v/>
      </c>
      <c r="O788" s="61" t="n"/>
      <c r="P788" s="59" t="n"/>
      <c r="Q788" s="59" t="n"/>
      <c r="R788" s="58" t="n"/>
      <c r="S788" s="15">
        <f>I788*J788</f>
        <v/>
      </c>
      <c r="T788" s="15">
        <f>SUM(S788:S788)*68%</f>
        <v/>
      </c>
      <c r="U788" s="15">
        <f>I788*K788*40%*O788</f>
        <v/>
      </c>
      <c r="V788" s="15">
        <f>IF(P788&gt;=6750,(I788*K788*40%),0)</f>
        <v/>
      </c>
      <c r="W788" s="15">
        <f>IF(P788&lt;6750,0,IF(Q788="",0,IF(OR(Q788="KURANG",Q788="SANGAT KURANG"),I788*K788*10%,I788*K788*20%)))</f>
        <v/>
      </c>
      <c r="X788" s="15">
        <f>SUM(U788:W788)*68%</f>
        <v/>
      </c>
      <c r="Y788" s="15">
        <f>I788*L788</f>
        <v/>
      </c>
      <c r="Z788" s="15">
        <f>Y788 * 68%</f>
        <v/>
      </c>
      <c r="AA788" s="15">
        <f>I788*M788</f>
        <v/>
      </c>
      <c r="AB788" s="15">
        <f>AA788*68%</f>
        <v/>
      </c>
      <c r="AC788" s="16">
        <f>ROUND((T788+X788+Z788+AB788),0)</f>
        <v/>
      </c>
      <c r="AD788" s="16">
        <f>AG788</f>
        <v/>
      </c>
      <c r="AE788" s="16">
        <f>AI788</f>
        <v/>
      </c>
      <c r="AF788" s="16">
        <f>AC788+AD788+AE788</f>
        <v/>
      </c>
      <c r="AG788" s="16" t="n"/>
      <c r="AH788" s="17" t="n"/>
      <c r="AI788" s="17">
        <f>AH788*4</f>
        <v/>
      </c>
      <c r="AJ788" s="15">
        <f>AF788-AG788-AH788-AI788</f>
        <v/>
      </c>
      <c r="AK788" s="18" t="n">
        <v>781</v>
      </c>
      <c r="AL788" s="23" t="n"/>
    </row>
    <row r="789" ht="23.5" customHeight="1">
      <c r="A789" s="6" t="inlineStr">
        <is>
          <t>782</t>
        </is>
      </c>
      <c r="B789" s="24" t="n"/>
      <c r="C789" s="55" t="n"/>
      <c r="D789" s="19" t="n"/>
      <c r="E789" s="24" t="n"/>
      <c r="F789" s="25" t="n"/>
      <c r="G789" s="25" t="n"/>
      <c r="H789" s="25" t="n"/>
      <c r="I789" s="11" t="n"/>
      <c r="J789" s="57" t="n"/>
      <c r="K789" s="12" t="n"/>
      <c r="L789" s="22" t="n"/>
      <c r="M789" s="13" t="n"/>
      <c r="N789" s="14">
        <f>ROUND(I789*(SUM(J789:M789))*68%,0)</f>
        <v/>
      </c>
      <c r="O789" s="61" t="n"/>
      <c r="P789" s="59" t="n"/>
      <c r="Q789" s="59" t="n"/>
      <c r="R789" s="58" t="n"/>
      <c r="S789" s="15">
        <f>I789*J789</f>
        <v/>
      </c>
      <c r="T789" s="15">
        <f>SUM(S789:S789)*68%</f>
        <v/>
      </c>
      <c r="U789" s="15">
        <f>I789*K789*40%*O789</f>
        <v/>
      </c>
      <c r="V789" s="15">
        <f>IF(P789&gt;=6750,(I789*K789*40%),0)</f>
        <v/>
      </c>
      <c r="W789" s="15">
        <f>IF(P789&lt;6750,0,IF(Q789="",0,IF(OR(Q789="KURANG",Q789="SANGAT KURANG"),I789*K789*10%,I789*K789*20%)))</f>
        <v/>
      </c>
      <c r="X789" s="15">
        <f>SUM(U789:W789)*68%</f>
        <v/>
      </c>
      <c r="Y789" s="15">
        <f>I789*L789</f>
        <v/>
      </c>
      <c r="Z789" s="15">
        <f>Y789 * 68%</f>
        <v/>
      </c>
      <c r="AA789" s="15">
        <f>I789*M789</f>
        <v/>
      </c>
      <c r="AB789" s="15">
        <f>AA789*68%</f>
        <v/>
      </c>
      <c r="AC789" s="16">
        <f>ROUND((T789+X789+Z789+AB789),0)</f>
        <v/>
      </c>
      <c r="AD789" s="16">
        <f>AG789</f>
        <v/>
      </c>
      <c r="AE789" s="16">
        <f>AI789</f>
        <v/>
      </c>
      <c r="AF789" s="16">
        <f>AC789+AD789+AE789</f>
        <v/>
      </c>
      <c r="AG789" s="16" t="n"/>
      <c r="AH789" s="17" t="n"/>
      <c r="AI789" s="17">
        <f>AH789*4</f>
        <v/>
      </c>
      <c r="AJ789" s="15">
        <f>AF789-AG789-AH789-AI789</f>
        <v/>
      </c>
      <c r="AK789" s="18" t="n">
        <v>782</v>
      </c>
      <c r="AL789" s="40" t="n"/>
    </row>
    <row r="790" ht="23.5" customHeight="1">
      <c r="A790" s="6" t="inlineStr">
        <is>
          <t>783</t>
        </is>
      </c>
      <c r="B790" s="24" t="n"/>
      <c r="C790" s="55" t="n"/>
      <c r="D790" s="19" t="n"/>
      <c r="E790" s="24" t="n"/>
      <c r="F790" s="25" t="n"/>
      <c r="G790" s="25" t="n"/>
      <c r="H790" s="25" t="n"/>
      <c r="I790" s="11" t="n"/>
      <c r="J790" s="57" t="n"/>
      <c r="K790" s="12" t="n"/>
      <c r="L790" s="22" t="n"/>
      <c r="M790" s="13" t="n"/>
      <c r="N790" s="14">
        <f>ROUND(I790*(SUM(J790:M790))*68%,0)</f>
        <v/>
      </c>
      <c r="O790" s="61" t="n"/>
      <c r="P790" s="59" t="n"/>
      <c r="Q790" s="59" t="n"/>
      <c r="R790" s="58" t="n"/>
      <c r="S790" s="15">
        <f>I790*J790</f>
        <v/>
      </c>
      <c r="T790" s="15">
        <f>SUM(S790:S790)*68%</f>
        <v/>
      </c>
      <c r="U790" s="15">
        <f>I790*K790*40%*O790</f>
        <v/>
      </c>
      <c r="V790" s="15">
        <f>IF(P790&gt;=6750,(I790*K790*40%),0)</f>
        <v/>
      </c>
      <c r="W790" s="15">
        <f>IF(P790&lt;6750,0,IF(Q790="",0,IF(OR(Q790="KURANG",Q790="SANGAT KURANG"),I790*K790*10%,I790*K790*20%)))</f>
        <v/>
      </c>
      <c r="X790" s="15">
        <f>SUM(U790:W790)*68%</f>
        <v/>
      </c>
      <c r="Y790" s="15">
        <f>I790*L790</f>
        <v/>
      </c>
      <c r="Z790" s="15">
        <f>Y790 * 68%</f>
        <v/>
      </c>
      <c r="AA790" s="15">
        <f>I790*M790</f>
        <v/>
      </c>
      <c r="AB790" s="15">
        <f>AA790*68%</f>
        <v/>
      </c>
      <c r="AC790" s="16">
        <f>ROUND((T790+X790+Z790+AB790),0)</f>
        <v/>
      </c>
      <c r="AD790" s="16">
        <f>AG790</f>
        <v/>
      </c>
      <c r="AE790" s="16">
        <f>AI790</f>
        <v/>
      </c>
      <c r="AF790" s="16">
        <f>AC790+AD790+AE790</f>
        <v/>
      </c>
      <c r="AG790" s="16" t="n"/>
      <c r="AH790" s="17" t="n"/>
      <c r="AI790" s="17">
        <f>AH790*4</f>
        <v/>
      </c>
      <c r="AJ790" s="15">
        <f>AF790-AG790-AH790-AI790</f>
        <v/>
      </c>
      <c r="AK790" s="18" t="n">
        <v>783</v>
      </c>
      <c r="AL790" s="23" t="n"/>
    </row>
    <row r="791" ht="23.5" customHeight="1">
      <c r="A791" s="6" t="inlineStr">
        <is>
          <t>784</t>
        </is>
      </c>
      <c r="B791" s="24" t="n"/>
      <c r="C791" s="55" t="n"/>
      <c r="D791" s="19" t="n"/>
      <c r="E791" s="24" t="n"/>
      <c r="F791" s="25" t="n"/>
      <c r="G791" s="25" t="n"/>
      <c r="H791" s="25" t="n"/>
      <c r="I791" s="11" t="n"/>
      <c r="J791" s="57" t="n"/>
      <c r="K791" s="12" t="n"/>
      <c r="L791" s="22" t="n"/>
      <c r="M791" s="13" t="n"/>
      <c r="N791" s="14">
        <f>ROUND(I791*(SUM(J791:M791))*68%,0)</f>
        <v/>
      </c>
      <c r="O791" s="61" t="n"/>
      <c r="P791" s="59" t="n"/>
      <c r="Q791" s="59" t="n"/>
      <c r="R791" s="58" t="n"/>
      <c r="S791" s="15">
        <f>I791*J791</f>
        <v/>
      </c>
      <c r="T791" s="15">
        <f>SUM(S791:S791)*68%</f>
        <v/>
      </c>
      <c r="U791" s="15">
        <f>I791*K791*40%*O791</f>
        <v/>
      </c>
      <c r="V791" s="15">
        <f>IF(P791&gt;=6750,(I791*K791*40%),0)</f>
        <v/>
      </c>
      <c r="W791" s="15">
        <f>IF(P791&lt;6750,0,IF(Q791="",0,IF(OR(Q791="KURANG",Q791="SANGAT KURANG"),I791*K791*10%,I791*K791*20%)))</f>
        <v/>
      </c>
      <c r="X791" s="15">
        <f>SUM(U791:W791)*68%</f>
        <v/>
      </c>
      <c r="Y791" s="15">
        <f>I791*L791</f>
        <v/>
      </c>
      <c r="Z791" s="15">
        <f>Y791 * 68%</f>
        <v/>
      </c>
      <c r="AA791" s="15">
        <f>I791*M791</f>
        <v/>
      </c>
      <c r="AB791" s="15">
        <f>AA791*68%</f>
        <v/>
      </c>
      <c r="AC791" s="16">
        <f>ROUND((T791+X791+Z791+AB791),0)</f>
        <v/>
      </c>
      <c r="AD791" s="16">
        <f>AG791</f>
        <v/>
      </c>
      <c r="AE791" s="16">
        <f>AI791</f>
        <v/>
      </c>
      <c r="AF791" s="16">
        <f>AC791+AD791+AE791</f>
        <v/>
      </c>
      <c r="AG791" s="16" t="n"/>
      <c r="AH791" s="17" t="n"/>
      <c r="AI791" s="17">
        <f>AH791*4</f>
        <v/>
      </c>
      <c r="AJ791" s="15">
        <f>AF791-AG791-AH791-AI791</f>
        <v/>
      </c>
      <c r="AK791" s="18" t="n">
        <v>784</v>
      </c>
      <c r="AL791" s="23" t="n"/>
    </row>
    <row r="792" ht="23.5" customHeight="1">
      <c r="A792" s="6" t="inlineStr">
        <is>
          <t>785</t>
        </is>
      </c>
      <c r="B792" s="24" t="n"/>
      <c r="C792" s="55" t="n"/>
      <c r="D792" s="19" t="n"/>
      <c r="E792" s="24" t="n"/>
      <c r="F792" s="25" t="n"/>
      <c r="G792" s="25" t="n"/>
      <c r="H792" s="25" t="n"/>
      <c r="I792" s="11" t="n"/>
      <c r="J792" s="57" t="n"/>
      <c r="K792" s="12" t="n"/>
      <c r="L792" s="22" t="n"/>
      <c r="M792" s="13" t="n"/>
      <c r="N792" s="14">
        <f>ROUND(I792*(SUM(J792:M792))*68%,0)</f>
        <v/>
      </c>
      <c r="O792" s="61" t="n"/>
      <c r="P792" s="59" t="n"/>
      <c r="Q792" s="59" t="n"/>
      <c r="R792" s="58" t="n"/>
      <c r="S792" s="15">
        <f>I792*J792</f>
        <v/>
      </c>
      <c r="T792" s="15">
        <f>SUM(S792:S792)*68%</f>
        <v/>
      </c>
      <c r="U792" s="15">
        <f>I792*K792*40%*O792</f>
        <v/>
      </c>
      <c r="V792" s="15">
        <f>IF(P792&gt;=6750,(I792*K792*40%),0)</f>
        <v/>
      </c>
      <c r="W792" s="15">
        <f>IF(P792&lt;6750,0,IF(Q792="",0,IF(OR(Q792="KURANG",Q792="SANGAT KURANG"),I792*K792*10%,I792*K792*20%)))</f>
        <v/>
      </c>
      <c r="X792" s="15">
        <f>SUM(U792:W792)*68%</f>
        <v/>
      </c>
      <c r="Y792" s="15">
        <f>I792*L792</f>
        <v/>
      </c>
      <c r="Z792" s="15">
        <f>Y792 * 68%</f>
        <v/>
      </c>
      <c r="AA792" s="15">
        <f>I792*M792</f>
        <v/>
      </c>
      <c r="AB792" s="15">
        <f>AA792*68%</f>
        <v/>
      </c>
      <c r="AC792" s="16">
        <f>ROUND((T792+X792+Z792+AB792),0)</f>
        <v/>
      </c>
      <c r="AD792" s="16">
        <f>AG792</f>
        <v/>
      </c>
      <c r="AE792" s="16">
        <f>AI792</f>
        <v/>
      </c>
      <c r="AF792" s="16">
        <f>AC792+AD792+AE792</f>
        <v/>
      </c>
      <c r="AG792" s="16" t="n"/>
      <c r="AH792" s="17" t="n"/>
      <c r="AI792" s="17">
        <f>AH792*4</f>
        <v/>
      </c>
      <c r="AJ792" s="15">
        <f>AF792-AG792-AH792-AI792</f>
        <v/>
      </c>
      <c r="AK792" s="18" t="n">
        <v>785</v>
      </c>
      <c r="AL792" s="40" t="n"/>
    </row>
    <row r="793" ht="23.5" customHeight="1">
      <c r="A793" s="6" t="inlineStr">
        <is>
          <t>786</t>
        </is>
      </c>
      <c r="B793" s="24" t="n"/>
      <c r="C793" s="55" t="n"/>
      <c r="D793" s="19" t="n"/>
      <c r="E793" s="24" t="n"/>
      <c r="F793" s="25" t="n"/>
      <c r="G793" s="25" t="n"/>
      <c r="H793" s="25" t="n"/>
      <c r="I793" s="11" t="n"/>
      <c r="J793" s="57" t="n"/>
      <c r="K793" s="12" t="n"/>
      <c r="L793" s="22" t="n"/>
      <c r="M793" s="13" t="n"/>
      <c r="N793" s="14">
        <f>ROUND(I793*(SUM(J793:M793))*68%,0)</f>
        <v/>
      </c>
      <c r="O793" s="61" t="n"/>
      <c r="P793" s="59" t="n"/>
      <c r="Q793" s="59" t="n"/>
      <c r="R793" s="58" t="n"/>
      <c r="S793" s="15">
        <f>I793*J793</f>
        <v/>
      </c>
      <c r="T793" s="15">
        <f>SUM(S793:S793)*68%</f>
        <v/>
      </c>
      <c r="U793" s="15">
        <f>I793*K793*40%*O793</f>
        <v/>
      </c>
      <c r="V793" s="15">
        <f>IF(P793&gt;=6750,(I793*K793*40%),0)</f>
        <v/>
      </c>
      <c r="W793" s="15">
        <f>IF(P793&lt;6750,0,IF(Q793="",0,IF(OR(Q793="KURANG",Q793="SANGAT KURANG"),I793*K793*10%,I793*K793*20%)))</f>
        <v/>
      </c>
      <c r="X793" s="15">
        <f>SUM(U793:W793)*68%</f>
        <v/>
      </c>
      <c r="Y793" s="15">
        <f>I793*L793</f>
        <v/>
      </c>
      <c r="Z793" s="15">
        <f>Y793 * 68%</f>
        <v/>
      </c>
      <c r="AA793" s="15">
        <f>I793*M793</f>
        <v/>
      </c>
      <c r="AB793" s="15">
        <f>AA793*68%</f>
        <v/>
      </c>
      <c r="AC793" s="16">
        <f>ROUND((T793+X793+Z793+AB793),0)</f>
        <v/>
      </c>
      <c r="AD793" s="16">
        <f>AG793</f>
        <v/>
      </c>
      <c r="AE793" s="16">
        <f>AI793</f>
        <v/>
      </c>
      <c r="AF793" s="16">
        <f>AC793+AD793+AE793</f>
        <v/>
      </c>
      <c r="AG793" s="16" t="n"/>
      <c r="AH793" s="17" t="n"/>
      <c r="AI793" s="17">
        <f>AH793*4</f>
        <v/>
      </c>
      <c r="AJ793" s="15">
        <f>AF793-AG793-AH793-AI793</f>
        <v/>
      </c>
      <c r="AK793" s="18" t="n">
        <v>786</v>
      </c>
      <c r="AL793" s="23" t="n"/>
    </row>
    <row r="794" ht="23.5" customHeight="1">
      <c r="A794" s="6" t="inlineStr">
        <is>
          <t>787</t>
        </is>
      </c>
      <c r="B794" s="28" t="n"/>
      <c r="C794" s="55" t="n"/>
      <c r="D794" s="19" t="n"/>
      <c r="E794" s="24" t="n"/>
      <c r="F794" s="25" t="n"/>
      <c r="G794" s="25" t="n"/>
      <c r="H794" s="25" t="n"/>
      <c r="I794" s="11" t="n"/>
      <c r="J794" s="57" t="n"/>
      <c r="K794" s="12" t="n"/>
      <c r="L794" s="22" t="n"/>
      <c r="M794" s="13" t="n"/>
      <c r="N794" s="14">
        <f>ROUND(I794*(SUM(J794:M794))*68%,0)</f>
        <v/>
      </c>
      <c r="O794" s="61" t="n"/>
      <c r="P794" s="59" t="n"/>
      <c r="Q794" s="59" t="n"/>
      <c r="R794" s="58" t="n"/>
      <c r="S794" s="15">
        <f>I794*J794</f>
        <v/>
      </c>
      <c r="T794" s="15">
        <f>SUM(S794:S794)*68%</f>
        <v/>
      </c>
      <c r="U794" s="15">
        <f>I794*K794*40%*O794</f>
        <v/>
      </c>
      <c r="V794" s="15">
        <f>IF(P794&gt;=6750,(I794*K794*40%),0)</f>
        <v/>
      </c>
      <c r="W794" s="15">
        <f>IF(P794&lt;6750,0,IF(Q794="",0,IF(OR(Q794="KURANG",Q794="SANGAT KURANG"),I794*K794*10%,I794*K794*20%)))</f>
        <v/>
      </c>
      <c r="X794" s="15">
        <f>SUM(U794:W794)*68%</f>
        <v/>
      </c>
      <c r="Y794" s="15">
        <f>I794*L794</f>
        <v/>
      </c>
      <c r="Z794" s="15">
        <f>Y794 * 68%</f>
        <v/>
      </c>
      <c r="AA794" s="15">
        <f>I794*M794</f>
        <v/>
      </c>
      <c r="AB794" s="15">
        <f>AA794*68%</f>
        <v/>
      </c>
      <c r="AC794" s="16">
        <f>ROUND((T794+X794+Z794+AB794),0)</f>
        <v/>
      </c>
      <c r="AD794" s="16">
        <f>AG794</f>
        <v/>
      </c>
      <c r="AE794" s="16">
        <f>AI794</f>
        <v/>
      </c>
      <c r="AF794" s="16">
        <f>AC794+AD794+AE794</f>
        <v/>
      </c>
      <c r="AG794" s="16" t="n"/>
      <c r="AH794" s="17" t="n"/>
      <c r="AI794" s="17">
        <f>AH794*4</f>
        <v/>
      </c>
      <c r="AJ794" s="15">
        <f>AF794-AG794-AH794-AI794</f>
        <v/>
      </c>
      <c r="AK794" s="18" t="n">
        <v>787</v>
      </c>
      <c r="AL794" s="23" t="n"/>
    </row>
    <row r="795" ht="23.5" customHeight="1">
      <c r="A795" s="6" t="inlineStr">
        <is>
          <t>788</t>
        </is>
      </c>
      <c r="B795" s="28" t="n"/>
      <c r="C795" s="55" t="n"/>
      <c r="D795" s="19" t="n"/>
      <c r="E795" s="24" t="n"/>
      <c r="F795" s="25" t="n"/>
      <c r="G795" s="25" t="n"/>
      <c r="H795" s="25" t="n"/>
      <c r="I795" s="11" t="n"/>
      <c r="J795" s="57" t="n"/>
      <c r="K795" s="12" t="n"/>
      <c r="L795" s="22" t="n"/>
      <c r="M795" s="13" t="n"/>
      <c r="N795" s="14">
        <f>ROUND(I795*(SUM(J795:M795))*68%,0)</f>
        <v/>
      </c>
      <c r="O795" s="61" t="n"/>
      <c r="P795" s="59" t="n"/>
      <c r="Q795" s="59" t="n"/>
      <c r="R795" s="58" t="n"/>
      <c r="S795" s="15">
        <f>I795*J795</f>
        <v/>
      </c>
      <c r="T795" s="15">
        <f>SUM(S795:S795)*68%</f>
        <v/>
      </c>
      <c r="U795" s="15">
        <f>I795*K795*40%*O795</f>
        <v/>
      </c>
      <c r="V795" s="15">
        <f>IF(P795&gt;=6750,(I795*K795*40%),0)</f>
        <v/>
      </c>
      <c r="W795" s="15">
        <f>IF(P795&lt;6750,0,IF(Q795="",0,IF(OR(Q795="KURANG",Q795="SANGAT KURANG"),I795*K795*10%,I795*K795*20%)))</f>
        <v/>
      </c>
      <c r="X795" s="15">
        <f>SUM(U795:W795)*68%</f>
        <v/>
      </c>
      <c r="Y795" s="15">
        <f>I795*L795</f>
        <v/>
      </c>
      <c r="Z795" s="15">
        <f>Y795 * 68%</f>
        <v/>
      </c>
      <c r="AA795" s="15">
        <f>I795*M795</f>
        <v/>
      </c>
      <c r="AB795" s="15">
        <f>AA795*68%</f>
        <v/>
      </c>
      <c r="AC795" s="16">
        <f>ROUND((T795+X795+Z795+AB795),0)</f>
        <v/>
      </c>
      <c r="AD795" s="16">
        <f>AG795</f>
        <v/>
      </c>
      <c r="AE795" s="16">
        <f>AI795</f>
        <v/>
      </c>
      <c r="AF795" s="16">
        <f>AC795+AD795+AE795</f>
        <v/>
      </c>
      <c r="AG795" s="16" t="n"/>
      <c r="AH795" s="17" t="n"/>
      <c r="AI795" s="17">
        <f>AH795*4</f>
        <v/>
      </c>
      <c r="AJ795" s="15">
        <f>AF795-AG795-AH795-AI795</f>
        <v/>
      </c>
      <c r="AK795" s="18" t="n">
        <v>788</v>
      </c>
      <c r="AL795" s="40" t="n"/>
    </row>
    <row r="796" ht="23.5" customHeight="1">
      <c r="A796" s="6" t="inlineStr">
        <is>
          <t>789</t>
        </is>
      </c>
      <c r="B796" s="24" t="n"/>
      <c r="C796" s="55" t="n"/>
      <c r="D796" s="19" t="n"/>
      <c r="E796" s="24" t="n"/>
      <c r="F796" s="25" t="n"/>
      <c r="G796" s="25" t="n"/>
      <c r="H796" s="25" t="n"/>
      <c r="I796" s="11" t="n"/>
      <c r="J796" s="57" t="n"/>
      <c r="K796" s="12" t="n"/>
      <c r="L796" s="22" t="n"/>
      <c r="M796" s="13" t="n"/>
      <c r="N796" s="14">
        <f>ROUND(I796*(SUM(J796:M796))*68%,0)</f>
        <v/>
      </c>
      <c r="O796" s="61" t="n"/>
      <c r="P796" s="59" t="n"/>
      <c r="Q796" s="59" t="n"/>
      <c r="R796" s="58" t="n"/>
      <c r="S796" s="15">
        <f>I796*J796</f>
        <v/>
      </c>
      <c r="T796" s="15">
        <f>SUM(S796:S796)*68%</f>
        <v/>
      </c>
      <c r="U796" s="15">
        <f>I796*K796*40%*O796</f>
        <v/>
      </c>
      <c r="V796" s="15">
        <f>IF(P796&gt;=6750,(I796*K796*40%),0)</f>
        <v/>
      </c>
      <c r="W796" s="15">
        <f>IF(P796&lt;6750,0,IF(Q796="",0,IF(OR(Q796="KURANG",Q796="SANGAT KURANG"),I796*K796*10%,I796*K796*20%)))</f>
        <v/>
      </c>
      <c r="X796" s="15">
        <f>SUM(U796:W796)*68%</f>
        <v/>
      </c>
      <c r="Y796" s="15">
        <f>I796*L796</f>
        <v/>
      </c>
      <c r="Z796" s="15">
        <f>Y796 * 68%</f>
        <v/>
      </c>
      <c r="AA796" s="15">
        <f>I796*M796</f>
        <v/>
      </c>
      <c r="AB796" s="15">
        <f>AA796*68%</f>
        <v/>
      </c>
      <c r="AC796" s="16">
        <f>ROUND((T796+X796+Z796+AB796),0)</f>
        <v/>
      </c>
      <c r="AD796" s="16">
        <f>AG796</f>
        <v/>
      </c>
      <c r="AE796" s="16">
        <f>AI796</f>
        <v/>
      </c>
      <c r="AF796" s="16">
        <f>AC796+AD796+AE796</f>
        <v/>
      </c>
      <c r="AG796" s="16" t="n"/>
      <c r="AH796" s="17" t="n"/>
      <c r="AI796" s="17">
        <f>AH796*4</f>
        <v/>
      </c>
      <c r="AJ796" s="15">
        <f>AF796-AG796-AH796-AI796</f>
        <v/>
      </c>
      <c r="AK796" s="18" t="n">
        <v>789</v>
      </c>
      <c r="AL796" s="23" t="n"/>
    </row>
    <row r="797" ht="23.5" customHeight="1">
      <c r="A797" s="6" t="inlineStr">
        <is>
          <t>790</t>
        </is>
      </c>
      <c r="B797" s="24" t="n"/>
      <c r="C797" s="55" t="n"/>
      <c r="D797" s="19" t="n"/>
      <c r="E797" s="24" t="n"/>
      <c r="F797" s="25" t="n"/>
      <c r="G797" s="25" t="n"/>
      <c r="H797" s="25" t="n"/>
      <c r="I797" s="11" t="n"/>
      <c r="J797" s="57" t="n"/>
      <c r="K797" s="12" t="n"/>
      <c r="L797" s="22" t="n"/>
      <c r="M797" s="13" t="n"/>
      <c r="N797" s="14">
        <f>ROUND(I797*(SUM(J797:M797))*68%,0)</f>
        <v/>
      </c>
      <c r="O797" s="61" t="n"/>
      <c r="P797" s="59" t="n"/>
      <c r="Q797" s="59" t="n"/>
      <c r="R797" s="58" t="n"/>
      <c r="S797" s="15">
        <f>I797*J797</f>
        <v/>
      </c>
      <c r="T797" s="15">
        <f>SUM(S797:S797)*68%</f>
        <v/>
      </c>
      <c r="U797" s="15">
        <f>I797*K797*40%*O797</f>
        <v/>
      </c>
      <c r="V797" s="15">
        <f>IF(P797&gt;=6750,(I797*K797*40%),0)</f>
        <v/>
      </c>
      <c r="W797" s="15">
        <f>IF(P797&lt;6750,0,IF(Q797="",0,IF(OR(Q797="KURANG",Q797="SANGAT KURANG"),I797*K797*10%,I797*K797*20%)))</f>
        <v/>
      </c>
      <c r="X797" s="15">
        <f>SUM(U797:W797)*68%</f>
        <v/>
      </c>
      <c r="Y797" s="15">
        <f>I797*L797</f>
        <v/>
      </c>
      <c r="Z797" s="15">
        <f>Y797 * 68%</f>
        <v/>
      </c>
      <c r="AA797" s="15">
        <f>I797*M797</f>
        <v/>
      </c>
      <c r="AB797" s="15">
        <f>AA797*68%</f>
        <v/>
      </c>
      <c r="AC797" s="16">
        <f>ROUND((T797+X797+Z797+AB797),0)</f>
        <v/>
      </c>
      <c r="AD797" s="16">
        <f>AG797</f>
        <v/>
      </c>
      <c r="AE797" s="16">
        <f>AI797</f>
        <v/>
      </c>
      <c r="AF797" s="16">
        <f>AC797+AD797+AE797</f>
        <v/>
      </c>
      <c r="AG797" s="16" t="n"/>
      <c r="AH797" s="17" t="n"/>
      <c r="AI797" s="17">
        <f>AH797*4</f>
        <v/>
      </c>
      <c r="AJ797" s="15">
        <f>AF797-AG797-AH797-AI797</f>
        <v/>
      </c>
      <c r="AK797" s="18" t="n">
        <v>790</v>
      </c>
      <c r="AL797" s="23" t="n"/>
    </row>
    <row r="798" ht="23.5" customHeight="1">
      <c r="A798" s="6" t="inlineStr">
        <is>
          <t>791</t>
        </is>
      </c>
      <c r="B798" s="24" t="n"/>
      <c r="C798" s="55" t="n"/>
      <c r="D798" s="19" t="n"/>
      <c r="E798" s="24" t="n"/>
      <c r="F798" s="25" t="n"/>
      <c r="G798" s="25" t="n"/>
      <c r="H798" s="25" t="n"/>
      <c r="I798" s="11" t="n"/>
      <c r="J798" s="57" t="n"/>
      <c r="K798" s="12" t="n"/>
      <c r="L798" s="22" t="n"/>
      <c r="M798" s="13" t="n"/>
      <c r="N798" s="14">
        <f>ROUND(I798*(SUM(J798:M798))*68%,0)</f>
        <v/>
      </c>
      <c r="O798" s="61" t="n"/>
      <c r="P798" s="59" t="n"/>
      <c r="Q798" s="59" t="n"/>
      <c r="R798" s="58" t="n"/>
      <c r="S798" s="15">
        <f>I798*J798</f>
        <v/>
      </c>
      <c r="T798" s="15">
        <f>SUM(S798:S798)*68%</f>
        <v/>
      </c>
      <c r="U798" s="15">
        <f>I798*K798*40%*O798</f>
        <v/>
      </c>
      <c r="V798" s="15">
        <f>IF(P798&gt;=6750,(I798*K798*40%),0)</f>
        <v/>
      </c>
      <c r="W798" s="15">
        <f>IF(P798&lt;6750,0,IF(Q798="",0,IF(OR(Q798="KURANG",Q798="SANGAT KURANG"),I798*K798*10%,I798*K798*20%)))</f>
        <v/>
      </c>
      <c r="X798" s="15">
        <f>SUM(U798:W798)*68%</f>
        <v/>
      </c>
      <c r="Y798" s="15">
        <f>I798*L798</f>
        <v/>
      </c>
      <c r="Z798" s="15">
        <f>Y798 * 68%</f>
        <v/>
      </c>
      <c r="AA798" s="15">
        <f>I798*M798</f>
        <v/>
      </c>
      <c r="AB798" s="15">
        <f>AA798*68%</f>
        <v/>
      </c>
      <c r="AC798" s="16">
        <f>ROUND((T798+X798+Z798+AB798),0)</f>
        <v/>
      </c>
      <c r="AD798" s="16">
        <f>AG798</f>
        <v/>
      </c>
      <c r="AE798" s="16">
        <f>AI798</f>
        <v/>
      </c>
      <c r="AF798" s="16">
        <f>AC798+AD798+AE798</f>
        <v/>
      </c>
      <c r="AG798" s="16" t="n"/>
      <c r="AH798" s="17" t="n"/>
      <c r="AI798" s="17">
        <f>AH798*4</f>
        <v/>
      </c>
      <c r="AJ798" s="15">
        <f>AF798-AG798-AH798-AI798</f>
        <v/>
      </c>
      <c r="AK798" s="18" t="n">
        <v>791</v>
      </c>
      <c r="AL798" s="40" t="n"/>
    </row>
    <row r="799" ht="23.5" customHeight="1">
      <c r="A799" s="6" t="inlineStr">
        <is>
          <t>792</t>
        </is>
      </c>
      <c r="B799" s="24" t="n"/>
      <c r="C799" s="55" t="n"/>
      <c r="D799" s="19" t="n"/>
      <c r="E799" s="24" t="n"/>
      <c r="F799" s="25" t="n"/>
      <c r="G799" s="25" t="n"/>
      <c r="H799" s="25" t="n"/>
      <c r="I799" s="11" t="n"/>
      <c r="J799" s="57" t="n"/>
      <c r="K799" s="12" t="n"/>
      <c r="L799" s="22" t="n"/>
      <c r="M799" s="13" t="n"/>
      <c r="N799" s="14">
        <f>ROUND(I799*(SUM(J799:M799))*68%,0)</f>
        <v/>
      </c>
      <c r="O799" s="61" t="n"/>
      <c r="P799" s="59" t="n"/>
      <c r="Q799" s="59" t="n"/>
      <c r="R799" s="58" t="n"/>
      <c r="S799" s="15">
        <f>I799*J799</f>
        <v/>
      </c>
      <c r="T799" s="15">
        <f>SUM(S799:S799)*68%</f>
        <v/>
      </c>
      <c r="U799" s="15">
        <f>I799*K799*40%*O799</f>
        <v/>
      </c>
      <c r="V799" s="15">
        <f>IF(P799&gt;=6750,(I799*K799*40%),0)</f>
        <v/>
      </c>
      <c r="W799" s="15">
        <f>IF(P799&lt;6750,0,IF(Q799="",0,IF(OR(Q799="KURANG",Q799="SANGAT KURANG"),I799*K799*10%,I799*K799*20%)))</f>
        <v/>
      </c>
      <c r="X799" s="15">
        <f>SUM(U799:W799)*68%</f>
        <v/>
      </c>
      <c r="Y799" s="15">
        <f>I799*L799</f>
        <v/>
      </c>
      <c r="Z799" s="15">
        <f>Y799 * 68%</f>
        <v/>
      </c>
      <c r="AA799" s="15">
        <f>I799*M799</f>
        <v/>
      </c>
      <c r="AB799" s="15">
        <f>AA799*68%</f>
        <v/>
      </c>
      <c r="AC799" s="16">
        <f>ROUND((T799+X799+Z799+AB799),0)</f>
        <v/>
      </c>
      <c r="AD799" s="16">
        <f>AG799</f>
        <v/>
      </c>
      <c r="AE799" s="16">
        <f>AI799</f>
        <v/>
      </c>
      <c r="AF799" s="16">
        <f>AC799+AD799+AE799</f>
        <v/>
      </c>
      <c r="AG799" s="16" t="n"/>
      <c r="AH799" s="17" t="n"/>
      <c r="AI799" s="17">
        <f>AH799*4</f>
        <v/>
      </c>
      <c r="AJ799" s="15">
        <f>AF799-AG799-AH799-AI799</f>
        <v/>
      </c>
      <c r="AK799" s="18" t="n">
        <v>792</v>
      </c>
      <c r="AL799" s="23" t="n"/>
    </row>
    <row r="800" ht="23.5" customHeight="1">
      <c r="A800" s="6" t="inlineStr">
        <is>
          <t>793</t>
        </is>
      </c>
      <c r="B800" s="24" t="n"/>
      <c r="C800" s="55" t="n"/>
      <c r="D800" s="19" t="n"/>
      <c r="E800" s="24" t="n"/>
      <c r="F800" s="25" t="n"/>
      <c r="G800" s="25" t="n"/>
      <c r="H800" s="25" t="n"/>
      <c r="I800" s="11" t="n"/>
      <c r="J800" s="57" t="n"/>
      <c r="K800" s="12" t="n"/>
      <c r="L800" s="22" t="n"/>
      <c r="M800" s="13" t="n"/>
      <c r="N800" s="14">
        <f>ROUND(I800*(SUM(J800:M800))*68%,0)</f>
        <v/>
      </c>
      <c r="O800" s="61" t="n"/>
      <c r="P800" s="59" t="n"/>
      <c r="Q800" s="59" t="n"/>
      <c r="R800" s="58" t="n"/>
      <c r="S800" s="15">
        <f>I800*J800</f>
        <v/>
      </c>
      <c r="T800" s="15">
        <f>SUM(S800:S800)*68%</f>
        <v/>
      </c>
      <c r="U800" s="15">
        <f>I800*K800*40%*O800</f>
        <v/>
      </c>
      <c r="V800" s="15">
        <f>IF(P800&gt;=6750,(I800*K800*40%),0)</f>
        <v/>
      </c>
      <c r="W800" s="15">
        <f>IF(P800&lt;6750,0,IF(Q800="",0,IF(OR(Q800="KURANG",Q800="SANGAT KURANG"),I800*K800*10%,I800*K800*20%)))</f>
        <v/>
      </c>
      <c r="X800" s="15">
        <f>SUM(U800:W800)*68%</f>
        <v/>
      </c>
      <c r="Y800" s="15">
        <f>I800*L800</f>
        <v/>
      </c>
      <c r="Z800" s="15">
        <f>Y800 * 68%</f>
        <v/>
      </c>
      <c r="AA800" s="15">
        <f>I800*M800</f>
        <v/>
      </c>
      <c r="AB800" s="15">
        <f>AA800*68%</f>
        <v/>
      </c>
      <c r="AC800" s="16">
        <f>ROUND((T800+X800+Z800+AB800),0)</f>
        <v/>
      </c>
      <c r="AD800" s="16">
        <f>AG800</f>
        <v/>
      </c>
      <c r="AE800" s="16">
        <f>AI800</f>
        <v/>
      </c>
      <c r="AF800" s="16">
        <f>AC800+AD800+AE800</f>
        <v/>
      </c>
      <c r="AG800" s="16" t="n"/>
      <c r="AH800" s="17" t="n"/>
      <c r="AI800" s="17">
        <f>AH800*4</f>
        <v/>
      </c>
      <c r="AJ800" s="15">
        <f>AF800-AG800-AH800-AI800</f>
        <v/>
      </c>
      <c r="AK800" s="18" t="n">
        <v>793</v>
      </c>
      <c r="AL800" s="23" t="n"/>
    </row>
    <row r="801" ht="23.5" customHeight="1">
      <c r="A801" s="6" t="inlineStr">
        <is>
          <t>794</t>
        </is>
      </c>
      <c r="B801" s="24" t="n"/>
      <c r="C801" s="55" t="n"/>
      <c r="D801" s="19" t="n"/>
      <c r="E801" s="24" t="n"/>
      <c r="F801" s="25" t="n"/>
      <c r="G801" s="25" t="n"/>
      <c r="H801" s="25" t="n"/>
      <c r="I801" s="11" t="n"/>
      <c r="J801" s="57" t="n"/>
      <c r="K801" s="12" t="n"/>
      <c r="L801" s="22" t="n"/>
      <c r="M801" s="13" t="n"/>
      <c r="N801" s="14">
        <f>ROUND(I801*(SUM(J801:M801))*68%,0)</f>
        <v/>
      </c>
      <c r="O801" s="61" t="n"/>
      <c r="P801" s="59" t="n"/>
      <c r="Q801" s="59" t="n"/>
      <c r="R801" s="58" t="n"/>
      <c r="S801" s="15">
        <f>I801*J801</f>
        <v/>
      </c>
      <c r="T801" s="15">
        <f>SUM(S801:S801)*68%</f>
        <v/>
      </c>
      <c r="U801" s="15">
        <f>I801*K801*40%*O801</f>
        <v/>
      </c>
      <c r="V801" s="15">
        <f>IF(P801&gt;=6750,(I801*K801*40%),0)</f>
        <v/>
      </c>
      <c r="W801" s="15">
        <f>IF(P801&lt;6750,0,IF(Q801="",0,IF(OR(Q801="KURANG",Q801="SANGAT KURANG"),I801*K801*10%,I801*K801*20%)))</f>
        <v/>
      </c>
      <c r="X801" s="15">
        <f>SUM(U801:W801)*68%</f>
        <v/>
      </c>
      <c r="Y801" s="15">
        <f>I801*L801</f>
        <v/>
      </c>
      <c r="Z801" s="15">
        <f>Y801 * 68%</f>
        <v/>
      </c>
      <c r="AA801" s="15">
        <f>I801*M801</f>
        <v/>
      </c>
      <c r="AB801" s="15">
        <f>AA801*68%</f>
        <v/>
      </c>
      <c r="AC801" s="16">
        <f>ROUND((T801+X801+Z801+AB801),0)</f>
        <v/>
      </c>
      <c r="AD801" s="16">
        <f>AG801</f>
        <v/>
      </c>
      <c r="AE801" s="16">
        <f>AI801</f>
        <v/>
      </c>
      <c r="AF801" s="16">
        <f>AC801+AD801+AE801</f>
        <v/>
      </c>
      <c r="AG801" s="16" t="n"/>
      <c r="AH801" s="17" t="n"/>
      <c r="AI801" s="17">
        <f>AH801*4</f>
        <v/>
      </c>
      <c r="AJ801" s="15">
        <f>AF801-AG801-AH801-AI801</f>
        <v/>
      </c>
      <c r="AK801" s="18" t="n">
        <v>794</v>
      </c>
      <c r="AL801" s="40" t="n"/>
    </row>
    <row r="802" ht="23.5" customHeight="1">
      <c r="A802" s="6" t="inlineStr">
        <is>
          <t>795</t>
        </is>
      </c>
      <c r="B802" s="28" t="n"/>
      <c r="C802" s="55" t="n"/>
      <c r="D802" s="19" t="n"/>
      <c r="E802" s="24" t="n"/>
      <c r="F802" s="25" t="n"/>
      <c r="G802" s="25" t="n"/>
      <c r="H802" s="25" t="n"/>
      <c r="I802" s="11" t="n"/>
      <c r="J802" s="57" t="n"/>
      <c r="K802" s="12" t="n"/>
      <c r="L802" s="22" t="n"/>
      <c r="M802" s="13" t="n"/>
      <c r="N802" s="14">
        <f>ROUND(I802*(SUM(J802:M802))*68%,0)</f>
        <v/>
      </c>
      <c r="O802" s="61" t="n"/>
      <c r="P802" s="59" t="n"/>
      <c r="Q802" s="59" t="n"/>
      <c r="R802" s="58" t="n"/>
      <c r="S802" s="15">
        <f>I802*J802</f>
        <v/>
      </c>
      <c r="T802" s="15">
        <f>SUM(S802:S802)*68%</f>
        <v/>
      </c>
      <c r="U802" s="15">
        <f>I802*K802*40%*O802</f>
        <v/>
      </c>
      <c r="V802" s="15">
        <f>IF(P802&gt;=6750,(I802*K802*40%),0)</f>
        <v/>
      </c>
      <c r="W802" s="15">
        <f>IF(P802&lt;6750,0,IF(Q802="",0,IF(OR(Q802="KURANG",Q802="SANGAT KURANG"),I802*K802*10%,I802*K802*20%)))</f>
        <v/>
      </c>
      <c r="X802" s="15">
        <f>SUM(U802:W802)*68%</f>
        <v/>
      </c>
      <c r="Y802" s="15">
        <f>I802*L802</f>
        <v/>
      </c>
      <c r="Z802" s="15">
        <f>Y802 * 68%</f>
        <v/>
      </c>
      <c r="AA802" s="15">
        <f>I802*M802</f>
        <v/>
      </c>
      <c r="AB802" s="15">
        <f>AA802*68%</f>
        <v/>
      </c>
      <c r="AC802" s="16">
        <f>ROUND((T802+X802+Z802+AB802),0)</f>
        <v/>
      </c>
      <c r="AD802" s="16">
        <f>AG802</f>
        <v/>
      </c>
      <c r="AE802" s="16">
        <f>AI802</f>
        <v/>
      </c>
      <c r="AF802" s="16">
        <f>AC802+AD802+AE802</f>
        <v/>
      </c>
      <c r="AG802" s="16" t="n"/>
      <c r="AH802" s="17" t="n"/>
      <c r="AI802" s="17">
        <f>AH802*4</f>
        <v/>
      </c>
      <c r="AJ802" s="15">
        <f>AF802-AG802-AH802-AI802</f>
        <v/>
      </c>
      <c r="AK802" s="18" t="n">
        <v>795</v>
      </c>
      <c r="AL802" s="23" t="n"/>
    </row>
    <row r="803" ht="23.5" customHeight="1">
      <c r="A803" s="6" t="inlineStr">
        <is>
          <t>796</t>
        </is>
      </c>
      <c r="B803" s="28" t="n"/>
      <c r="C803" s="55" t="n"/>
      <c r="D803" s="19" t="n"/>
      <c r="E803" s="24" t="n"/>
      <c r="F803" s="25" t="n"/>
      <c r="G803" s="25" t="n"/>
      <c r="H803" s="25" t="n"/>
      <c r="I803" s="11" t="n"/>
      <c r="J803" s="57" t="n"/>
      <c r="K803" s="12" t="n"/>
      <c r="L803" s="22" t="n"/>
      <c r="M803" s="13" t="n"/>
      <c r="N803" s="14">
        <f>ROUND(I803*(SUM(J803:M803))*68%,0)</f>
        <v/>
      </c>
      <c r="O803" s="61" t="n"/>
      <c r="P803" s="59" t="n"/>
      <c r="Q803" s="59" t="n"/>
      <c r="R803" s="58" t="n"/>
      <c r="S803" s="15">
        <f>I803*J803</f>
        <v/>
      </c>
      <c r="T803" s="15">
        <f>SUM(S803:S803)*68%</f>
        <v/>
      </c>
      <c r="U803" s="15">
        <f>I803*K803*40%*O803</f>
        <v/>
      </c>
      <c r="V803" s="15">
        <f>IF(P803&gt;=6750,(I803*K803*40%),0)</f>
        <v/>
      </c>
      <c r="W803" s="15">
        <f>IF(P803&lt;6750,0,IF(Q803="",0,IF(OR(Q803="KURANG",Q803="SANGAT KURANG"),I803*K803*10%,I803*K803*20%)))</f>
        <v/>
      </c>
      <c r="X803" s="15">
        <f>SUM(U803:W803)*68%</f>
        <v/>
      </c>
      <c r="Y803" s="15">
        <f>I803*L803</f>
        <v/>
      </c>
      <c r="Z803" s="15">
        <f>Y803 * 68%</f>
        <v/>
      </c>
      <c r="AA803" s="15">
        <f>I803*M803</f>
        <v/>
      </c>
      <c r="AB803" s="15">
        <f>AA803*68%</f>
        <v/>
      </c>
      <c r="AC803" s="16">
        <f>ROUND((T803+X803+Z803+AB803),0)</f>
        <v/>
      </c>
      <c r="AD803" s="16">
        <f>AG803</f>
        <v/>
      </c>
      <c r="AE803" s="16">
        <f>AI803</f>
        <v/>
      </c>
      <c r="AF803" s="16">
        <f>AC803+AD803+AE803</f>
        <v/>
      </c>
      <c r="AG803" s="16" t="n"/>
      <c r="AH803" s="17" t="n"/>
      <c r="AI803" s="17">
        <f>AH803*4</f>
        <v/>
      </c>
      <c r="AJ803" s="15">
        <f>AF803-AG803-AH803-AI803</f>
        <v/>
      </c>
      <c r="AK803" s="18" t="n">
        <v>796</v>
      </c>
      <c r="AL803" s="23" t="n"/>
    </row>
    <row r="804" ht="23.5" customHeight="1">
      <c r="A804" s="6" t="inlineStr">
        <is>
          <t>797</t>
        </is>
      </c>
      <c r="B804" s="24" t="n"/>
      <c r="C804" s="55" t="n"/>
      <c r="D804" s="19" t="n"/>
      <c r="E804" s="24" t="n"/>
      <c r="F804" s="25" t="n"/>
      <c r="G804" s="25" t="n"/>
      <c r="H804" s="25" t="n"/>
      <c r="I804" s="11" t="n"/>
      <c r="J804" s="57" t="n"/>
      <c r="K804" s="12" t="n"/>
      <c r="L804" s="22" t="n"/>
      <c r="M804" s="13" t="n"/>
      <c r="N804" s="14">
        <f>ROUND(I804*(SUM(J804:M804))*68%,0)</f>
        <v/>
      </c>
      <c r="O804" s="61" t="n"/>
      <c r="P804" s="59" t="n"/>
      <c r="Q804" s="59" t="n"/>
      <c r="R804" s="58" t="n"/>
      <c r="S804" s="15">
        <f>I804*J804</f>
        <v/>
      </c>
      <c r="T804" s="15">
        <f>SUM(S804:S804)*68%</f>
        <v/>
      </c>
      <c r="U804" s="15">
        <f>I804*K804*40%*O804</f>
        <v/>
      </c>
      <c r="V804" s="15">
        <f>IF(P804&gt;=6750,(I804*K804*40%),0)</f>
        <v/>
      </c>
      <c r="W804" s="15">
        <f>IF(P804&lt;6750,0,IF(Q804="",0,IF(OR(Q804="KURANG",Q804="SANGAT KURANG"),I804*K804*10%,I804*K804*20%)))</f>
        <v/>
      </c>
      <c r="X804" s="15">
        <f>SUM(U804:W804)*68%</f>
        <v/>
      </c>
      <c r="Y804" s="15">
        <f>I804*L804</f>
        <v/>
      </c>
      <c r="Z804" s="15">
        <f>Y804 * 68%</f>
        <v/>
      </c>
      <c r="AA804" s="15">
        <f>I804*M804</f>
        <v/>
      </c>
      <c r="AB804" s="15">
        <f>AA804*68%</f>
        <v/>
      </c>
      <c r="AC804" s="16">
        <f>ROUND((T804+X804+Z804+AB804),0)</f>
        <v/>
      </c>
      <c r="AD804" s="16">
        <f>AG804</f>
        <v/>
      </c>
      <c r="AE804" s="16">
        <f>AI804</f>
        <v/>
      </c>
      <c r="AF804" s="16">
        <f>AC804+AD804+AE804</f>
        <v/>
      </c>
      <c r="AG804" s="16" t="n"/>
      <c r="AH804" s="17" t="n"/>
      <c r="AI804" s="17">
        <f>AH804*4</f>
        <v/>
      </c>
      <c r="AJ804" s="15">
        <f>AF804-AG804-AH804-AI804</f>
        <v/>
      </c>
      <c r="AK804" s="18" t="n">
        <v>797</v>
      </c>
      <c r="AL804" s="40" t="n"/>
    </row>
    <row r="805" ht="23.5" customHeight="1">
      <c r="A805" s="6" t="inlineStr">
        <is>
          <t>798</t>
        </is>
      </c>
      <c r="B805" s="24" t="n"/>
      <c r="C805" s="55" t="n"/>
      <c r="D805" s="19" t="n"/>
      <c r="E805" s="24" t="n"/>
      <c r="F805" s="25" t="n"/>
      <c r="G805" s="25" t="n"/>
      <c r="H805" s="25" t="n"/>
      <c r="I805" s="11" t="n"/>
      <c r="J805" s="57" t="n"/>
      <c r="K805" s="12" t="n"/>
      <c r="L805" s="22" t="n"/>
      <c r="M805" s="13" t="n"/>
      <c r="N805" s="14">
        <f>ROUND(I805*(SUM(J805:M805))*68%,0)</f>
        <v/>
      </c>
      <c r="O805" s="61" t="n"/>
      <c r="P805" s="59" t="n"/>
      <c r="Q805" s="59" t="n"/>
      <c r="R805" s="58" t="n"/>
      <c r="S805" s="15">
        <f>I805*J805</f>
        <v/>
      </c>
      <c r="T805" s="15">
        <f>SUM(S805:S805)*68%</f>
        <v/>
      </c>
      <c r="U805" s="15">
        <f>I805*K805*40%*O805</f>
        <v/>
      </c>
      <c r="V805" s="15">
        <f>IF(P805&gt;=6750,(I805*K805*40%),0)</f>
        <v/>
      </c>
      <c r="W805" s="15">
        <f>IF(P805&lt;6750,0,IF(Q805="",0,IF(OR(Q805="KURANG",Q805="SANGAT KURANG"),I805*K805*10%,I805*K805*20%)))</f>
        <v/>
      </c>
      <c r="X805" s="15">
        <f>SUM(U805:W805)*68%</f>
        <v/>
      </c>
      <c r="Y805" s="15">
        <f>I805*L805</f>
        <v/>
      </c>
      <c r="Z805" s="15">
        <f>Y805 * 68%</f>
        <v/>
      </c>
      <c r="AA805" s="15">
        <f>I805*M805</f>
        <v/>
      </c>
      <c r="AB805" s="15">
        <f>AA805*68%</f>
        <v/>
      </c>
      <c r="AC805" s="16">
        <f>ROUND((T805+X805+Z805+AB805),0)</f>
        <v/>
      </c>
      <c r="AD805" s="16">
        <f>AG805</f>
        <v/>
      </c>
      <c r="AE805" s="16">
        <f>AI805</f>
        <v/>
      </c>
      <c r="AF805" s="16">
        <f>AC805+AD805+AE805</f>
        <v/>
      </c>
      <c r="AG805" s="16" t="n"/>
      <c r="AH805" s="17" t="n"/>
      <c r="AI805" s="17">
        <f>AH805*4</f>
        <v/>
      </c>
      <c r="AJ805" s="15">
        <f>AF805-AG805-AH805-AI805</f>
        <v/>
      </c>
      <c r="AK805" s="18" t="n">
        <v>798</v>
      </c>
      <c r="AL805" s="23" t="n"/>
    </row>
    <row r="806" ht="23.5" customHeight="1">
      <c r="A806" s="6" t="inlineStr">
        <is>
          <t>799</t>
        </is>
      </c>
      <c r="B806" s="24" t="n"/>
      <c r="C806" s="55" t="n"/>
      <c r="D806" s="19" t="n"/>
      <c r="E806" s="24" t="n"/>
      <c r="F806" s="25" t="n"/>
      <c r="G806" s="25" t="n"/>
      <c r="H806" s="25" t="n"/>
      <c r="I806" s="11" t="n"/>
      <c r="J806" s="57" t="n"/>
      <c r="K806" s="12" t="n"/>
      <c r="L806" s="22" t="n"/>
      <c r="M806" s="13" t="n"/>
      <c r="N806" s="14">
        <f>ROUND(I806*(SUM(J806:M806))*68%,0)</f>
        <v/>
      </c>
      <c r="O806" s="61" t="n"/>
      <c r="P806" s="59" t="n"/>
      <c r="Q806" s="59" t="n"/>
      <c r="R806" s="58" t="n"/>
      <c r="S806" s="15">
        <f>I806*J806</f>
        <v/>
      </c>
      <c r="T806" s="15">
        <f>SUM(S806:S806)*68%</f>
        <v/>
      </c>
      <c r="U806" s="15">
        <f>I806*K806*40%*O806</f>
        <v/>
      </c>
      <c r="V806" s="15">
        <f>IF(P806&gt;=6750,(I806*K806*40%),0)</f>
        <v/>
      </c>
      <c r="W806" s="15">
        <f>IF(P806&lt;6750,0,IF(Q806="",0,IF(OR(Q806="KURANG",Q806="SANGAT KURANG"),I806*K806*10%,I806*K806*20%)))</f>
        <v/>
      </c>
      <c r="X806" s="15">
        <f>SUM(U806:W806)*68%</f>
        <v/>
      </c>
      <c r="Y806" s="15">
        <f>I806*L806</f>
        <v/>
      </c>
      <c r="Z806" s="15">
        <f>Y806 * 68%</f>
        <v/>
      </c>
      <c r="AA806" s="15">
        <f>I806*M806</f>
        <v/>
      </c>
      <c r="AB806" s="15">
        <f>AA806*68%</f>
        <v/>
      </c>
      <c r="AC806" s="16">
        <f>ROUND((T806+X806+Z806+AB806),0)</f>
        <v/>
      </c>
      <c r="AD806" s="16">
        <f>AG806</f>
        <v/>
      </c>
      <c r="AE806" s="16">
        <f>AI806</f>
        <v/>
      </c>
      <c r="AF806" s="16">
        <f>AC806+AD806+AE806</f>
        <v/>
      </c>
      <c r="AG806" s="16" t="n"/>
      <c r="AH806" s="17" t="n"/>
      <c r="AI806" s="17">
        <f>AH806*4</f>
        <v/>
      </c>
      <c r="AJ806" s="15">
        <f>AF806-AG806-AH806-AI806</f>
        <v/>
      </c>
      <c r="AK806" s="18" t="n">
        <v>799</v>
      </c>
      <c r="AL806" s="23" t="n"/>
    </row>
    <row r="807" ht="23.5" customHeight="1">
      <c r="A807" s="6" t="inlineStr">
        <is>
          <t>800</t>
        </is>
      </c>
      <c r="B807" s="24" t="n"/>
      <c r="C807" s="55" t="n"/>
      <c r="D807" s="19" t="n"/>
      <c r="E807" s="24" t="n"/>
      <c r="F807" s="25" t="n"/>
      <c r="G807" s="25" t="n"/>
      <c r="H807" s="25" t="n"/>
      <c r="I807" s="11" t="n"/>
      <c r="J807" s="57" t="n"/>
      <c r="K807" s="12" t="n"/>
      <c r="L807" s="22" t="n"/>
      <c r="M807" s="13" t="n"/>
      <c r="N807" s="14">
        <f>ROUND(I807*(SUM(J807:M807))*68%,0)</f>
        <v/>
      </c>
      <c r="O807" s="61" t="n"/>
      <c r="P807" s="59" t="n"/>
      <c r="Q807" s="59" t="n"/>
      <c r="R807" s="58" t="n"/>
      <c r="S807" s="15">
        <f>I807*J807</f>
        <v/>
      </c>
      <c r="T807" s="15">
        <f>SUM(S807:S807)*68%</f>
        <v/>
      </c>
      <c r="U807" s="15">
        <f>I807*K807*40%*O807</f>
        <v/>
      </c>
      <c r="V807" s="15">
        <f>IF(P807&gt;=6750,(I807*K807*40%),0)</f>
        <v/>
      </c>
      <c r="W807" s="15">
        <f>IF(P807&lt;6750,0,IF(Q807="",0,IF(OR(Q807="KURANG",Q807="SANGAT KURANG"),I807*K807*10%,I807*K807*20%)))</f>
        <v/>
      </c>
      <c r="X807" s="15">
        <f>SUM(U807:W807)*68%</f>
        <v/>
      </c>
      <c r="Y807" s="15">
        <f>I807*L807</f>
        <v/>
      </c>
      <c r="Z807" s="15">
        <f>Y807 * 68%</f>
        <v/>
      </c>
      <c r="AA807" s="15">
        <f>I807*M807</f>
        <v/>
      </c>
      <c r="AB807" s="15">
        <f>AA807*68%</f>
        <v/>
      </c>
      <c r="AC807" s="16">
        <f>ROUND((T807+X807+Z807+AB807),0)</f>
        <v/>
      </c>
      <c r="AD807" s="16">
        <f>AG807</f>
        <v/>
      </c>
      <c r="AE807" s="16">
        <f>AI807</f>
        <v/>
      </c>
      <c r="AF807" s="16">
        <f>AC807+AD807+AE807</f>
        <v/>
      </c>
      <c r="AG807" s="16" t="n"/>
      <c r="AH807" s="17" t="n"/>
      <c r="AI807" s="17">
        <f>AH807*4</f>
        <v/>
      </c>
      <c r="AJ807" s="15">
        <f>AF807-AG807-AH807-AI807</f>
        <v/>
      </c>
      <c r="AK807" s="18" t="n">
        <v>800</v>
      </c>
      <c r="AL807" s="40" t="n"/>
    </row>
    <row r="808" ht="23.5" customHeight="1">
      <c r="A808" s="6" t="inlineStr">
        <is>
          <t>801</t>
        </is>
      </c>
      <c r="B808" s="24" t="n"/>
      <c r="C808" s="55" t="n"/>
      <c r="D808" s="19" t="n"/>
      <c r="E808" s="24" t="n"/>
      <c r="F808" s="25" t="n"/>
      <c r="G808" s="25" t="n"/>
      <c r="H808" s="25" t="n"/>
      <c r="I808" s="11" t="n"/>
      <c r="J808" s="57" t="n"/>
      <c r="K808" s="12" t="n"/>
      <c r="L808" s="22" t="n"/>
      <c r="M808" s="13" t="n"/>
      <c r="N808" s="14">
        <f>ROUND(I808*(SUM(J808:M808))*68%,0)</f>
        <v/>
      </c>
      <c r="O808" s="61" t="n"/>
      <c r="P808" s="59" t="n"/>
      <c r="Q808" s="59" t="n"/>
      <c r="R808" s="58" t="n"/>
      <c r="S808" s="15">
        <f>I808*J808</f>
        <v/>
      </c>
      <c r="T808" s="15">
        <f>SUM(S808:S808)*68%</f>
        <v/>
      </c>
      <c r="U808" s="15">
        <f>I808*K808*40%*O808</f>
        <v/>
      </c>
      <c r="V808" s="15">
        <f>IF(P808&gt;=6750,(I808*K808*40%),0)</f>
        <v/>
      </c>
      <c r="W808" s="15">
        <f>IF(P808&lt;6750,0,IF(Q808="",0,IF(OR(Q808="KURANG",Q808="SANGAT KURANG"),I808*K808*10%,I808*K808*20%)))</f>
        <v/>
      </c>
      <c r="X808" s="15">
        <f>SUM(U808:W808)*68%</f>
        <v/>
      </c>
      <c r="Y808" s="15">
        <f>I808*L808</f>
        <v/>
      </c>
      <c r="Z808" s="15">
        <f>Y808 * 68%</f>
        <v/>
      </c>
      <c r="AA808" s="15">
        <f>I808*M808</f>
        <v/>
      </c>
      <c r="AB808" s="15">
        <f>AA808*68%</f>
        <v/>
      </c>
      <c r="AC808" s="16">
        <f>ROUND((T808+X808+Z808+AB808),0)</f>
        <v/>
      </c>
      <c r="AD808" s="16">
        <f>AG808</f>
        <v/>
      </c>
      <c r="AE808" s="16">
        <f>AI808</f>
        <v/>
      </c>
      <c r="AF808" s="16">
        <f>AC808+AD808+AE808</f>
        <v/>
      </c>
      <c r="AG808" s="16" t="n"/>
      <c r="AH808" s="17" t="n"/>
      <c r="AI808" s="17">
        <f>AH808*4</f>
        <v/>
      </c>
      <c r="AJ808" s="15">
        <f>AF808-AG808-AH808-AI808</f>
        <v/>
      </c>
      <c r="AK808" s="18" t="n">
        <v>801</v>
      </c>
      <c r="AL808" s="23" t="n"/>
    </row>
    <row r="809" ht="23.5" customHeight="1">
      <c r="A809" s="6" t="inlineStr">
        <is>
          <t>802</t>
        </is>
      </c>
      <c r="B809" s="24" t="n"/>
      <c r="C809" s="55" t="n"/>
      <c r="D809" s="19" t="n"/>
      <c r="E809" s="24" t="n"/>
      <c r="F809" s="25" t="n"/>
      <c r="G809" s="25" t="n"/>
      <c r="H809" s="25" t="n"/>
      <c r="I809" s="11" t="n"/>
      <c r="J809" s="57" t="n"/>
      <c r="K809" s="12" t="n"/>
      <c r="L809" s="22" t="n"/>
      <c r="M809" s="13" t="n"/>
      <c r="N809" s="14">
        <f>ROUND(I809*(SUM(J809:M809))*68%,0)</f>
        <v/>
      </c>
      <c r="O809" s="61" t="n"/>
      <c r="P809" s="59" t="n"/>
      <c r="Q809" s="59" t="n"/>
      <c r="R809" s="58" t="n"/>
      <c r="S809" s="15">
        <f>I809*J809</f>
        <v/>
      </c>
      <c r="T809" s="15">
        <f>SUM(S809:S809)*68%</f>
        <v/>
      </c>
      <c r="U809" s="15">
        <f>I809*K809*40%*O809</f>
        <v/>
      </c>
      <c r="V809" s="15">
        <f>IF(P809&gt;=6750,(I809*K809*40%),0)</f>
        <v/>
      </c>
      <c r="W809" s="15">
        <f>IF(P809&lt;6750,0,IF(Q809="",0,IF(OR(Q809="KURANG",Q809="SANGAT KURANG"),I809*K809*10%,I809*K809*20%)))</f>
        <v/>
      </c>
      <c r="X809" s="15">
        <f>SUM(U809:W809)*68%</f>
        <v/>
      </c>
      <c r="Y809" s="15">
        <f>I809*L809</f>
        <v/>
      </c>
      <c r="Z809" s="15">
        <f>Y809 * 68%</f>
        <v/>
      </c>
      <c r="AA809" s="15">
        <f>I809*M809</f>
        <v/>
      </c>
      <c r="AB809" s="15">
        <f>AA809*68%</f>
        <v/>
      </c>
      <c r="AC809" s="16">
        <f>ROUND((T809+X809+Z809+AB809),0)</f>
        <v/>
      </c>
      <c r="AD809" s="16">
        <f>AG809</f>
        <v/>
      </c>
      <c r="AE809" s="16">
        <f>AI809</f>
        <v/>
      </c>
      <c r="AF809" s="16">
        <f>AC809+AD809+AE809</f>
        <v/>
      </c>
      <c r="AG809" s="16" t="n"/>
      <c r="AH809" s="17" t="n"/>
      <c r="AI809" s="17">
        <f>AH809*4</f>
        <v/>
      </c>
      <c r="AJ809" s="15">
        <f>AF809-AG809-AH809-AI809</f>
        <v/>
      </c>
      <c r="AK809" s="18" t="n">
        <v>802</v>
      </c>
      <c r="AL809" s="23" t="n"/>
    </row>
    <row r="810" ht="23.5" customHeight="1">
      <c r="A810" s="6" t="inlineStr">
        <is>
          <t>803</t>
        </is>
      </c>
      <c r="B810" s="24" t="n"/>
      <c r="C810" s="55" t="n"/>
      <c r="D810" s="19" t="n"/>
      <c r="E810" s="24" t="n"/>
      <c r="F810" s="25" t="n"/>
      <c r="G810" s="25" t="n"/>
      <c r="H810" s="25" t="n"/>
      <c r="I810" s="11" t="n"/>
      <c r="J810" s="57" t="n"/>
      <c r="K810" s="12" t="n"/>
      <c r="L810" s="22" t="n"/>
      <c r="M810" s="13" t="n"/>
      <c r="N810" s="14">
        <f>ROUND(I810*(SUM(J810:M810))*68%,0)</f>
        <v/>
      </c>
      <c r="O810" s="61" t="n"/>
      <c r="P810" s="59" t="n"/>
      <c r="Q810" s="59" t="n"/>
      <c r="R810" s="58" t="n"/>
      <c r="S810" s="15">
        <f>I810*J810</f>
        <v/>
      </c>
      <c r="T810" s="15">
        <f>SUM(S810:S810)*68%</f>
        <v/>
      </c>
      <c r="U810" s="15">
        <f>I810*K810*40%*O810</f>
        <v/>
      </c>
      <c r="V810" s="15">
        <f>IF(P810&gt;=6750,(I810*K810*40%),0)</f>
        <v/>
      </c>
      <c r="W810" s="15">
        <f>IF(P810&lt;6750,0,IF(Q810="",0,IF(OR(Q810="KURANG",Q810="SANGAT KURANG"),I810*K810*10%,I810*K810*20%)))</f>
        <v/>
      </c>
      <c r="X810" s="15">
        <f>SUM(U810:W810)*68%</f>
        <v/>
      </c>
      <c r="Y810" s="15">
        <f>I810*L810</f>
        <v/>
      </c>
      <c r="Z810" s="15">
        <f>Y810 * 68%</f>
        <v/>
      </c>
      <c r="AA810" s="15">
        <f>I810*M810</f>
        <v/>
      </c>
      <c r="AB810" s="15">
        <f>AA810*68%</f>
        <v/>
      </c>
      <c r="AC810" s="16">
        <f>ROUND((T810+X810+Z810+AB810),0)</f>
        <v/>
      </c>
      <c r="AD810" s="16">
        <f>AG810</f>
        <v/>
      </c>
      <c r="AE810" s="16">
        <f>AI810</f>
        <v/>
      </c>
      <c r="AF810" s="16">
        <f>AC810+AD810+AE810</f>
        <v/>
      </c>
      <c r="AG810" s="16" t="n"/>
      <c r="AH810" s="17" t="n"/>
      <c r="AI810" s="17">
        <f>AH810*4</f>
        <v/>
      </c>
      <c r="AJ810" s="15">
        <f>AF810-AG810-AH810-AI810</f>
        <v/>
      </c>
      <c r="AK810" s="18" t="n">
        <v>803</v>
      </c>
      <c r="AL810" s="40" t="n"/>
    </row>
    <row r="811" ht="23.5" customHeight="1">
      <c r="A811" s="6" t="inlineStr">
        <is>
          <t>804</t>
        </is>
      </c>
      <c r="B811" s="24" t="n"/>
      <c r="C811" s="55" t="n"/>
      <c r="D811" s="19" t="n"/>
      <c r="E811" s="24" t="n"/>
      <c r="F811" s="25" t="n"/>
      <c r="G811" s="25" t="n"/>
      <c r="H811" s="25" t="n"/>
      <c r="I811" s="11" t="n"/>
      <c r="J811" s="57" t="n"/>
      <c r="K811" s="12" t="n"/>
      <c r="L811" s="22" t="n"/>
      <c r="M811" s="13" t="n"/>
      <c r="N811" s="14">
        <f>ROUND(I811*(SUM(J811:M811))*68%,0)</f>
        <v/>
      </c>
      <c r="O811" s="61" t="n"/>
      <c r="P811" s="59" t="n"/>
      <c r="Q811" s="59" t="n"/>
      <c r="R811" s="58" t="n"/>
      <c r="S811" s="15">
        <f>I811*J811</f>
        <v/>
      </c>
      <c r="T811" s="15">
        <f>SUM(S811:S811)*68%</f>
        <v/>
      </c>
      <c r="U811" s="15">
        <f>I811*K811*40%*O811</f>
        <v/>
      </c>
      <c r="V811" s="15">
        <f>IF(P811&gt;=6750,(I811*K811*40%),0)</f>
        <v/>
      </c>
      <c r="W811" s="15">
        <f>IF(P811&lt;6750,0,IF(Q811="",0,IF(OR(Q811="KURANG",Q811="SANGAT KURANG"),I811*K811*10%,I811*K811*20%)))</f>
        <v/>
      </c>
      <c r="X811" s="15">
        <f>SUM(U811:W811)*68%</f>
        <v/>
      </c>
      <c r="Y811" s="15">
        <f>I811*L811</f>
        <v/>
      </c>
      <c r="Z811" s="15">
        <f>Y811 * 68%</f>
        <v/>
      </c>
      <c r="AA811" s="15">
        <f>I811*M811</f>
        <v/>
      </c>
      <c r="AB811" s="15">
        <f>AA811*68%</f>
        <v/>
      </c>
      <c r="AC811" s="16">
        <f>ROUND((T811+X811+Z811+AB811),0)</f>
        <v/>
      </c>
      <c r="AD811" s="16">
        <f>AG811</f>
        <v/>
      </c>
      <c r="AE811" s="16">
        <f>AI811</f>
        <v/>
      </c>
      <c r="AF811" s="16">
        <f>AC811+AD811+AE811</f>
        <v/>
      </c>
      <c r="AG811" s="16" t="n"/>
      <c r="AH811" s="17" t="n"/>
      <c r="AI811" s="17">
        <f>AH811*4</f>
        <v/>
      </c>
      <c r="AJ811" s="15">
        <f>AF811-AG811-AH811-AI811</f>
        <v/>
      </c>
      <c r="AK811" s="18" t="n">
        <v>804</v>
      </c>
      <c r="AL811" s="23" t="n"/>
    </row>
    <row r="812" ht="23.5" customHeight="1">
      <c r="A812" s="6" t="inlineStr">
        <is>
          <t>805</t>
        </is>
      </c>
      <c r="B812" s="24" t="n"/>
      <c r="C812" s="55" t="n"/>
      <c r="D812" s="19" t="n"/>
      <c r="E812" s="24" t="n"/>
      <c r="F812" s="25" t="n"/>
      <c r="G812" s="25" t="n"/>
      <c r="H812" s="25" t="n"/>
      <c r="I812" s="11" t="n"/>
      <c r="J812" s="57" t="n"/>
      <c r="K812" s="12" t="n"/>
      <c r="L812" s="22" t="n"/>
      <c r="M812" s="13" t="n"/>
      <c r="N812" s="14">
        <f>ROUND(I812*(SUM(J812:M812))*68%,0)</f>
        <v/>
      </c>
      <c r="O812" s="61" t="n"/>
      <c r="P812" s="59" t="n"/>
      <c r="Q812" s="59" t="n"/>
      <c r="R812" s="58" t="n"/>
      <c r="S812" s="15">
        <f>I812*J812</f>
        <v/>
      </c>
      <c r="T812" s="15">
        <f>SUM(S812:S812)*68%</f>
        <v/>
      </c>
      <c r="U812" s="15">
        <f>I812*K812*40%*O812</f>
        <v/>
      </c>
      <c r="V812" s="15">
        <f>IF(P812&gt;=6750,(I812*K812*40%),0)</f>
        <v/>
      </c>
      <c r="W812" s="15">
        <f>IF(P812&lt;6750,0,IF(Q812="",0,IF(OR(Q812="KURANG",Q812="SANGAT KURANG"),I812*K812*10%,I812*K812*20%)))</f>
        <v/>
      </c>
      <c r="X812" s="15">
        <f>SUM(U812:W812)*68%</f>
        <v/>
      </c>
      <c r="Y812" s="15">
        <f>I812*L812</f>
        <v/>
      </c>
      <c r="Z812" s="15">
        <f>Y812 * 68%</f>
        <v/>
      </c>
      <c r="AA812" s="15">
        <f>I812*M812</f>
        <v/>
      </c>
      <c r="AB812" s="15">
        <f>AA812*68%</f>
        <v/>
      </c>
      <c r="AC812" s="16">
        <f>ROUND((T812+X812+Z812+AB812),0)</f>
        <v/>
      </c>
      <c r="AD812" s="16">
        <f>AG812</f>
        <v/>
      </c>
      <c r="AE812" s="16">
        <f>AI812</f>
        <v/>
      </c>
      <c r="AF812" s="16">
        <f>AC812+AD812+AE812</f>
        <v/>
      </c>
      <c r="AG812" s="16" t="n"/>
      <c r="AH812" s="17" t="n"/>
      <c r="AI812" s="17">
        <f>AH812*4</f>
        <v/>
      </c>
      <c r="AJ812" s="15">
        <f>AF812-AG812-AH812-AI812</f>
        <v/>
      </c>
      <c r="AK812" s="18" t="n">
        <v>805</v>
      </c>
      <c r="AL812" s="23" t="n"/>
    </row>
    <row r="813" ht="23.5" customHeight="1">
      <c r="A813" s="6" t="inlineStr">
        <is>
          <t>806</t>
        </is>
      </c>
      <c r="B813" s="24" t="n"/>
      <c r="C813" s="55" t="n"/>
      <c r="D813" s="19" t="n"/>
      <c r="E813" s="24" t="n"/>
      <c r="F813" s="25" t="n"/>
      <c r="G813" s="25" t="n"/>
      <c r="H813" s="25" t="n"/>
      <c r="I813" s="11" t="n"/>
      <c r="J813" s="57" t="n"/>
      <c r="K813" s="12" t="n"/>
      <c r="L813" s="22" t="n"/>
      <c r="M813" s="13" t="n"/>
      <c r="N813" s="14">
        <f>ROUND(I813*(SUM(J813:M813))*68%,0)</f>
        <v/>
      </c>
      <c r="O813" s="61" t="n"/>
      <c r="P813" s="59" t="n"/>
      <c r="Q813" s="59" t="n"/>
      <c r="R813" s="58" t="n"/>
      <c r="S813" s="15">
        <f>I813*J813</f>
        <v/>
      </c>
      <c r="T813" s="15">
        <f>SUM(S813:S813)*68%</f>
        <v/>
      </c>
      <c r="U813" s="15">
        <f>I813*K813*40%*O813</f>
        <v/>
      </c>
      <c r="V813" s="15">
        <f>IF(P813&gt;=6750,(I813*K813*40%),0)</f>
        <v/>
      </c>
      <c r="W813" s="15">
        <f>IF(P813&lt;6750,0,IF(Q813="",0,IF(OR(Q813="KURANG",Q813="SANGAT KURANG"),I813*K813*10%,I813*K813*20%)))</f>
        <v/>
      </c>
      <c r="X813" s="15">
        <f>SUM(U813:W813)*68%</f>
        <v/>
      </c>
      <c r="Y813" s="15">
        <f>I813*L813</f>
        <v/>
      </c>
      <c r="Z813" s="15">
        <f>Y813 * 68%</f>
        <v/>
      </c>
      <c r="AA813" s="15">
        <f>I813*M813</f>
        <v/>
      </c>
      <c r="AB813" s="15">
        <f>AA813*68%</f>
        <v/>
      </c>
      <c r="AC813" s="16">
        <f>ROUND((T813+X813+Z813+AB813),0)</f>
        <v/>
      </c>
      <c r="AD813" s="16">
        <f>AG813</f>
        <v/>
      </c>
      <c r="AE813" s="16">
        <f>AI813</f>
        <v/>
      </c>
      <c r="AF813" s="16">
        <f>AC813+AD813+AE813</f>
        <v/>
      </c>
      <c r="AG813" s="16" t="n"/>
      <c r="AH813" s="17" t="n"/>
      <c r="AI813" s="17">
        <f>AH813*4</f>
        <v/>
      </c>
      <c r="AJ813" s="15">
        <f>AF813-AG813-AH813-AI813</f>
        <v/>
      </c>
      <c r="AK813" s="18" t="n">
        <v>806</v>
      </c>
      <c r="AL813" s="40" t="n"/>
    </row>
    <row r="814" ht="23.5" customHeight="1">
      <c r="A814" s="6" t="inlineStr">
        <is>
          <t>807</t>
        </is>
      </c>
      <c r="B814" s="24" t="n"/>
      <c r="C814" s="55" t="n"/>
      <c r="D814" s="19" t="n"/>
      <c r="E814" s="24" t="n"/>
      <c r="F814" s="25" t="n"/>
      <c r="G814" s="25" t="n"/>
      <c r="H814" s="25" t="n"/>
      <c r="I814" s="11" t="n"/>
      <c r="J814" s="57" t="n"/>
      <c r="K814" s="12" t="n"/>
      <c r="L814" s="22" t="n"/>
      <c r="M814" s="13" t="n"/>
      <c r="N814" s="14">
        <f>ROUND(I814*(SUM(J814:M814))*68%,0)</f>
        <v/>
      </c>
      <c r="O814" s="61" t="n"/>
      <c r="P814" s="59" t="n"/>
      <c r="Q814" s="59" t="n"/>
      <c r="R814" s="58" t="n"/>
      <c r="S814" s="15">
        <f>I814*J814</f>
        <v/>
      </c>
      <c r="T814" s="15">
        <f>SUM(S814:S814)*68%</f>
        <v/>
      </c>
      <c r="U814" s="15">
        <f>I814*K814*40%*O814</f>
        <v/>
      </c>
      <c r="V814" s="15">
        <f>IF(P814&gt;=6750,(I814*K814*40%),0)</f>
        <v/>
      </c>
      <c r="W814" s="15">
        <f>IF(P814&lt;6750,0,IF(Q814="",0,IF(OR(Q814="KURANG",Q814="SANGAT KURANG"),I814*K814*10%,I814*K814*20%)))</f>
        <v/>
      </c>
      <c r="X814" s="15">
        <f>SUM(U814:W814)*68%</f>
        <v/>
      </c>
      <c r="Y814" s="15">
        <f>I814*L814</f>
        <v/>
      </c>
      <c r="Z814" s="15">
        <f>Y814 * 68%</f>
        <v/>
      </c>
      <c r="AA814" s="15">
        <f>I814*M814</f>
        <v/>
      </c>
      <c r="AB814" s="15">
        <f>AA814*68%</f>
        <v/>
      </c>
      <c r="AC814" s="16">
        <f>ROUND((T814+X814+Z814+AB814),0)</f>
        <v/>
      </c>
      <c r="AD814" s="16">
        <f>AG814</f>
        <v/>
      </c>
      <c r="AE814" s="16">
        <f>AI814</f>
        <v/>
      </c>
      <c r="AF814" s="16">
        <f>AC814+AD814+AE814</f>
        <v/>
      </c>
      <c r="AG814" s="16" t="n"/>
      <c r="AH814" s="17" t="n"/>
      <c r="AI814" s="17">
        <f>AH814*4</f>
        <v/>
      </c>
      <c r="AJ814" s="15">
        <f>AF814-AG814-AH814-AI814</f>
        <v/>
      </c>
      <c r="AK814" s="18" t="n">
        <v>807</v>
      </c>
      <c r="AL814" s="23" t="n"/>
    </row>
    <row r="815" ht="23.5" customHeight="1">
      <c r="A815" s="6" t="inlineStr">
        <is>
          <t>808</t>
        </is>
      </c>
      <c r="B815" s="28" t="n"/>
      <c r="C815" s="55" t="n"/>
      <c r="D815" s="19" t="n"/>
      <c r="E815" s="24" t="n"/>
      <c r="F815" s="25" t="n"/>
      <c r="G815" s="25" t="n"/>
      <c r="H815" s="24" t="n"/>
      <c r="I815" s="11" t="n"/>
      <c r="J815" s="57" t="n"/>
      <c r="K815" s="12" t="n"/>
      <c r="L815" s="13" t="n"/>
      <c r="M815" s="13" t="n"/>
      <c r="N815" s="14">
        <f>ROUND(I815*(SUM(J815:M815))*68%,0)</f>
        <v/>
      </c>
      <c r="O815" s="61" t="n"/>
      <c r="P815" s="59" t="n"/>
      <c r="Q815" s="59" t="n"/>
      <c r="R815" s="58" t="n"/>
      <c r="S815" s="15">
        <f>I815*J815</f>
        <v/>
      </c>
      <c r="T815" s="15">
        <f>SUM(S815:S815)*68%</f>
        <v/>
      </c>
      <c r="U815" s="15">
        <f>I815*K815*40%*O815</f>
        <v/>
      </c>
      <c r="V815" s="15">
        <f>IF(P815&gt;=6750,(I815*K815*40%),0)</f>
        <v/>
      </c>
      <c r="W815" s="15">
        <f>IF(P815&lt;6750,0,IF(Q815="",0,IF(OR(Q815="KURANG",Q815="SANGAT KURANG"),I815*K815*10%,I815*K815*20%)))</f>
        <v/>
      </c>
      <c r="X815" s="15">
        <f>SUM(U815:W815)*68%</f>
        <v/>
      </c>
      <c r="Y815" s="15">
        <f>I815*L815</f>
        <v/>
      </c>
      <c r="Z815" s="15">
        <f>Y815 * 68%</f>
        <v/>
      </c>
      <c r="AA815" s="15">
        <f>I815*M815</f>
        <v/>
      </c>
      <c r="AB815" s="15">
        <f>AA815*68%</f>
        <v/>
      </c>
      <c r="AC815" s="16">
        <f>ROUND((T815+X815+Z815+AB815),0)</f>
        <v/>
      </c>
      <c r="AD815" s="16">
        <f>AG815</f>
        <v/>
      </c>
      <c r="AE815" s="16">
        <f>AI815</f>
        <v/>
      </c>
      <c r="AF815" s="16">
        <f>AC815+AD815+AE815</f>
        <v/>
      </c>
      <c r="AG815" s="16" t="n"/>
      <c r="AH815" s="17" t="n"/>
      <c r="AI815" s="17">
        <f>AH815*4</f>
        <v/>
      </c>
      <c r="AJ815" s="15">
        <f>AF815-AG815-AH815-AI815</f>
        <v/>
      </c>
      <c r="AK815" s="18" t="n">
        <v>808</v>
      </c>
      <c r="AL815" s="23" t="n"/>
    </row>
    <row r="816" ht="23.5" customHeight="1">
      <c r="A816" s="6" t="inlineStr">
        <is>
          <t>809</t>
        </is>
      </c>
      <c r="B816" s="28" t="n"/>
      <c r="C816" s="55" t="n"/>
      <c r="D816" s="19" t="n"/>
      <c r="E816" s="24" t="n"/>
      <c r="F816" s="25" t="n"/>
      <c r="G816" s="25" t="n"/>
      <c r="H816" s="24" t="n"/>
      <c r="I816" s="11" t="n"/>
      <c r="J816" s="57" t="n"/>
      <c r="K816" s="12" t="n"/>
      <c r="L816" s="13" t="n"/>
      <c r="M816" s="13" t="n"/>
      <c r="N816" s="14">
        <f>ROUND(I816*(SUM(J816:M816))*68%,0)</f>
        <v/>
      </c>
      <c r="O816" s="61" t="n"/>
      <c r="P816" s="59" t="n"/>
      <c r="Q816" s="59" t="n"/>
      <c r="R816" s="58" t="n"/>
      <c r="S816" s="15">
        <f>I816*J816</f>
        <v/>
      </c>
      <c r="T816" s="15">
        <f>SUM(S816:S816)*68%</f>
        <v/>
      </c>
      <c r="U816" s="15">
        <f>I816*K816*40%*O816</f>
        <v/>
      </c>
      <c r="V816" s="15">
        <f>IF(P816&gt;=6750,(I816*K816*40%),0)</f>
        <v/>
      </c>
      <c r="W816" s="15">
        <f>IF(P816&lt;6750,0,IF(Q816="",0,IF(OR(Q816="KURANG",Q816="SANGAT KURANG"),I816*K816*10%,I816*K816*20%)))</f>
        <v/>
      </c>
      <c r="X816" s="15">
        <f>SUM(U816:W816)*68%</f>
        <v/>
      </c>
      <c r="Y816" s="15">
        <f>I816*L816</f>
        <v/>
      </c>
      <c r="Z816" s="15">
        <f>Y816 * 68%</f>
        <v/>
      </c>
      <c r="AA816" s="15">
        <f>I816*M816</f>
        <v/>
      </c>
      <c r="AB816" s="15">
        <f>AA816*68%</f>
        <v/>
      </c>
      <c r="AC816" s="16">
        <f>ROUND((T816+X816+Z816+AB816),0)</f>
        <v/>
      </c>
      <c r="AD816" s="16">
        <f>AG816</f>
        <v/>
      </c>
      <c r="AE816" s="16">
        <f>AI816</f>
        <v/>
      </c>
      <c r="AF816" s="16">
        <f>AC816+AD816+AE816</f>
        <v/>
      </c>
      <c r="AG816" s="16" t="n"/>
      <c r="AH816" s="17" t="n"/>
      <c r="AI816" s="17">
        <f>AH816*4</f>
        <v/>
      </c>
      <c r="AJ816" s="15">
        <f>AF816-AG816-AH816-AI816</f>
        <v/>
      </c>
      <c r="AK816" s="18" t="n">
        <v>809</v>
      </c>
      <c r="AL816" s="40" t="n"/>
    </row>
    <row r="817" ht="23.5" customHeight="1">
      <c r="A817" s="6" t="inlineStr">
        <is>
          <t>810</t>
        </is>
      </c>
      <c r="B817" s="28" t="n"/>
      <c r="C817" s="55" t="n"/>
      <c r="D817" s="19" t="n"/>
      <c r="E817" s="24" t="n"/>
      <c r="F817" s="25" t="n"/>
      <c r="G817" s="25" t="n"/>
      <c r="H817" s="24" t="n"/>
      <c r="I817" s="11" t="n"/>
      <c r="J817" s="57" t="n"/>
      <c r="K817" s="12" t="n"/>
      <c r="L817" s="13" t="n"/>
      <c r="M817" s="13" t="n"/>
      <c r="N817" s="14">
        <f>ROUND(I817*(SUM(J817:M817))*68%,0)</f>
        <v/>
      </c>
      <c r="O817" s="61" t="n"/>
      <c r="P817" s="59" t="n"/>
      <c r="Q817" s="59" t="n"/>
      <c r="R817" s="58" t="n"/>
      <c r="S817" s="15">
        <f>I817*J817</f>
        <v/>
      </c>
      <c r="T817" s="15">
        <f>SUM(S817:S817)*68%</f>
        <v/>
      </c>
      <c r="U817" s="15">
        <f>I817*K817*40%*O817</f>
        <v/>
      </c>
      <c r="V817" s="15">
        <f>IF(P817&gt;=6750,(I817*K817*40%),0)</f>
        <v/>
      </c>
      <c r="W817" s="15">
        <f>IF(P817&lt;6750,0,IF(Q817="",0,IF(OR(Q817="KURANG",Q817="SANGAT KURANG"),I817*K817*10%,I817*K817*20%)))</f>
        <v/>
      </c>
      <c r="X817" s="15">
        <f>SUM(U817:W817)*68%</f>
        <v/>
      </c>
      <c r="Y817" s="15">
        <f>I817*L817</f>
        <v/>
      </c>
      <c r="Z817" s="15">
        <f>Y817 * 68%</f>
        <v/>
      </c>
      <c r="AA817" s="15">
        <f>I817*M817</f>
        <v/>
      </c>
      <c r="AB817" s="15">
        <f>AA817*68%</f>
        <v/>
      </c>
      <c r="AC817" s="16">
        <f>ROUND((T817+X817+Z817+AB817),0)</f>
        <v/>
      </c>
      <c r="AD817" s="16">
        <f>AG817</f>
        <v/>
      </c>
      <c r="AE817" s="16">
        <f>AI817</f>
        <v/>
      </c>
      <c r="AF817" s="16">
        <f>AC817+AD817+AE817</f>
        <v/>
      </c>
      <c r="AG817" s="16" t="n"/>
      <c r="AH817" s="17" t="n"/>
      <c r="AI817" s="17">
        <f>AH817*4</f>
        <v/>
      </c>
      <c r="AJ817" s="15">
        <f>AF817-AG817-AH817-AI817</f>
        <v/>
      </c>
      <c r="AK817" s="18" t="n">
        <v>810</v>
      </c>
      <c r="AL817" s="23" t="n"/>
    </row>
    <row r="818" ht="23.5" customHeight="1">
      <c r="A818" s="6" t="inlineStr">
        <is>
          <t>811</t>
        </is>
      </c>
      <c r="B818" s="28" t="n"/>
      <c r="C818" s="55" t="n"/>
      <c r="D818" s="19" t="n"/>
      <c r="E818" s="24" t="n"/>
      <c r="F818" s="25" t="n"/>
      <c r="G818" s="25" t="n"/>
      <c r="H818" s="24" t="n"/>
      <c r="I818" s="11" t="n"/>
      <c r="J818" s="57" t="n"/>
      <c r="K818" s="12" t="n"/>
      <c r="L818" s="13" t="n"/>
      <c r="M818" s="13" t="n"/>
      <c r="N818" s="14">
        <f>ROUND(I818*(SUM(J818:M818))*68%,0)</f>
        <v/>
      </c>
      <c r="O818" s="61" t="n"/>
      <c r="P818" s="59" t="n"/>
      <c r="Q818" s="59" t="n"/>
      <c r="R818" s="58" t="n"/>
      <c r="S818" s="15">
        <f>I818*J818</f>
        <v/>
      </c>
      <c r="T818" s="15">
        <f>SUM(S818:S818)*68%</f>
        <v/>
      </c>
      <c r="U818" s="15">
        <f>I818*K818*40%*O818</f>
        <v/>
      </c>
      <c r="V818" s="15">
        <f>IF(P818&gt;=6750,(I818*K818*40%),0)</f>
        <v/>
      </c>
      <c r="W818" s="15">
        <f>IF(P818&lt;6750,0,IF(Q818="",0,IF(OR(Q818="KURANG",Q818="SANGAT KURANG"),I818*K818*10%,I818*K818*20%)))</f>
        <v/>
      </c>
      <c r="X818" s="15">
        <f>SUM(U818:W818)*68%</f>
        <v/>
      </c>
      <c r="Y818" s="15">
        <f>I818*L818</f>
        <v/>
      </c>
      <c r="Z818" s="15">
        <f>Y818 * 68%</f>
        <v/>
      </c>
      <c r="AA818" s="15">
        <f>I818*M818</f>
        <v/>
      </c>
      <c r="AB818" s="15">
        <f>AA818*68%</f>
        <v/>
      </c>
      <c r="AC818" s="16">
        <f>ROUND((T818+X818+Z818+AB818),0)</f>
        <v/>
      </c>
      <c r="AD818" s="16">
        <f>AG818</f>
        <v/>
      </c>
      <c r="AE818" s="16">
        <f>AI818</f>
        <v/>
      </c>
      <c r="AF818" s="16">
        <f>AC818+AD818+AE818</f>
        <v/>
      </c>
      <c r="AG818" s="16" t="n"/>
      <c r="AH818" s="17" t="n"/>
      <c r="AI818" s="17">
        <f>AH818*4</f>
        <v/>
      </c>
      <c r="AJ818" s="15">
        <f>AF818-AG818-AH818-AI818</f>
        <v/>
      </c>
      <c r="AK818" s="18" t="n">
        <v>811</v>
      </c>
      <c r="AL818" s="23" t="n"/>
    </row>
    <row r="819" ht="23.5" customHeight="1">
      <c r="A819" s="6" t="inlineStr">
        <is>
          <t>812</t>
        </is>
      </c>
      <c r="B819" s="28" t="n"/>
      <c r="C819" s="55" t="n"/>
      <c r="D819" s="19" t="n"/>
      <c r="E819" s="24" t="n"/>
      <c r="F819" s="25" t="n"/>
      <c r="G819" s="25" t="n"/>
      <c r="H819" s="24" t="n"/>
      <c r="I819" s="11" t="n"/>
      <c r="J819" s="57" t="n"/>
      <c r="K819" s="12" t="n"/>
      <c r="L819" s="13" t="n"/>
      <c r="M819" s="13" t="n"/>
      <c r="N819" s="14">
        <f>ROUND(I819*(SUM(J819:M819))*68%,0)</f>
        <v/>
      </c>
      <c r="O819" s="61" t="n"/>
      <c r="P819" s="59" t="n"/>
      <c r="Q819" s="59" t="n"/>
      <c r="R819" s="58" t="n"/>
      <c r="S819" s="15">
        <f>I819*J819</f>
        <v/>
      </c>
      <c r="T819" s="15">
        <f>SUM(S819:S819)*68%</f>
        <v/>
      </c>
      <c r="U819" s="15">
        <f>I819*K819*40%*O819</f>
        <v/>
      </c>
      <c r="V819" s="15">
        <f>IF(P819&gt;=6750,(I819*K819*40%),0)</f>
        <v/>
      </c>
      <c r="W819" s="15">
        <f>IF(P819&lt;6750,0,IF(Q819="",0,IF(OR(Q819="KURANG",Q819="SANGAT KURANG"),I819*K819*10%,I819*K819*20%)))</f>
        <v/>
      </c>
      <c r="X819" s="15">
        <f>SUM(U819:W819)*68%</f>
        <v/>
      </c>
      <c r="Y819" s="15">
        <f>I819*L819</f>
        <v/>
      </c>
      <c r="Z819" s="15">
        <f>Y819 * 68%</f>
        <v/>
      </c>
      <c r="AA819" s="15">
        <f>I819*M819</f>
        <v/>
      </c>
      <c r="AB819" s="15">
        <f>AA819*68%</f>
        <v/>
      </c>
      <c r="AC819" s="16">
        <f>ROUND((T819+X819+Z819+AB819),0)</f>
        <v/>
      </c>
      <c r="AD819" s="16">
        <f>AG819</f>
        <v/>
      </c>
      <c r="AE819" s="16">
        <f>AI819</f>
        <v/>
      </c>
      <c r="AF819" s="16">
        <f>AC819+AD819+AE819</f>
        <v/>
      </c>
      <c r="AG819" s="16" t="n"/>
      <c r="AH819" s="17" t="n"/>
      <c r="AI819" s="17">
        <f>AH819*4</f>
        <v/>
      </c>
      <c r="AJ819" s="15">
        <f>AF819-AG819-AH819-AI819</f>
        <v/>
      </c>
      <c r="AK819" s="18" t="n">
        <v>812</v>
      </c>
      <c r="AL819" s="40" t="n"/>
    </row>
    <row r="820" ht="23.5" customHeight="1">
      <c r="A820" s="6" t="inlineStr">
        <is>
          <t>813</t>
        </is>
      </c>
      <c r="B820" s="28" t="n"/>
      <c r="C820" s="55" t="n"/>
      <c r="D820" s="19" t="n"/>
      <c r="E820" s="24" t="n"/>
      <c r="F820" s="25" t="n"/>
      <c r="G820" s="25" t="n"/>
      <c r="H820" s="24" t="n"/>
      <c r="I820" s="11" t="n"/>
      <c r="J820" s="57" t="n"/>
      <c r="K820" s="12" t="n"/>
      <c r="L820" s="13" t="n"/>
      <c r="M820" s="13" t="n"/>
      <c r="N820" s="14">
        <f>ROUND(I820*(SUM(J820:M820))*68%,0)</f>
        <v/>
      </c>
      <c r="O820" s="61" t="n"/>
      <c r="P820" s="59" t="n"/>
      <c r="Q820" s="59" t="n"/>
      <c r="R820" s="58" t="n"/>
      <c r="S820" s="15">
        <f>I820*J820</f>
        <v/>
      </c>
      <c r="T820" s="15">
        <f>SUM(S820:S820)*68%</f>
        <v/>
      </c>
      <c r="U820" s="15">
        <f>I820*K820*40%*O820</f>
        <v/>
      </c>
      <c r="V820" s="15">
        <f>IF(P820&gt;=6750,(I820*K820*40%),0)</f>
        <v/>
      </c>
      <c r="W820" s="15">
        <f>IF(P820&lt;6750,0,IF(Q820="",0,IF(OR(Q820="KURANG",Q820="SANGAT KURANG"),I820*K820*10%,I820*K820*20%)))</f>
        <v/>
      </c>
      <c r="X820" s="15">
        <f>SUM(U820:W820)*68%</f>
        <v/>
      </c>
      <c r="Y820" s="15">
        <f>I820*L820</f>
        <v/>
      </c>
      <c r="Z820" s="15">
        <f>Y820 * 68%</f>
        <v/>
      </c>
      <c r="AA820" s="15">
        <f>I820*M820</f>
        <v/>
      </c>
      <c r="AB820" s="15">
        <f>AA820*68%</f>
        <v/>
      </c>
      <c r="AC820" s="16">
        <f>ROUND((T820+X820+Z820+AB820),0)</f>
        <v/>
      </c>
      <c r="AD820" s="16">
        <f>AG820</f>
        <v/>
      </c>
      <c r="AE820" s="16">
        <f>AI820</f>
        <v/>
      </c>
      <c r="AF820" s="16">
        <f>AC820+AD820+AE820</f>
        <v/>
      </c>
      <c r="AG820" s="16" t="n"/>
      <c r="AH820" s="17" t="n"/>
      <c r="AI820" s="17">
        <f>AH820*4</f>
        <v/>
      </c>
      <c r="AJ820" s="15">
        <f>AF820-AG820-AH820-AI820</f>
        <v/>
      </c>
      <c r="AK820" s="18" t="n">
        <v>813</v>
      </c>
      <c r="AL820" s="23" t="n"/>
    </row>
    <row r="821" ht="23.5" customHeight="1">
      <c r="A821" s="6" t="inlineStr">
        <is>
          <t>814</t>
        </is>
      </c>
      <c r="B821" s="28" t="n"/>
      <c r="C821" s="55" t="n"/>
      <c r="D821" s="19" t="n"/>
      <c r="E821" s="24" t="n"/>
      <c r="F821" s="25" t="n"/>
      <c r="G821" s="25" t="n"/>
      <c r="H821" s="24" t="n"/>
      <c r="I821" s="11" t="n"/>
      <c r="J821" s="57" t="n"/>
      <c r="K821" s="12" t="n"/>
      <c r="L821" s="13" t="n"/>
      <c r="M821" s="13" t="n"/>
      <c r="N821" s="14">
        <f>ROUND(I821*(SUM(J821:M821))*68%,0)</f>
        <v/>
      </c>
      <c r="O821" s="61" t="n"/>
      <c r="P821" s="59" t="n"/>
      <c r="Q821" s="59" t="n"/>
      <c r="R821" s="58" t="n"/>
      <c r="S821" s="15">
        <f>I821*J821</f>
        <v/>
      </c>
      <c r="T821" s="15">
        <f>SUM(S821:S821)*68%</f>
        <v/>
      </c>
      <c r="U821" s="15">
        <f>I821*K821*40%*O821</f>
        <v/>
      </c>
      <c r="V821" s="15">
        <f>IF(P821&gt;=6750,(I821*K821*40%),0)</f>
        <v/>
      </c>
      <c r="W821" s="15">
        <f>IF(P821&lt;6750,0,IF(Q821="",0,IF(OR(Q821="KURANG",Q821="SANGAT KURANG"),I821*K821*10%,I821*K821*20%)))</f>
        <v/>
      </c>
      <c r="X821" s="15">
        <f>SUM(U821:W821)*68%</f>
        <v/>
      </c>
      <c r="Y821" s="15">
        <f>I821*L821</f>
        <v/>
      </c>
      <c r="Z821" s="15">
        <f>Y821 * 68%</f>
        <v/>
      </c>
      <c r="AA821" s="15">
        <f>I821*M821</f>
        <v/>
      </c>
      <c r="AB821" s="15">
        <f>AA821*68%</f>
        <v/>
      </c>
      <c r="AC821" s="16">
        <f>ROUND((T821+X821+Z821+AB821),0)</f>
        <v/>
      </c>
      <c r="AD821" s="16">
        <f>AG821</f>
        <v/>
      </c>
      <c r="AE821" s="16">
        <f>AI821</f>
        <v/>
      </c>
      <c r="AF821" s="16">
        <f>AC821+AD821+AE821</f>
        <v/>
      </c>
      <c r="AG821" s="16" t="n"/>
      <c r="AH821" s="17" t="n"/>
      <c r="AI821" s="17">
        <f>AH821*4</f>
        <v/>
      </c>
      <c r="AJ821" s="15">
        <f>AF821-AG821-AH821-AI821</f>
        <v/>
      </c>
      <c r="AK821" s="18" t="n">
        <v>814</v>
      </c>
      <c r="AL821" s="23" t="n"/>
    </row>
    <row r="822" ht="23.5" customHeight="1">
      <c r="A822" s="6" t="inlineStr">
        <is>
          <t>815</t>
        </is>
      </c>
      <c r="B822" s="28" t="n"/>
      <c r="C822" s="55" t="n"/>
      <c r="D822" s="19" t="n"/>
      <c r="E822" s="24" t="n"/>
      <c r="F822" s="25" t="n"/>
      <c r="G822" s="25" t="n"/>
      <c r="H822" s="24" t="n"/>
      <c r="I822" s="11" t="n"/>
      <c r="J822" s="57" t="n"/>
      <c r="K822" s="12" t="n"/>
      <c r="L822" s="13" t="n"/>
      <c r="M822" s="13" t="n"/>
      <c r="N822" s="14">
        <f>ROUND(I822*(SUM(J822:M822))*68%,0)</f>
        <v/>
      </c>
      <c r="O822" s="61" t="n"/>
      <c r="P822" s="59" t="n"/>
      <c r="Q822" s="59" t="n"/>
      <c r="R822" s="58" t="n"/>
      <c r="S822" s="15">
        <f>I822*J822</f>
        <v/>
      </c>
      <c r="T822" s="15">
        <f>SUM(S822:S822)*68%</f>
        <v/>
      </c>
      <c r="U822" s="15">
        <f>I822*K822*40%*O822</f>
        <v/>
      </c>
      <c r="V822" s="15">
        <f>IF(P822&gt;=6750,(I822*K822*40%),0)</f>
        <v/>
      </c>
      <c r="W822" s="15">
        <f>IF(P822&lt;6750,0,IF(Q822="",0,IF(OR(Q822="KURANG",Q822="SANGAT KURANG"),I822*K822*10%,I822*K822*20%)))</f>
        <v/>
      </c>
      <c r="X822" s="15">
        <f>SUM(U822:W822)*68%</f>
        <v/>
      </c>
      <c r="Y822" s="15">
        <f>I822*L822</f>
        <v/>
      </c>
      <c r="Z822" s="15">
        <f>Y822 * 68%</f>
        <v/>
      </c>
      <c r="AA822" s="15">
        <f>I822*M822</f>
        <v/>
      </c>
      <c r="AB822" s="15">
        <f>AA822*68%</f>
        <v/>
      </c>
      <c r="AC822" s="16">
        <f>ROUND((T822+X822+Z822+AB822),0)</f>
        <v/>
      </c>
      <c r="AD822" s="16">
        <f>AG822</f>
        <v/>
      </c>
      <c r="AE822" s="16">
        <f>AI822</f>
        <v/>
      </c>
      <c r="AF822" s="16">
        <f>AC822+AD822+AE822</f>
        <v/>
      </c>
      <c r="AG822" s="16" t="n"/>
      <c r="AH822" s="17" t="n"/>
      <c r="AI822" s="17">
        <f>AH822*4</f>
        <v/>
      </c>
      <c r="AJ822" s="15">
        <f>AF822-AG822-AH822-AI822</f>
        <v/>
      </c>
      <c r="AK822" s="18" t="n">
        <v>815</v>
      </c>
      <c r="AL822" s="40" t="n"/>
    </row>
    <row r="823" ht="23.5" customHeight="1">
      <c r="A823" s="6" t="inlineStr">
        <is>
          <t>816</t>
        </is>
      </c>
      <c r="B823" s="24" t="n"/>
      <c r="C823" s="55" t="n"/>
      <c r="D823" s="19" t="n"/>
      <c r="E823" s="24" t="n"/>
      <c r="F823" s="25" t="n"/>
      <c r="G823" s="25" t="n"/>
      <c r="H823" s="24" t="n"/>
      <c r="I823" s="11" t="n"/>
      <c r="J823" s="57" t="n"/>
      <c r="K823" s="12" t="n"/>
      <c r="L823" s="13" t="n"/>
      <c r="M823" s="13" t="n"/>
      <c r="N823" s="14">
        <f>ROUND(I823*(SUM(J823:M823))*68%,0)</f>
        <v/>
      </c>
      <c r="O823" s="61" t="n"/>
      <c r="P823" s="59" t="n"/>
      <c r="Q823" s="59" t="n"/>
      <c r="R823" s="58" t="n"/>
      <c r="S823" s="15">
        <f>I823*J823</f>
        <v/>
      </c>
      <c r="T823" s="15">
        <f>SUM(S823:S823)*68%</f>
        <v/>
      </c>
      <c r="U823" s="15">
        <f>I823*K823*40%*O823</f>
        <v/>
      </c>
      <c r="V823" s="15">
        <f>IF(P823&gt;=6750,(I823*K823*40%),0)</f>
        <v/>
      </c>
      <c r="W823" s="15">
        <f>IF(P823&lt;6750,0,IF(Q823="",0,IF(OR(Q823="KURANG",Q823="SANGAT KURANG"),I823*K823*10%,I823*K823*20%)))</f>
        <v/>
      </c>
      <c r="X823" s="15">
        <f>SUM(U823:W823)*68%</f>
        <v/>
      </c>
      <c r="Y823" s="15">
        <f>I823*L823</f>
        <v/>
      </c>
      <c r="Z823" s="15">
        <f>Y823 * 68%</f>
        <v/>
      </c>
      <c r="AA823" s="15">
        <f>I823*M823</f>
        <v/>
      </c>
      <c r="AB823" s="15">
        <f>AA823*68%</f>
        <v/>
      </c>
      <c r="AC823" s="16">
        <f>ROUND((T823+X823+Z823+AB823),0)</f>
        <v/>
      </c>
      <c r="AD823" s="16">
        <f>AG823</f>
        <v/>
      </c>
      <c r="AE823" s="16">
        <f>AI823</f>
        <v/>
      </c>
      <c r="AF823" s="16">
        <f>AC823+AD823+AE823</f>
        <v/>
      </c>
      <c r="AG823" s="16" t="n"/>
      <c r="AH823" s="17" t="n"/>
      <c r="AI823" s="17">
        <f>AH823*4</f>
        <v/>
      </c>
      <c r="AJ823" s="15">
        <f>AF823-AG823-AH823-AI823</f>
        <v/>
      </c>
      <c r="AK823" s="18" t="n">
        <v>816</v>
      </c>
      <c r="AL823" s="23" t="n"/>
    </row>
    <row r="824" ht="23.5" customHeight="1">
      <c r="A824" s="6" t="inlineStr">
        <is>
          <t>817</t>
        </is>
      </c>
      <c r="B824" s="54" t="n"/>
      <c r="C824" s="55" t="n"/>
      <c r="D824" s="19" t="n"/>
      <c r="E824" s="26" t="n"/>
      <c r="F824" s="27" t="n"/>
      <c r="G824" s="25" t="n"/>
      <c r="H824" s="24" t="n"/>
      <c r="I824" s="11" t="n"/>
      <c r="J824" s="57" t="n"/>
      <c r="K824" s="12" t="n"/>
      <c r="L824" s="13" t="n"/>
      <c r="M824" s="13" t="n"/>
      <c r="N824" s="14">
        <f>ROUND(I824*(SUM(J824:M824))*68%,0)</f>
        <v/>
      </c>
      <c r="O824" s="61" t="n"/>
      <c r="P824" s="59" t="n"/>
      <c r="Q824" s="59" t="n"/>
      <c r="R824" s="58" t="n"/>
      <c r="S824" s="15">
        <f>I824*J824</f>
        <v/>
      </c>
      <c r="T824" s="15">
        <f>SUM(S824:S824)*68%</f>
        <v/>
      </c>
      <c r="U824" s="15">
        <f>I824*K824*40%*O824</f>
        <v/>
      </c>
      <c r="V824" s="15">
        <f>IF(P824&gt;=6750,(I824*K824*40%),0)</f>
        <v/>
      </c>
      <c r="W824" s="15">
        <f>IF(P824&lt;6750,0,IF(Q824="",0,IF(OR(Q824="KURANG",Q824="SANGAT KURANG"),I824*K824*10%,I824*K824*20%)))</f>
        <v/>
      </c>
      <c r="X824" s="15">
        <f>SUM(U824:W824)*68%</f>
        <v/>
      </c>
      <c r="Y824" s="15">
        <f>I824*L824</f>
        <v/>
      </c>
      <c r="Z824" s="15">
        <f>Y824 * 68%</f>
        <v/>
      </c>
      <c r="AA824" s="15">
        <f>I824*M824</f>
        <v/>
      </c>
      <c r="AB824" s="15">
        <f>AA824*68%</f>
        <v/>
      </c>
      <c r="AC824" s="16">
        <f>ROUND((T824+X824+Z824+AB824),0)</f>
        <v/>
      </c>
      <c r="AD824" s="16">
        <f>AG824</f>
        <v/>
      </c>
      <c r="AE824" s="16">
        <f>AI824</f>
        <v/>
      </c>
      <c r="AF824" s="16">
        <f>AC824+AD824+AE824</f>
        <v/>
      </c>
      <c r="AG824" s="16" t="n"/>
      <c r="AH824" s="17" t="n"/>
      <c r="AI824" s="17">
        <f>AH824*4</f>
        <v/>
      </c>
      <c r="AJ824" s="15">
        <f>AF824-AG824-AH824-AI824</f>
        <v/>
      </c>
      <c r="AK824" s="18" t="n">
        <v>817</v>
      </c>
      <c r="AL824" s="23" t="n"/>
    </row>
    <row r="825" ht="23.5" customHeight="1">
      <c r="A825" s="6" t="inlineStr">
        <is>
          <t>818</t>
        </is>
      </c>
      <c r="B825" s="28" t="n"/>
      <c r="C825" s="55" t="n"/>
      <c r="D825" s="19" t="n"/>
      <c r="E825" s="24" t="n"/>
      <c r="F825" s="27" t="n"/>
      <c r="G825" s="25" t="n"/>
      <c r="H825" s="24" t="n"/>
      <c r="I825" s="11" t="n"/>
      <c r="J825" s="57" t="n"/>
      <c r="K825" s="12" t="n"/>
      <c r="L825" s="13" t="n"/>
      <c r="M825" s="13" t="n"/>
      <c r="N825" s="14">
        <f>ROUND(I825*(SUM(J825:M825))*68%,0)</f>
        <v/>
      </c>
      <c r="O825" s="61" t="n"/>
      <c r="P825" s="59" t="n"/>
      <c r="Q825" s="59" t="n"/>
      <c r="R825" s="58" t="n"/>
      <c r="S825" s="15">
        <f>I825*J825</f>
        <v/>
      </c>
      <c r="T825" s="15">
        <f>SUM(S825:S825)*68%</f>
        <v/>
      </c>
      <c r="U825" s="15">
        <f>I825*K825*40%*O825</f>
        <v/>
      </c>
      <c r="V825" s="15">
        <f>IF(P825&gt;=6750,(I825*K825*40%),0)</f>
        <v/>
      </c>
      <c r="W825" s="15">
        <f>IF(P825&lt;6750,0,IF(Q825="",0,IF(OR(Q825="KURANG",Q825="SANGAT KURANG"),I825*K825*10%,I825*K825*20%)))</f>
        <v/>
      </c>
      <c r="X825" s="15">
        <f>SUM(U825:W825)*68%</f>
        <v/>
      </c>
      <c r="Y825" s="15">
        <f>I825*L825</f>
        <v/>
      </c>
      <c r="Z825" s="15">
        <f>Y825 * 68%</f>
        <v/>
      </c>
      <c r="AA825" s="15">
        <f>I825*M825</f>
        <v/>
      </c>
      <c r="AB825" s="15">
        <f>AA825*68%</f>
        <v/>
      </c>
      <c r="AC825" s="16">
        <f>ROUND((T825+X825+Z825+AB825),0)</f>
        <v/>
      </c>
      <c r="AD825" s="16">
        <f>AG825</f>
        <v/>
      </c>
      <c r="AE825" s="16">
        <f>AI825</f>
        <v/>
      </c>
      <c r="AF825" s="16">
        <f>AC825+AD825+AE825</f>
        <v/>
      </c>
      <c r="AG825" s="16" t="n"/>
      <c r="AH825" s="17" t="n"/>
      <c r="AI825" s="17">
        <f>AH825*4</f>
        <v/>
      </c>
      <c r="AJ825" s="15">
        <f>AF825-AG825-AH825-AI825</f>
        <v/>
      </c>
      <c r="AK825" s="18" t="n">
        <v>818</v>
      </c>
      <c r="AL825" s="40" t="n"/>
    </row>
    <row r="826" ht="23.5" customHeight="1">
      <c r="A826" s="6" t="inlineStr">
        <is>
          <t>819</t>
        </is>
      </c>
      <c r="B826" s="28" t="n"/>
      <c r="C826" s="55" t="n"/>
      <c r="D826" s="19" t="n"/>
      <c r="E826" s="24" t="n"/>
      <c r="F826" s="25" t="n"/>
      <c r="G826" s="10" t="n"/>
      <c r="H826" s="8" t="n"/>
      <c r="I826" s="11" t="n"/>
      <c r="J826" s="57" t="n"/>
      <c r="K826" s="12" t="n"/>
      <c r="L826" s="13" t="n"/>
      <c r="M826" s="13" t="n"/>
      <c r="N826" s="14">
        <f>ROUND(I826*(SUM(J826:M826))*68%,0)</f>
        <v/>
      </c>
      <c r="O826" s="61" t="n"/>
      <c r="P826" s="59" t="n"/>
      <c r="Q826" s="59" t="n"/>
      <c r="R826" s="58" t="n"/>
      <c r="S826" s="15">
        <f>I826*J826</f>
        <v/>
      </c>
      <c r="T826" s="15">
        <f>SUM(S826:S826)*68%</f>
        <v/>
      </c>
      <c r="U826" s="15">
        <f>I826*K826*40%*O826</f>
        <v/>
      </c>
      <c r="V826" s="15">
        <f>IF(P826&gt;=6750,(I826*K826*40%),0)</f>
        <v/>
      </c>
      <c r="W826" s="15">
        <f>IF(P826&lt;6750,0,IF(Q826="",0,IF(OR(Q826="KURANG",Q826="SANGAT KURANG"),I826*K826*10%,I826*K826*20%)))</f>
        <v/>
      </c>
      <c r="X826" s="15">
        <f>SUM(U826:W826)*68%</f>
        <v/>
      </c>
      <c r="Y826" s="15">
        <f>I826*L826</f>
        <v/>
      </c>
      <c r="Z826" s="15">
        <f>Y826 * 68%</f>
        <v/>
      </c>
      <c r="AA826" s="15">
        <f>I826*M826</f>
        <v/>
      </c>
      <c r="AB826" s="15">
        <f>AA826*68%</f>
        <v/>
      </c>
      <c r="AC826" s="16">
        <f>ROUND((T826+X826+Z826+AB826),0)</f>
        <v/>
      </c>
      <c r="AD826" s="16">
        <f>AG826</f>
        <v/>
      </c>
      <c r="AE826" s="16">
        <f>AI826</f>
        <v/>
      </c>
      <c r="AF826" s="16">
        <f>AC826+AD826+AE826</f>
        <v/>
      </c>
      <c r="AG826" s="16" t="n"/>
      <c r="AH826" s="17" t="n"/>
      <c r="AI826" s="17">
        <f>AH826*4</f>
        <v/>
      </c>
      <c r="AJ826" s="15">
        <f>AF826-AG826-AH826-AI826</f>
        <v/>
      </c>
      <c r="AK826" s="18" t="n">
        <v>819</v>
      </c>
      <c r="AL826" s="23" t="n"/>
    </row>
    <row r="827" ht="23.5" customHeight="1">
      <c r="A827" s="6" t="inlineStr">
        <is>
          <t>820</t>
        </is>
      </c>
      <c r="B827" s="24" t="n"/>
      <c r="C827" s="55" t="n"/>
      <c r="D827" s="19" t="n"/>
      <c r="E827" s="24" t="n"/>
      <c r="F827" s="25" t="n"/>
      <c r="G827" s="10" t="n"/>
      <c r="H827" s="8" t="n"/>
      <c r="I827" s="11" t="n"/>
      <c r="J827" s="57" t="n"/>
      <c r="K827" s="12" t="n"/>
      <c r="L827" s="13" t="n"/>
      <c r="M827" s="13" t="n"/>
      <c r="N827" s="14">
        <f>ROUND(I827*(SUM(J827:M827))*68%,0)</f>
        <v/>
      </c>
      <c r="O827" s="61" t="n"/>
      <c r="P827" s="59" t="n"/>
      <c r="Q827" s="59" t="n"/>
      <c r="R827" s="58" t="n"/>
      <c r="S827" s="15">
        <f>I827*J827</f>
        <v/>
      </c>
      <c r="T827" s="15">
        <f>SUM(S827:S827)*68%</f>
        <v/>
      </c>
      <c r="U827" s="15">
        <f>I827*K827*40%*O827</f>
        <v/>
      </c>
      <c r="V827" s="15">
        <f>IF(P827&gt;=6750,(I827*K827*40%),0)</f>
        <v/>
      </c>
      <c r="W827" s="15">
        <f>IF(P827&lt;6750,0,IF(Q827="",0,IF(OR(Q827="KURANG",Q827="SANGAT KURANG"),I827*K827*10%,I827*K827*20%)))</f>
        <v/>
      </c>
      <c r="X827" s="15">
        <f>SUM(U827:W827)*68%</f>
        <v/>
      </c>
      <c r="Y827" s="15">
        <f>I827*L827</f>
        <v/>
      </c>
      <c r="Z827" s="15">
        <f>Y827 * 68%</f>
        <v/>
      </c>
      <c r="AA827" s="15">
        <f>I827*M827</f>
        <v/>
      </c>
      <c r="AB827" s="15">
        <f>AA827*68%</f>
        <v/>
      </c>
      <c r="AC827" s="16">
        <f>ROUND((T827+X827+Z827+AB827),0)</f>
        <v/>
      </c>
      <c r="AD827" s="16">
        <f>AG827</f>
        <v/>
      </c>
      <c r="AE827" s="16">
        <f>AI827</f>
        <v/>
      </c>
      <c r="AF827" s="16">
        <f>AC827+AD827+AE827</f>
        <v/>
      </c>
      <c r="AG827" s="16" t="n"/>
      <c r="AH827" s="17" t="n"/>
      <c r="AI827" s="17">
        <f>AH827*4</f>
        <v/>
      </c>
      <c r="AJ827" s="15">
        <f>AF827-AG827-AH827-AI827</f>
        <v/>
      </c>
      <c r="AK827" s="18" t="n">
        <v>820</v>
      </c>
      <c r="AL827" s="23" t="n"/>
    </row>
    <row r="828" ht="23.5" customHeight="1">
      <c r="A828" s="6" t="inlineStr">
        <is>
          <t>821</t>
        </is>
      </c>
      <c r="B828" s="28" t="n"/>
      <c r="C828" s="55" t="n"/>
      <c r="D828" s="19" t="n"/>
      <c r="E828" s="24" t="n"/>
      <c r="F828" s="25" t="n"/>
      <c r="G828" s="10" t="n"/>
      <c r="H828" s="8" t="n"/>
      <c r="I828" s="11" t="n"/>
      <c r="J828" s="57" t="n"/>
      <c r="K828" s="12" t="n"/>
      <c r="L828" s="13" t="n"/>
      <c r="M828" s="13" t="n"/>
      <c r="N828" s="14">
        <f>ROUND(I828*(SUM(J828:M828))*68%,0)</f>
        <v/>
      </c>
      <c r="O828" s="61" t="n"/>
      <c r="P828" s="59" t="n"/>
      <c r="Q828" s="59" t="n"/>
      <c r="R828" s="58" t="n"/>
      <c r="S828" s="15">
        <f>I828*J828</f>
        <v/>
      </c>
      <c r="T828" s="15">
        <f>SUM(S828:S828)*68%</f>
        <v/>
      </c>
      <c r="U828" s="15">
        <f>I828*K828*40%*O828</f>
        <v/>
      </c>
      <c r="V828" s="15">
        <f>IF(P828&gt;=6750,(I828*K828*40%),0)</f>
        <v/>
      </c>
      <c r="W828" s="15">
        <f>IF(P828&lt;6750,0,IF(Q828="",0,IF(OR(Q828="KURANG",Q828="SANGAT KURANG"),I828*K828*10%,I828*K828*20%)))</f>
        <v/>
      </c>
      <c r="X828" s="15">
        <f>SUM(U828:W828)*68%</f>
        <v/>
      </c>
      <c r="Y828" s="15">
        <f>I828*L828</f>
        <v/>
      </c>
      <c r="Z828" s="15">
        <f>Y828 * 68%</f>
        <v/>
      </c>
      <c r="AA828" s="15">
        <f>I828*M828</f>
        <v/>
      </c>
      <c r="AB828" s="15">
        <f>AA828*68%</f>
        <v/>
      </c>
      <c r="AC828" s="16">
        <f>ROUND((T828+X828+Z828+AB828),0)</f>
        <v/>
      </c>
      <c r="AD828" s="16">
        <f>AG828</f>
        <v/>
      </c>
      <c r="AE828" s="16">
        <f>AI828</f>
        <v/>
      </c>
      <c r="AF828" s="16">
        <f>AC828+AD828+AE828</f>
        <v/>
      </c>
      <c r="AG828" s="16" t="n"/>
      <c r="AH828" s="17" t="n"/>
      <c r="AI828" s="17">
        <f>AH828*4</f>
        <v/>
      </c>
      <c r="AJ828" s="15">
        <f>AF828-AG828-AH828-AI828</f>
        <v/>
      </c>
      <c r="AK828" s="18" t="n">
        <v>821</v>
      </c>
      <c r="AL828" s="40" t="n"/>
    </row>
    <row r="829" ht="23.5" customHeight="1">
      <c r="A829" s="6" t="inlineStr">
        <is>
          <t>822</t>
        </is>
      </c>
      <c r="B829" s="28" t="n"/>
      <c r="C829" s="55" t="n"/>
      <c r="D829" s="19" t="n"/>
      <c r="E829" s="24" t="n"/>
      <c r="F829" s="25" t="n"/>
      <c r="G829" s="10" t="n"/>
      <c r="H829" s="8" t="n"/>
      <c r="I829" s="11" t="n"/>
      <c r="J829" s="57" t="n"/>
      <c r="K829" s="12" t="n"/>
      <c r="L829" s="13" t="n"/>
      <c r="M829" s="13" t="n"/>
      <c r="N829" s="14">
        <f>ROUND(I829*(SUM(J829:M829))*68%,0)</f>
        <v/>
      </c>
      <c r="O829" s="61" t="n"/>
      <c r="P829" s="59" t="n"/>
      <c r="Q829" s="59" t="n"/>
      <c r="R829" s="58" t="n"/>
      <c r="S829" s="15">
        <f>I829*J829</f>
        <v/>
      </c>
      <c r="T829" s="15">
        <f>SUM(S829:S829)*68%</f>
        <v/>
      </c>
      <c r="U829" s="15">
        <f>I829*K829*40%*O829</f>
        <v/>
      </c>
      <c r="V829" s="15">
        <f>IF(P829&gt;=6750,(I829*K829*40%),0)</f>
        <v/>
      </c>
      <c r="W829" s="15">
        <f>IF(P829&lt;6750,0,IF(Q829="",0,IF(OR(Q829="KURANG",Q829="SANGAT KURANG"),I829*K829*10%,I829*K829*20%)))</f>
        <v/>
      </c>
      <c r="X829" s="15">
        <f>SUM(U829:W829)*68%</f>
        <v/>
      </c>
      <c r="Y829" s="15">
        <f>I829*L829</f>
        <v/>
      </c>
      <c r="Z829" s="15">
        <f>Y829 * 68%</f>
        <v/>
      </c>
      <c r="AA829" s="15">
        <f>I829*M829</f>
        <v/>
      </c>
      <c r="AB829" s="15">
        <f>AA829*68%</f>
        <v/>
      </c>
      <c r="AC829" s="16">
        <f>ROUND((T829+X829+Z829+AB829),0)</f>
        <v/>
      </c>
      <c r="AD829" s="16">
        <f>AG829</f>
        <v/>
      </c>
      <c r="AE829" s="16">
        <f>AI829</f>
        <v/>
      </c>
      <c r="AF829" s="16">
        <f>AC829+AD829+AE829</f>
        <v/>
      </c>
      <c r="AG829" s="16" t="n"/>
      <c r="AH829" s="17" t="n"/>
      <c r="AI829" s="17">
        <f>AH829*4</f>
        <v/>
      </c>
      <c r="AJ829" s="15">
        <f>AF829-AG829-AH829-AI829</f>
        <v/>
      </c>
      <c r="AK829" s="18" t="n">
        <v>822</v>
      </c>
      <c r="AL829" s="23" t="n"/>
    </row>
    <row r="830" ht="23.5" customHeight="1">
      <c r="A830" s="6" t="inlineStr">
        <is>
          <t>823</t>
        </is>
      </c>
      <c r="B830" s="24" t="n"/>
      <c r="C830" s="55" t="n"/>
      <c r="D830" s="19" t="n"/>
      <c r="E830" s="24" t="n"/>
      <c r="F830" s="25" t="n"/>
      <c r="G830" s="10" t="n"/>
      <c r="H830" s="8" t="n"/>
      <c r="I830" s="11" t="n"/>
      <c r="J830" s="57" t="n"/>
      <c r="K830" s="12" t="n"/>
      <c r="L830" s="13" t="n"/>
      <c r="M830" s="13" t="n"/>
      <c r="N830" s="14">
        <f>ROUND(I830*(SUM(J830:M830))*68%,0)</f>
        <v/>
      </c>
      <c r="O830" s="61" t="n"/>
      <c r="P830" s="59" t="n"/>
      <c r="Q830" s="59" t="n"/>
      <c r="R830" s="58" t="n"/>
      <c r="S830" s="15">
        <f>I830*J830</f>
        <v/>
      </c>
      <c r="T830" s="15">
        <f>SUM(S830:S830)*68%</f>
        <v/>
      </c>
      <c r="U830" s="15">
        <f>I830*K830*40%*O830</f>
        <v/>
      </c>
      <c r="V830" s="15">
        <f>IF(P830&gt;=6750,(I830*K830*40%),0)</f>
        <v/>
      </c>
      <c r="W830" s="15">
        <f>IF(P830&lt;6750,0,IF(Q830="",0,IF(OR(Q830="KURANG",Q830="SANGAT KURANG"),I830*K830*10%,I830*K830*20%)))</f>
        <v/>
      </c>
      <c r="X830" s="15">
        <f>SUM(U830:W830)*68%</f>
        <v/>
      </c>
      <c r="Y830" s="15">
        <f>I830*L830</f>
        <v/>
      </c>
      <c r="Z830" s="15">
        <f>Y830 * 68%</f>
        <v/>
      </c>
      <c r="AA830" s="15">
        <f>I830*M830</f>
        <v/>
      </c>
      <c r="AB830" s="15">
        <f>AA830*68%</f>
        <v/>
      </c>
      <c r="AC830" s="16">
        <f>ROUND((T830+X830+Z830+AB830),0)</f>
        <v/>
      </c>
      <c r="AD830" s="16">
        <f>AG830</f>
        <v/>
      </c>
      <c r="AE830" s="16">
        <f>AI830</f>
        <v/>
      </c>
      <c r="AF830" s="16">
        <f>AC830+AD830+AE830</f>
        <v/>
      </c>
      <c r="AG830" s="16" t="n"/>
      <c r="AH830" s="17" t="n"/>
      <c r="AI830" s="17">
        <f>AH830*4</f>
        <v/>
      </c>
      <c r="AJ830" s="15">
        <f>AF830-AG830-AH830-AI830</f>
        <v/>
      </c>
      <c r="AK830" s="18" t="n">
        <v>823</v>
      </c>
      <c r="AL830" s="23" t="n"/>
    </row>
    <row r="831" ht="23.5" customHeight="1">
      <c r="A831" s="6" t="inlineStr">
        <is>
          <t>824</t>
        </is>
      </c>
      <c r="B831" s="24" t="n"/>
      <c r="C831" s="55" t="n"/>
      <c r="D831" s="19" t="n"/>
      <c r="E831" s="24" t="n"/>
      <c r="F831" s="25" t="n"/>
      <c r="G831" s="10" t="n"/>
      <c r="H831" s="8" t="n"/>
      <c r="I831" s="11" t="n"/>
      <c r="J831" s="57" t="n"/>
      <c r="K831" s="12" t="n"/>
      <c r="L831" s="13" t="n"/>
      <c r="M831" s="13" t="n"/>
      <c r="N831" s="14">
        <f>ROUND(I831*(SUM(J831:M831))*68%,0)</f>
        <v/>
      </c>
      <c r="O831" s="61" t="n"/>
      <c r="P831" s="59" t="n"/>
      <c r="Q831" s="59" t="n"/>
      <c r="R831" s="58" t="n"/>
      <c r="S831" s="15">
        <f>I831*J831</f>
        <v/>
      </c>
      <c r="T831" s="15">
        <f>SUM(S831:S831)*68%</f>
        <v/>
      </c>
      <c r="U831" s="15">
        <f>I831*K831*40%*O831</f>
        <v/>
      </c>
      <c r="V831" s="15">
        <f>IF(P831&gt;=6750,(I831*K831*40%),0)</f>
        <v/>
      </c>
      <c r="W831" s="15">
        <f>IF(P831&lt;6750,0,IF(Q831="",0,IF(OR(Q831="KURANG",Q831="SANGAT KURANG"),I831*K831*10%,I831*K831*20%)))</f>
        <v/>
      </c>
      <c r="X831" s="15">
        <f>SUM(U831:W831)*68%</f>
        <v/>
      </c>
      <c r="Y831" s="15">
        <f>I831*L831</f>
        <v/>
      </c>
      <c r="Z831" s="15">
        <f>Y831 * 68%</f>
        <v/>
      </c>
      <c r="AA831" s="15">
        <f>I831*M831</f>
        <v/>
      </c>
      <c r="AB831" s="15">
        <f>AA831*68%</f>
        <v/>
      </c>
      <c r="AC831" s="16">
        <f>ROUND((T831+X831+Z831+AB831),0)</f>
        <v/>
      </c>
      <c r="AD831" s="16">
        <f>AG831</f>
        <v/>
      </c>
      <c r="AE831" s="16">
        <f>AI831</f>
        <v/>
      </c>
      <c r="AF831" s="16">
        <f>AC831+AD831+AE831</f>
        <v/>
      </c>
      <c r="AG831" s="16" t="n"/>
      <c r="AH831" s="17" t="n"/>
      <c r="AI831" s="17">
        <f>AH831*4</f>
        <v/>
      </c>
      <c r="AJ831" s="15">
        <f>AF831-AG831-AH831-AI831</f>
        <v/>
      </c>
      <c r="AK831" s="18" t="n">
        <v>824</v>
      </c>
      <c r="AL831" s="40" t="n"/>
    </row>
    <row r="832" ht="23.5" customHeight="1">
      <c r="A832" s="6" t="inlineStr">
        <is>
          <t>825</t>
        </is>
      </c>
      <c r="B832" s="24" t="n"/>
      <c r="C832" s="55" t="n"/>
      <c r="D832" s="19" t="n"/>
      <c r="E832" s="24" t="n"/>
      <c r="F832" s="25" t="n"/>
      <c r="G832" s="10" t="n"/>
      <c r="H832" s="8" t="n"/>
      <c r="I832" s="11" t="n"/>
      <c r="J832" s="57" t="n"/>
      <c r="K832" s="12" t="n"/>
      <c r="L832" s="13" t="n"/>
      <c r="M832" s="13" t="n"/>
      <c r="N832" s="14">
        <f>ROUND(I832*(SUM(J832:M832))*68%,0)</f>
        <v/>
      </c>
      <c r="O832" s="61" t="n"/>
      <c r="P832" s="59" t="n"/>
      <c r="Q832" s="59" t="n"/>
      <c r="R832" s="58" t="n"/>
      <c r="S832" s="15">
        <f>I832*J832</f>
        <v/>
      </c>
      <c r="T832" s="15">
        <f>SUM(S832:S832)*68%</f>
        <v/>
      </c>
      <c r="U832" s="15">
        <f>I832*K832*40%*O832</f>
        <v/>
      </c>
      <c r="V832" s="15">
        <f>IF(P832&gt;=6750,(I832*K832*40%),0)</f>
        <v/>
      </c>
      <c r="W832" s="15">
        <f>IF(P832&lt;6750,0,IF(Q832="",0,IF(OR(Q832="KURANG",Q832="SANGAT KURANG"),I832*K832*10%,I832*K832*20%)))</f>
        <v/>
      </c>
      <c r="X832" s="15">
        <f>SUM(U832:W832)*68%</f>
        <v/>
      </c>
      <c r="Y832" s="15">
        <f>I832*L832</f>
        <v/>
      </c>
      <c r="Z832" s="15">
        <f>Y832 * 68%</f>
        <v/>
      </c>
      <c r="AA832" s="15">
        <f>I832*M832</f>
        <v/>
      </c>
      <c r="AB832" s="15">
        <f>AA832*68%</f>
        <v/>
      </c>
      <c r="AC832" s="16">
        <f>ROUND((T832+X832+Z832+AB832),0)</f>
        <v/>
      </c>
      <c r="AD832" s="16">
        <f>AG832</f>
        <v/>
      </c>
      <c r="AE832" s="16">
        <f>AI832</f>
        <v/>
      </c>
      <c r="AF832" s="16">
        <f>AC832+AD832+AE832</f>
        <v/>
      </c>
      <c r="AG832" s="16" t="n"/>
      <c r="AH832" s="17" t="n"/>
      <c r="AI832" s="17">
        <f>AH832*4</f>
        <v/>
      </c>
      <c r="AJ832" s="15">
        <f>AF832-AG832-AH832-AI832</f>
        <v/>
      </c>
      <c r="AK832" s="18" t="n">
        <v>825</v>
      </c>
      <c r="AL832" s="23" t="n"/>
    </row>
    <row r="833" ht="23.5" customHeight="1">
      <c r="A833" s="6" t="inlineStr">
        <is>
          <t>826</t>
        </is>
      </c>
      <c r="B833" s="28" t="n"/>
      <c r="C833" s="55" t="n"/>
      <c r="D833" s="19" t="n"/>
      <c r="E833" s="24" t="n"/>
      <c r="F833" s="25" t="n"/>
      <c r="G833" s="10" t="n"/>
      <c r="H833" s="8" t="n"/>
      <c r="I833" s="11" t="n"/>
      <c r="J833" s="57" t="n"/>
      <c r="K833" s="12" t="n"/>
      <c r="L833" s="13" t="n"/>
      <c r="M833" s="13" t="n"/>
      <c r="N833" s="14">
        <f>ROUND(I833*(SUM(J833:M833))*68%,0)</f>
        <v/>
      </c>
      <c r="O833" s="61" t="n"/>
      <c r="P833" s="59" t="n"/>
      <c r="Q833" s="59" t="n"/>
      <c r="R833" s="58" t="n"/>
      <c r="S833" s="15">
        <f>I833*J833</f>
        <v/>
      </c>
      <c r="T833" s="15">
        <f>SUM(S833:S833)*68%</f>
        <v/>
      </c>
      <c r="U833" s="15">
        <f>I833*K833*40%*O833</f>
        <v/>
      </c>
      <c r="V833" s="15">
        <f>IF(P833&gt;=6750,(I833*K833*40%),0)</f>
        <v/>
      </c>
      <c r="W833" s="15">
        <f>IF(P833&lt;6750,0,IF(Q833="",0,IF(OR(Q833="KURANG",Q833="SANGAT KURANG"),I833*K833*10%,I833*K833*20%)))</f>
        <v/>
      </c>
      <c r="X833" s="15">
        <f>SUM(U833:W833)*68%</f>
        <v/>
      </c>
      <c r="Y833" s="15">
        <f>I833*L833</f>
        <v/>
      </c>
      <c r="Z833" s="15">
        <f>Y833 * 68%</f>
        <v/>
      </c>
      <c r="AA833" s="15">
        <f>I833*M833</f>
        <v/>
      </c>
      <c r="AB833" s="15">
        <f>AA833*68%</f>
        <v/>
      </c>
      <c r="AC833" s="16">
        <f>ROUND((T833+X833+Z833+AB833),0)</f>
        <v/>
      </c>
      <c r="AD833" s="16">
        <f>AG833</f>
        <v/>
      </c>
      <c r="AE833" s="16">
        <f>AI833</f>
        <v/>
      </c>
      <c r="AF833" s="16">
        <f>AC833+AD833+AE833</f>
        <v/>
      </c>
      <c r="AG833" s="16" t="n"/>
      <c r="AH833" s="17" t="n"/>
      <c r="AI833" s="17">
        <f>AH833*4</f>
        <v/>
      </c>
      <c r="AJ833" s="15">
        <f>AF833-AG833-AH833-AI833</f>
        <v/>
      </c>
      <c r="AK833" s="18" t="n">
        <v>826</v>
      </c>
      <c r="AL833" s="23" t="n"/>
    </row>
    <row r="834" ht="23.5" customHeight="1">
      <c r="A834" s="6" t="inlineStr">
        <is>
          <t>827</t>
        </is>
      </c>
      <c r="B834" s="24" t="n"/>
      <c r="C834" s="55" t="n"/>
      <c r="D834" s="19" t="n"/>
      <c r="E834" s="24" t="n"/>
      <c r="F834" s="25" t="n"/>
      <c r="G834" s="10" t="n"/>
      <c r="H834" s="8" t="n"/>
      <c r="I834" s="11" t="n"/>
      <c r="J834" s="57" t="n"/>
      <c r="K834" s="12" t="n"/>
      <c r="L834" s="22" t="n"/>
      <c r="M834" s="13" t="n"/>
      <c r="N834" s="14">
        <f>ROUND(I834*(SUM(J834:M834))*68%,0)</f>
        <v/>
      </c>
      <c r="O834" s="61" t="n"/>
      <c r="P834" s="59" t="n"/>
      <c r="Q834" s="59" t="n"/>
      <c r="R834" s="58" t="n"/>
      <c r="S834" s="15">
        <f>I834*J834</f>
        <v/>
      </c>
      <c r="T834" s="15">
        <f>SUM(S834:S834)*68%</f>
        <v/>
      </c>
      <c r="U834" s="15">
        <f>I834*K834*40%*O834</f>
        <v/>
      </c>
      <c r="V834" s="15">
        <f>IF(P834&gt;=6750,(I834*K834*40%),0)</f>
        <v/>
      </c>
      <c r="W834" s="15">
        <f>IF(P834&lt;6750,0,IF(Q834="",0,IF(OR(Q834="KURANG",Q834="SANGAT KURANG"),I834*K834*10%,I834*K834*20%)))</f>
        <v/>
      </c>
      <c r="X834" s="15">
        <f>SUM(U834:W834)*68%</f>
        <v/>
      </c>
      <c r="Y834" s="15">
        <f>I834*L834</f>
        <v/>
      </c>
      <c r="Z834" s="15">
        <f>Y834 * 68%</f>
        <v/>
      </c>
      <c r="AA834" s="15">
        <f>I834*M834</f>
        <v/>
      </c>
      <c r="AB834" s="15">
        <f>AA834*68%</f>
        <v/>
      </c>
      <c r="AC834" s="16">
        <f>ROUND((T834+X834+Z834+AB834),0)</f>
        <v/>
      </c>
      <c r="AD834" s="16">
        <f>AG834</f>
        <v/>
      </c>
      <c r="AE834" s="16">
        <f>AI834</f>
        <v/>
      </c>
      <c r="AF834" s="16">
        <f>AC834+AD834+AE834</f>
        <v/>
      </c>
      <c r="AG834" s="16" t="n"/>
      <c r="AH834" s="17" t="n"/>
      <c r="AI834" s="17">
        <f>AH834*4</f>
        <v/>
      </c>
      <c r="AJ834" s="15">
        <f>AF834-AG834-AH834-AI834</f>
        <v/>
      </c>
      <c r="AK834" s="18" t="n">
        <v>827</v>
      </c>
      <c r="AL834" s="40" t="n"/>
    </row>
    <row r="835" ht="23.5" customHeight="1">
      <c r="A835" s="6" t="inlineStr">
        <is>
          <t>828</t>
        </is>
      </c>
      <c r="B835" s="28" t="n"/>
      <c r="C835" s="55" t="n"/>
      <c r="D835" s="19" t="n"/>
      <c r="E835" s="24" t="n"/>
      <c r="F835" s="25" t="n"/>
      <c r="G835" s="10" t="n"/>
      <c r="H835" s="8" t="n"/>
      <c r="I835" s="11" t="n"/>
      <c r="J835" s="57" t="n"/>
      <c r="K835" s="12" t="n"/>
      <c r="L835" s="22" t="n"/>
      <c r="M835" s="13" t="n"/>
      <c r="N835" s="14">
        <f>ROUND(I835*(SUM(J835:M835))*68%,0)</f>
        <v/>
      </c>
      <c r="O835" s="61" t="n"/>
      <c r="P835" s="59" t="n"/>
      <c r="Q835" s="59" t="n"/>
      <c r="R835" s="58" t="n"/>
      <c r="S835" s="15">
        <f>I835*J835</f>
        <v/>
      </c>
      <c r="T835" s="15">
        <f>SUM(S835:S835)*68%</f>
        <v/>
      </c>
      <c r="U835" s="15">
        <f>I835*K835*40%*O835</f>
        <v/>
      </c>
      <c r="V835" s="15">
        <f>IF(P835&gt;=6750,(I835*K835*40%),0)</f>
        <v/>
      </c>
      <c r="W835" s="15">
        <f>IF(P835&lt;6750,0,IF(Q835="",0,IF(OR(Q835="KURANG",Q835="SANGAT KURANG"),I835*K835*10%,I835*K835*20%)))</f>
        <v/>
      </c>
      <c r="X835" s="15">
        <f>SUM(U835:W835)*68%</f>
        <v/>
      </c>
      <c r="Y835" s="15">
        <f>I835*L835</f>
        <v/>
      </c>
      <c r="Z835" s="15">
        <f>Y835 * 68%</f>
        <v/>
      </c>
      <c r="AA835" s="15">
        <f>I835*M835</f>
        <v/>
      </c>
      <c r="AB835" s="15">
        <f>AA835*68%</f>
        <v/>
      </c>
      <c r="AC835" s="16">
        <f>ROUND((T835+X835+Z835+AB835),0)</f>
        <v/>
      </c>
      <c r="AD835" s="16">
        <f>AG835</f>
        <v/>
      </c>
      <c r="AE835" s="16">
        <f>AI835</f>
        <v/>
      </c>
      <c r="AF835" s="16">
        <f>AC835+AD835+AE835</f>
        <v/>
      </c>
      <c r="AG835" s="16" t="n"/>
      <c r="AH835" s="17" t="n"/>
      <c r="AI835" s="17">
        <f>AH835*4</f>
        <v/>
      </c>
      <c r="AJ835" s="15">
        <f>AF835-AG835-AH835-AI835</f>
        <v/>
      </c>
      <c r="AK835" s="18" t="n">
        <v>828</v>
      </c>
      <c r="AL835" s="23" t="n"/>
    </row>
    <row r="836" ht="23.5" customHeight="1">
      <c r="A836" s="6" t="inlineStr">
        <is>
          <t>829</t>
        </is>
      </c>
      <c r="B836" s="24" t="n"/>
      <c r="C836" s="55" t="n"/>
      <c r="D836" s="19" t="n"/>
      <c r="E836" s="24" t="n"/>
      <c r="F836" s="25" t="n"/>
      <c r="G836" s="10" t="n"/>
      <c r="H836" s="8" t="n"/>
      <c r="I836" s="11" t="n"/>
      <c r="J836" s="57" t="n"/>
      <c r="K836" s="12" t="n"/>
      <c r="L836" s="22" t="n"/>
      <c r="M836" s="13" t="n"/>
      <c r="N836" s="14">
        <f>ROUND(I836*(SUM(J836:M836))*68%,0)</f>
        <v/>
      </c>
      <c r="O836" s="61" t="n"/>
      <c r="P836" s="59" t="n"/>
      <c r="Q836" s="59" t="n"/>
      <c r="R836" s="58" t="n"/>
      <c r="S836" s="15">
        <f>I836*J836</f>
        <v/>
      </c>
      <c r="T836" s="15">
        <f>SUM(S836:S836)*68%</f>
        <v/>
      </c>
      <c r="U836" s="15">
        <f>I836*K836*40%*O836</f>
        <v/>
      </c>
      <c r="V836" s="15">
        <f>IF(P836&gt;=6750,(I836*K836*40%),0)</f>
        <v/>
      </c>
      <c r="W836" s="15">
        <f>IF(P836&lt;6750,0,IF(Q836="",0,IF(OR(Q836="KURANG",Q836="SANGAT KURANG"),I836*K836*10%,I836*K836*20%)))</f>
        <v/>
      </c>
      <c r="X836" s="15">
        <f>SUM(U836:W836)*68%</f>
        <v/>
      </c>
      <c r="Y836" s="15">
        <f>I836*L836</f>
        <v/>
      </c>
      <c r="Z836" s="15">
        <f>Y836 * 68%</f>
        <v/>
      </c>
      <c r="AA836" s="15">
        <f>I836*M836</f>
        <v/>
      </c>
      <c r="AB836" s="15">
        <f>AA836*68%</f>
        <v/>
      </c>
      <c r="AC836" s="16">
        <f>ROUND((T836+X836+Z836+AB836),0)</f>
        <v/>
      </c>
      <c r="AD836" s="16">
        <f>AG836</f>
        <v/>
      </c>
      <c r="AE836" s="16">
        <f>AI836</f>
        <v/>
      </c>
      <c r="AF836" s="16">
        <f>AC836+AD836+AE836</f>
        <v/>
      </c>
      <c r="AG836" s="16" t="n"/>
      <c r="AH836" s="17" t="n"/>
      <c r="AI836" s="17">
        <f>AH836*4</f>
        <v/>
      </c>
      <c r="AJ836" s="15">
        <f>AF836-AG836-AH836-AI836</f>
        <v/>
      </c>
      <c r="AK836" s="18" t="n">
        <v>829</v>
      </c>
      <c r="AL836" s="23" t="n"/>
    </row>
    <row r="837" ht="23.5" customHeight="1">
      <c r="A837" s="6" t="inlineStr">
        <is>
          <t>830</t>
        </is>
      </c>
      <c r="B837" s="24" t="n"/>
      <c r="C837" s="55" t="n"/>
      <c r="D837" s="19" t="n"/>
      <c r="E837" s="24" t="n"/>
      <c r="F837" s="25" t="n"/>
      <c r="G837" s="10" t="n"/>
      <c r="H837" s="8" t="n"/>
      <c r="I837" s="11" t="n"/>
      <c r="J837" s="57" t="n"/>
      <c r="K837" s="12" t="n"/>
      <c r="L837" s="22" t="n"/>
      <c r="M837" s="13" t="n"/>
      <c r="N837" s="14">
        <f>ROUND(I837*(SUM(J837:M837))*68%,0)</f>
        <v/>
      </c>
      <c r="O837" s="61" t="n"/>
      <c r="P837" s="59" t="n"/>
      <c r="Q837" s="59" t="n"/>
      <c r="R837" s="58" t="n"/>
      <c r="S837" s="15">
        <f>I837*J837</f>
        <v/>
      </c>
      <c r="T837" s="15">
        <f>SUM(S837:S837)*68%</f>
        <v/>
      </c>
      <c r="U837" s="15">
        <f>I837*K837*40%*O837</f>
        <v/>
      </c>
      <c r="V837" s="15">
        <f>IF(P837&gt;=6750,(I837*K837*40%),0)</f>
        <v/>
      </c>
      <c r="W837" s="15">
        <f>IF(P837&lt;6750,0,IF(Q837="",0,IF(OR(Q837="KURANG",Q837="SANGAT KURANG"),I837*K837*10%,I837*K837*20%)))</f>
        <v/>
      </c>
      <c r="X837" s="15">
        <f>SUM(U837:W837)*68%</f>
        <v/>
      </c>
      <c r="Y837" s="15">
        <f>I837*L837</f>
        <v/>
      </c>
      <c r="Z837" s="15">
        <f>Y837 * 68%</f>
        <v/>
      </c>
      <c r="AA837" s="15">
        <f>I837*M837</f>
        <v/>
      </c>
      <c r="AB837" s="15">
        <f>AA837*68%</f>
        <v/>
      </c>
      <c r="AC837" s="16">
        <f>ROUND((T837+X837+Z837+AB837),0)</f>
        <v/>
      </c>
      <c r="AD837" s="16">
        <f>AG837</f>
        <v/>
      </c>
      <c r="AE837" s="16">
        <f>AI837</f>
        <v/>
      </c>
      <c r="AF837" s="16">
        <f>AC837+AD837+AE837</f>
        <v/>
      </c>
      <c r="AG837" s="16" t="n"/>
      <c r="AH837" s="17" t="n"/>
      <c r="AI837" s="17">
        <f>AH837*4</f>
        <v/>
      </c>
      <c r="AJ837" s="15">
        <f>AF837-AG837-AH837-AI837</f>
        <v/>
      </c>
      <c r="AK837" s="18" t="n">
        <v>830</v>
      </c>
      <c r="AL837" s="40" t="n"/>
    </row>
    <row r="838" ht="23.5" customHeight="1">
      <c r="A838" s="6" t="inlineStr">
        <is>
          <t>831</t>
        </is>
      </c>
      <c r="B838" s="24" t="n"/>
      <c r="C838" s="55" t="n"/>
      <c r="D838" s="19" t="n"/>
      <c r="E838" s="24" t="n"/>
      <c r="F838" s="25" t="n"/>
      <c r="G838" s="10" t="n"/>
      <c r="H838" s="8" t="n"/>
      <c r="I838" s="11" t="n"/>
      <c r="J838" s="57" t="n"/>
      <c r="K838" s="12" t="n"/>
      <c r="L838" s="22" t="n"/>
      <c r="M838" s="13" t="n"/>
      <c r="N838" s="14">
        <f>ROUND(I838*(SUM(J838:M838))*68%,0)</f>
        <v/>
      </c>
      <c r="O838" s="61" t="n"/>
      <c r="P838" s="59" t="n"/>
      <c r="Q838" s="59" t="n"/>
      <c r="R838" s="58" t="n"/>
      <c r="S838" s="15">
        <f>I838*J838</f>
        <v/>
      </c>
      <c r="T838" s="15">
        <f>SUM(S838:S838)*68%</f>
        <v/>
      </c>
      <c r="U838" s="15">
        <f>I838*K838*40%*O838</f>
        <v/>
      </c>
      <c r="V838" s="15">
        <f>IF(P838&gt;=6750,(I838*K838*40%),0)</f>
        <v/>
      </c>
      <c r="W838" s="15">
        <f>IF(P838&lt;6750,0,IF(Q838="",0,IF(OR(Q838="KURANG",Q838="SANGAT KURANG"),I838*K838*10%,I838*K838*20%)))</f>
        <v/>
      </c>
      <c r="X838" s="15">
        <f>SUM(U838:W838)*68%</f>
        <v/>
      </c>
      <c r="Y838" s="15">
        <f>I838*L838</f>
        <v/>
      </c>
      <c r="Z838" s="15">
        <f>Y838 * 68%</f>
        <v/>
      </c>
      <c r="AA838" s="15">
        <f>I838*M838</f>
        <v/>
      </c>
      <c r="AB838" s="15">
        <f>AA838*68%</f>
        <v/>
      </c>
      <c r="AC838" s="16">
        <f>ROUND((T838+X838+Z838+AB838),0)</f>
        <v/>
      </c>
      <c r="AD838" s="16">
        <f>AG838</f>
        <v/>
      </c>
      <c r="AE838" s="16">
        <f>AI838</f>
        <v/>
      </c>
      <c r="AF838" s="16">
        <f>AC838+AD838+AE838</f>
        <v/>
      </c>
      <c r="AG838" s="16" t="n"/>
      <c r="AH838" s="17" t="n"/>
      <c r="AI838" s="17">
        <f>AH838*4</f>
        <v/>
      </c>
      <c r="AJ838" s="15">
        <f>AF838-AG838-AH838-AI838</f>
        <v/>
      </c>
      <c r="AK838" s="18" t="n">
        <v>831</v>
      </c>
      <c r="AL838" s="23" t="n"/>
    </row>
    <row r="839" ht="23.5" customHeight="1">
      <c r="A839" s="6" t="inlineStr">
        <is>
          <t>832</t>
        </is>
      </c>
      <c r="B839" s="24" t="n"/>
      <c r="C839" s="55" t="n"/>
      <c r="D839" s="19" t="n"/>
      <c r="E839" s="24" t="n"/>
      <c r="F839" s="25" t="n"/>
      <c r="G839" s="10" t="n"/>
      <c r="H839" s="8" t="n"/>
      <c r="I839" s="11" t="n"/>
      <c r="J839" s="57" t="n"/>
      <c r="K839" s="12" t="n"/>
      <c r="L839" s="22" t="n"/>
      <c r="M839" s="13" t="n"/>
      <c r="N839" s="14">
        <f>ROUND(I839*(SUM(J839:M839))*68%,0)</f>
        <v/>
      </c>
      <c r="O839" s="61" t="n"/>
      <c r="P839" s="59" t="n"/>
      <c r="Q839" s="59" t="n"/>
      <c r="R839" s="58" t="n"/>
      <c r="S839" s="15">
        <f>I839*J839</f>
        <v/>
      </c>
      <c r="T839" s="15">
        <f>SUM(S839:S839)*68%</f>
        <v/>
      </c>
      <c r="U839" s="15">
        <f>I839*K839*40%*O839</f>
        <v/>
      </c>
      <c r="V839" s="15">
        <f>IF(P839&gt;=6750,(I839*K839*40%),0)</f>
        <v/>
      </c>
      <c r="W839" s="15">
        <f>IF(P839&lt;6750,0,IF(Q839="",0,IF(OR(Q839="KURANG",Q839="SANGAT KURANG"),I839*K839*10%,I839*K839*20%)))</f>
        <v/>
      </c>
      <c r="X839" s="15">
        <f>SUM(U839:W839)*68%</f>
        <v/>
      </c>
      <c r="Y839" s="15">
        <f>I839*L839</f>
        <v/>
      </c>
      <c r="Z839" s="15">
        <f>Y839 * 68%</f>
        <v/>
      </c>
      <c r="AA839" s="15">
        <f>I839*M839</f>
        <v/>
      </c>
      <c r="AB839" s="15">
        <f>AA839*68%</f>
        <v/>
      </c>
      <c r="AC839" s="16">
        <f>ROUND((T839+X839+Z839+AB839),0)</f>
        <v/>
      </c>
      <c r="AD839" s="16">
        <f>AG839</f>
        <v/>
      </c>
      <c r="AE839" s="16">
        <f>AI839</f>
        <v/>
      </c>
      <c r="AF839" s="16">
        <f>AC839+AD839+AE839</f>
        <v/>
      </c>
      <c r="AG839" s="16" t="n"/>
      <c r="AH839" s="17" t="n"/>
      <c r="AI839" s="17">
        <f>AH839*4</f>
        <v/>
      </c>
      <c r="AJ839" s="15">
        <f>AF839-AG839-AH839-AI839</f>
        <v/>
      </c>
      <c r="AK839" s="18" t="n">
        <v>832</v>
      </c>
      <c r="AL839" s="23" t="n"/>
    </row>
    <row r="840" ht="23.5" customHeight="1">
      <c r="A840" s="6" t="inlineStr">
        <is>
          <t>833</t>
        </is>
      </c>
      <c r="B840" s="24" t="n"/>
      <c r="C840" s="55" t="n"/>
      <c r="D840" s="19" t="n"/>
      <c r="E840" s="24" t="n"/>
      <c r="F840" s="25" t="n"/>
      <c r="G840" s="10" t="n"/>
      <c r="H840" s="8" t="n"/>
      <c r="I840" s="11" t="n"/>
      <c r="J840" s="57" t="n"/>
      <c r="K840" s="12" t="n"/>
      <c r="L840" s="22" t="n"/>
      <c r="M840" s="13" t="n"/>
      <c r="N840" s="14">
        <f>ROUND(I840*(SUM(J840:M840))*68%,0)</f>
        <v/>
      </c>
      <c r="O840" s="61" t="n"/>
      <c r="P840" s="59" t="n"/>
      <c r="Q840" s="59" t="n"/>
      <c r="R840" s="58" t="n"/>
      <c r="S840" s="15">
        <f>I840*J840</f>
        <v/>
      </c>
      <c r="T840" s="15">
        <f>SUM(S840:S840)*68%</f>
        <v/>
      </c>
      <c r="U840" s="15">
        <f>I840*K840*40%*O840</f>
        <v/>
      </c>
      <c r="V840" s="15">
        <f>IF(P840&gt;=6750,(I840*K840*40%),0)</f>
        <v/>
      </c>
      <c r="W840" s="15">
        <f>IF(P840&lt;6750,0,IF(Q840="",0,IF(OR(Q840="KURANG",Q840="SANGAT KURANG"),I840*K840*10%,I840*K840*20%)))</f>
        <v/>
      </c>
      <c r="X840" s="15">
        <f>SUM(U840:W840)*68%</f>
        <v/>
      </c>
      <c r="Y840" s="15">
        <f>I840*L840</f>
        <v/>
      </c>
      <c r="Z840" s="15">
        <f>Y840 * 68%</f>
        <v/>
      </c>
      <c r="AA840" s="15">
        <f>I840*M840</f>
        <v/>
      </c>
      <c r="AB840" s="15">
        <f>AA840*68%</f>
        <v/>
      </c>
      <c r="AC840" s="16">
        <f>ROUND((T840+X840+Z840+AB840),0)</f>
        <v/>
      </c>
      <c r="AD840" s="16">
        <f>AG840</f>
        <v/>
      </c>
      <c r="AE840" s="16">
        <f>AI840</f>
        <v/>
      </c>
      <c r="AF840" s="16">
        <f>AC840+AD840+AE840</f>
        <v/>
      </c>
      <c r="AG840" s="16" t="n"/>
      <c r="AH840" s="17" t="n"/>
      <c r="AI840" s="17">
        <f>AH840*4</f>
        <v/>
      </c>
      <c r="AJ840" s="15">
        <f>AF840-AG840-AH840-AI840</f>
        <v/>
      </c>
      <c r="AK840" s="18" t="n">
        <v>833</v>
      </c>
      <c r="AL840" s="40" t="n"/>
    </row>
    <row r="841" ht="23.5" customHeight="1">
      <c r="A841" s="6" t="inlineStr">
        <is>
          <t>834</t>
        </is>
      </c>
      <c r="B841" s="28" t="n"/>
      <c r="C841" s="55" t="n"/>
      <c r="D841" s="19" t="n"/>
      <c r="E841" s="24" t="n"/>
      <c r="F841" s="25" t="n"/>
      <c r="G841" s="10" t="n"/>
      <c r="H841" s="8" t="n"/>
      <c r="I841" s="11" t="n"/>
      <c r="J841" s="57" t="n"/>
      <c r="K841" s="12" t="n"/>
      <c r="L841" s="22" t="n"/>
      <c r="M841" s="13" t="n"/>
      <c r="N841" s="14">
        <f>ROUND(I841*(SUM(J841:M841))*68%,0)</f>
        <v/>
      </c>
      <c r="O841" s="61" t="n"/>
      <c r="P841" s="59" t="n"/>
      <c r="Q841" s="59" t="n"/>
      <c r="R841" s="58" t="n"/>
      <c r="S841" s="15">
        <f>I841*J841</f>
        <v/>
      </c>
      <c r="T841" s="15">
        <f>SUM(S841:S841)*68%</f>
        <v/>
      </c>
      <c r="U841" s="15">
        <f>I841*K841*40%*O841</f>
        <v/>
      </c>
      <c r="V841" s="15">
        <f>IF(P841&gt;=6750,(I841*K841*40%),0)</f>
        <v/>
      </c>
      <c r="W841" s="15">
        <f>IF(P841&lt;6750,0,IF(Q841="",0,IF(OR(Q841="KURANG",Q841="SANGAT KURANG"),I841*K841*10%,I841*K841*20%)))</f>
        <v/>
      </c>
      <c r="X841" s="15">
        <f>SUM(U841:W841)*68%</f>
        <v/>
      </c>
      <c r="Y841" s="15">
        <f>I841*L841</f>
        <v/>
      </c>
      <c r="Z841" s="15">
        <f>Y841 * 68%</f>
        <v/>
      </c>
      <c r="AA841" s="15">
        <f>I841*M841</f>
        <v/>
      </c>
      <c r="AB841" s="15">
        <f>AA841*68%</f>
        <v/>
      </c>
      <c r="AC841" s="16">
        <f>ROUND((T841+X841+Z841+AB841),0)</f>
        <v/>
      </c>
      <c r="AD841" s="16">
        <f>AG841</f>
        <v/>
      </c>
      <c r="AE841" s="16">
        <f>AI841</f>
        <v/>
      </c>
      <c r="AF841" s="16">
        <f>AC841+AD841+AE841</f>
        <v/>
      </c>
      <c r="AG841" s="16" t="n"/>
      <c r="AH841" s="17" t="n"/>
      <c r="AI841" s="17">
        <f>AH841*4</f>
        <v/>
      </c>
      <c r="AJ841" s="15">
        <f>AF841-AG841-AH841-AI841</f>
        <v/>
      </c>
      <c r="AK841" s="18" t="n">
        <v>834</v>
      </c>
      <c r="AL841" s="23" t="n"/>
    </row>
    <row r="842" ht="23.5" customHeight="1">
      <c r="A842" s="6" t="inlineStr">
        <is>
          <t>835</t>
        </is>
      </c>
      <c r="B842" s="30" t="n"/>
      <c r="C842" s="55" t="n"/>
      <c r="D842" s="29" t="n"/>
      <c r="E842" s="30" t="n"/>
      <c r="F842" s="31" t="n"/>
      <c r="G842" s="32" t="n"/>
      <c r="H842" s="33" t="n"/>
      <c r="I842" s="11" t="n"/>
      <c r="J842" s="57" t="n"/>
      <c r="K842" s="12" t="n"/>
      <c r="L842" s="22" t="n"/>
      <c r="M842" s="13" t="n"/>
      <c r="N842" s="14">
        <f>ROUND(I842*(SUM(J842:M842))*68%,0)</f>
        <v/>
      </c>
      <c r="O842" s="61" t="n"/>
      <c r="P842" s="59" t="n"/>
      <c r="Q842" s="59" t="n"/>
      <c r="R842" s="58" t="n"/>
      <c r="S842" s="15">
        <f>I842*J842</f>
        <v/>
      </c>
      <c r="T842" s="15">
        <f>SUM(S842:S842)*68%</f>
        <v/>
      </c>
      <c r="U842" s="15">
        <f>I842*K842*40%*O842</f>
        <v/>
      </c>
      <c r="V842" s="15">
        <f>IF(P842&gt;=6750,(I842*K842*40%),0)</f>
        <v/>
      </c>
      <c r="W842" s="15">
        <f>IF(P842&lt;6750,0,IF(Q842="",0,IF(OR(Q842="KURANG",Q842="SANGAT KURANG"),I842*K842*10%,I842*K842*20%)))</f>
        <v/>
      </c>
      <c r="X842" s="15">
        <f>SUM(U842:W842)*68%</f>
        <v/>
      </c>
      <c r="Y842" s="15">
        <f>I842*L842</f>
        <v/>
      </c>
      <c r="Z842" s="15">
        <f>Y842 * 68%</f>
        <v/>
      </c>
      <c r="AA842" s="15">
        <f>I842*M842</f>
        <v/>
      </c>
      <c r="AB842" s="15">
        <f>AA842*68%</f>
        <v/>
      </c>
      <c r="AC842" s="16">
        <f>ROUND((T842+X842+Z842+AB842),0)</f>
        <v/>
      </c>
      <c r="AD842" s="16">
        <f>AG842</f>
        <v/>
      </c>
      <c r="AE842" s="16">
        <f>AI842</f>
        <v/>
      </c>
      <c r="AF842" s="16">
        <f>AC842+AD842+AE842</f>
        <v/>
      </c>
      <c r="AG842" s="16" t="n"/>
      <c r="AH842" s="17" t="n"/>
      <c r="AI842" s="17">
        <f>AH842*4</f>
        <v/>
      </c>
      <c r="AJ842" s="15">
        <f>AF842-AG842-AH842-AI842</f>
        <v/>
      </c>
      <c r="AK842" s="18" t="n">
        <v>835</v>
      </c>
      <c r="AL842" s="23" t="n"/>
    </row>
    <row r="843" ht="23.5" customHeight="1">
      <c r="A843" s="6" t="inlineStr">
        <is>
          <t>836</t>
        </is>
      </c>
      <c r="B843" s="24" t="n"/>
      <c r="C843" s="55" t="n"/>
      <c r="D843" s="19" t="n"/>
      <c r="E843" s="24" t="n"/>
      <c r="F843" s="25" t="n"/>
      <c r="G843" s="25" t="n"/>
      <c r="H843" s="24" t="n"/>
      <c r="I843" s="11" t="n"/>
      <c r="J843" s="57" t="n"/>
      <c r="K843" s="12" t="n"/>
      <c r="L843" s="22" t="n"/>
      <c r="M843" s="13" t="n"/>
      <c r="N843" s="14">
        <f>ROUND(I843*(SUM(J843:M843))*68%,0)</f>
        <v/>
      </c>
      <c r="O843" s="61" t="n"/>
      <c r="P843" s="59" t="n"/>
      <c r="Q843" s="59" t="n"/>
      <c r="R843" s="58" t="n"/>
      <c r="S843" s="15">
        <f>I843*J843</f>
        <v/>
      </c>
      <c r="T843" s="15">
        <f>SUM(S843:S843)*68%</f>
        <v/>
      </c>
      <c r="U843" s="15">
        <f>I843*K843*40%*O843</f>
        <v/>
      </c>
      <c r="V843" s="15">
        <f>IF(P843&gt;=6750,(I843*K843*40%),0)</f>
        <v/>
      </c>
      <c r="W843" s="15">
        <f>IF(P843&lt;6750,0,IF(Q843="",0,IF(OR(Q843="KURANG",Q843="SANGAT KURANG"),I843*K843*10%,I843*K843*20%)))</f>
        <v/>
      </c>
      <c r="X843" s="15">
        <f>SUM(U843:W843)*68%</f>
        <v/>
      </c>
      <c r="Y843" s="15">
        <f>I843*L843</f>
        <v/>
      </c>
      <c r="Z843" s="15">
        <f>Y843 * 68%</f>
        <v/>
      </c>
      <c r="AA843" s="15">
        <f>I843*M843</f>
        <v/>
      </c>
      <c r="AB843" s="15">
        <f>AA843*68%</f>
        <v/>
      </c>
      <c r="AC843" s="16">
        <f>ROUND((T843+X843+Z843+AB843),0)</f>
        <v/>
      </c>
      <c r="AD843" s="16">
        <f>AG843</f>
        <v/>
      </c>
      <c r="AE843" s="16">
        <f>AI843</f>
        <v/>
      </c>
      <c r="AF843" s="16">
        <f>AC843+AD843+AE843</f>
        <v/>
      </c>
      <c r="AG843" s="16" t="n"/>
      <c r="AH843" s="17" t="n"/>
      <c r="AI843" s="17">
        <f>AH843*4</f>
        <v/>
      </c>
      <c r="AJ843" s="15">
        <f>AF843-AG843-AH843-AI843</f>
        <v/>
      </c>
      <c r="AK843" s="18" t="n">
        <v>836</v>
      </c>
      <c r="AL843" s="40" t="n"/>
    </row>
    <row r="844" ht="23.5" customHeight="1">
      <c r="A844" s="6" t="inlineStr">
        <is>
          <t>837</t>
        </is>
      </c>
      <c r="B844" s="24" t="n"/>
      <c r="C844" s="55" t="n"/>
      <c r="D844" s="19" t="n"/>
      <c r="E844" s="24" t="n"/>
      <c r="F844" s="25" t="n"/>
      <c r="G844" s="25" t="n"/>
      <c r="H844" s="24" t="n"/>
      <c r="I844" s="11" t="n"/>
      <c r="J844" s="57" t="n"/>
      <c r="K844" s="12" t="n"/>
      <c r="L844" s="22" t="n"/>
      <c r="M844" s="13" t="n"/>
      <c r="N844" s="14">
        <f>ROUND(I844*(SUM(J844:M844))*68%,0)</f>
        <v/>
      </c>
      <c r="O844" s="61" t="n"/>
      <c r="P844" s="59" t="n"/>
      <c r="Q844" s="59" t="n"/>
      <c r="R844" s="58" t="n"/>
      <c r="S844" s="15">
        <f>I844*J844</f>
        <v/>
      </c>
      <c r="T844" s="15">
        <f>SUM(S844:S844)*68%</f>
        <v/>
      </c>
      <c r="U844" s="15">
        <f>I844*K844*40%*O844</f>
        <v/>
      </c>
      <c r="V844" s="15">
        <f>IF(P844&gt;=6750,(I844*K844*40%),0)</f>
        <v/>
      </c>
      <c r="W844" s="15">
        <f>IF(P844&lt;6750,0,IF(Q844="",0,IF(OR(Q844="KURANG",Q844="SANGAT KURANG"),I844*K844*10%,I844*K844*20%)))</f>
        <v/>
      </c>
      <c r="X844" s="15">
        <f>SUM(U844:W844)*68%</f>
        <v/>
      </c>
      <c r="Y844" s="15">
        <f>I844*L844</f>
        <v/>
      </c>
      <c r="Z844" s="15">
        <f>Y844 * 68%</f>
        <v/>
      </c>
      <c r="AA844" s="15">
        <f>I844*M844</f>
        <v/>
      </c>
      <c r="AB844" s="15">
        <f>AA844*68%</f>
        <v/>
      </c>
      <c r="AC844" s="16">
        <f>ROUND((T844+X844+Z844+AB844),0)</f>
        <v/>
      </c>
      <c r="AD844" s="16">
        <f>AG844</f>
        <v/>
      </c>
      <c r="AE844" s="16">
        <f>AI844</f>
        <v/>
      </c>
      <c r="AF844" s="16">
        <f>AC844+AD844+AE844</f>
        <v/>
      </c>
      <c r="AG844" s="16" t="n"/>
      <c r="AH844" s="17" t="n"/>
      <c r="AI844" s="17">
        <f>AH844*4</f>
        <v/>
      </c>
      <c r="AJ844" s="15">
        <f>AF844-AG844-AH844-AI844</f>
        <v/>
      </c>
      <c r="AK844" s="18" t="n">
        <v>837</v>
      </c>
      <c r="AL844" s="23" t="n"/>
    </row>
    <row r="845" ht="23.5" customHeight="1">
      <c r="A845" s="6" t="inlineStr">
        <is>
          <t>838</t>
        </is>
      </c>
      <c r="B845" s="24" t="n"/>
      <c r="C845" s="55" t="n"/>
      <c r="D845" s="19" t="n"/>
      <c r="E845" s="24" t="n"/>
      <c r="F845" s="25" t="n"/>
      <c r="G845" s="25" t="n"/>
      <c r="H845" s="24" t="n"/>
      <c r="I845" s="11" t="n"/>
      <c r="J845" s="57" t="n"/>
      <c r="K845" s="12" t="n"/>
      <c r="L845" s="22" t="n"/>
      <c r="M845" s="13" t="n"/>
      <c r="N845" s="14">
        <f>ROUND(I845*(SUM(J845:M845))*68%,0)</f>
        <v/>
      </c>
      <c r="O845" s="61" t="n"/>
      <c r="P845" s="59" t="n"/>
      <c r="Q845" s="59" t="n"/>
      <c r="R845" s="58" t="n"/>
      <c r="S845" s="15">
        <f>I845*J845</f>
        <v/>
      </c>
      <c r="T845" s="15">
        <f>SUM(S845:S845)*68%</f>
        <v/>
      </c>
      <c r="U845" s="15">
        <f>I845*K845*40%*O845</f>
        <v/>
      </c>
      <c r="V845" s="15">
        <f>IF(P845&gt;=6750,(I845*K845*40%),0)</f>
        <v/>
      </c>
      <c r="W845" s="15">
        <f>IF(P845&lt;6750,0,IF(Q845="",0,IF(OR(Q845="KURANG",Q845="SANGAT KURANG"),I845*K845*10%,I845*K845*20%)))</f>
        <v/>
      </c>
      <c r="X845" s="15">
        <f>SUM(U845:W845)*68%</f>
        <v/>
      </c>
      <c r="Y845" s="15">
        <f>I845*L845</f>
        <v/>
      </c>
      <c r="Z845" s="15">
        <f>Y845 * 68%</f>
        <v/>
      </c>
      <c r="AA845" s="15">
        <f>I845*M845</f>
        <v/>
      </c>
      <c r="AB845" s="15">
        <f>AA845*68%</f>
        <v/>
      </c>
      <c r="AC845" s="16">
        <f>ROUND((T845+X845+Z845+AB845),0)</f>
        <v/>
      </c>
      <c r="AD845" s="16">
        <f>AG845</f>
        <v/>
      </c>
      <c r="AE845" s="16">
        <f>AI845</f>
        <v/>
      </c>
      <c r="AF845" s="16">
        <f>AC845+AD845+AE845</f>
        <v/>
      </c>
      <c r="AG845" s="16" t="n"/>
      <c r="AH845" s="17" t="n"/>
      <c r="AI845" s="17">
        <f>AH845*4</f>
        <v/>
      </c>
      <c r="AJ845" s="15">
        <f>AF845-AG845-AH845-AI845</f>
        <v/>
      </c>
      <c r="AK845" s="18" t="n">
        <v>838</v>
      </c>
      <c r="AL845" s="23" t="n"/>
    </row>
    <row r="846" ht="23.5" customHeight="1">
      <c r="A846" s="6" t="inlineStr">
        <is>
          <t>839</t>
        </is>
      </c>
      <c r="B846" s="28" t="n"/>
      <c r="C846" s="55" t="n"/>
      <c r="D846" s="19" t="n"/>
      <c r="E846" s="24" t="n"/>
      <c r="F846" s="25" t="n"/>
      <c r="G846" s="25" t="n"/>
      <c r="H846" s="25" t="n"/>
      <c r="I846" s="11" t="n"/>
      <c r="J846" s="57" t="n"/>
      <c r="K846" s="12" t="n"/>
      <c r="L846" s="22" t="n"/>
      <c r="M846" s="13" t="n"/>
      <c r="N846" s="14">
        <f>ROUND(I846*(SUM(J846:M846))*68%,0)</f>
        <v/>
      </c>
      <c r="O846" s="61" t="n"/>
      <c r="P846" s="59" t="n"/>
      <c r="Q846" s="59" t="n"/>
      <c r="R846" s="58" t="n"/>
      <c r="S846" s="15">
        <f>I846*J846</f>
        <v/>
      </c>
      <c r="T846" s="15">
        <f>SUM(S846:S846)*68%</f>
        <v/>
      </c>
      <c r="U846" s="15">
        <f>I846*K846*40%*O846</f>
        <v/>
      </c>
      <c r="V846" s="15">
        <f>IF(P846&gt;=6750,(I846*K846*40%),0)</f>
        <v/>
      </c>
      <c r="W846" s="15">
        <f>IF(P846&lt;6750,0,IF(Q846="",0,IF(OR(Q846="KURANG",Q846="SANGAT KURANG"),I846*K846*10%,I846*K846*20%)))</f>
        <v/>
      </c>
      <c r="X846" s="15">
        <f>SUM(U846:W846)*68%</f>
        <v/>
      </c>
      <c r="Y846" s="15">
        <f>I846*L846</f>
        <v/>
      </c>
      <c r="Z846" s="15">
        <f>Y846 * 68%</f>
        <v/>
      </c>
      <c r="AA846" s="15">
        <f>I846*M846</f>
        <v/>
      </c>
      <c r="AB846" s="15">
        <f>AA846*68%</f>
        <v/>
      </c>
      <c r="AC846" s="16">
        <f>ROUND((T846+X846+Z846+AB846),0)</f>
        <v/>
      </c>
      <c r="AD846" s="16">
        <f>AG846</f>
        <v/>
      </c>
      <c r="AE846" s="16">
        <f>AI846</f>
        <v/>
      </c>
      <c r="AF846" s="16">
        <f>AC846+AD846+AE846</f>
        <v/>
      </c>
      <c r="AG846" s="16" t="n"/>
      <c r="AH846" s="17" t="n"/>
      <c r="AI846" s="17">
        <f>AH846*4</f>
        <v/>
      </c>
      <c r="AJ846" s="15">
        <f>AF846-AG846-AH846-AI846</f>
        <v/>
      </c>
      <c r="AK846" s="18" t="n">
        <v>839</v>
      </c>
      <c r="AL846" s="40" t="n"/>
    </row>
    <row r="847" ht="23.5" customHeight="1">
      <c r="A847" s="6" t="inlineStr">
        <is>
          <t>840</t>
        </is>
      </c>
      <c r="B847" s="28" t="n"/>
      <c r="C847" s="55" t="n"/>
      <c r="D847" s="19" t="n"/>
      <c r="E847" s="24" t="n"/>
      <c r="F847" s="25" t="n"/>
      <c r="G847" s="25" t="n"/>
      <c r="H847" s="25" t="n"/>
      <c r="I847" s="11" t="n"/>
      <c r="J847" s="57" t="n"/>
      <c r="K847" s="12" t="n"/>
      <c r="L847" s="22" t="n"/>
      <c r="M847" s="13" t="n"/>
      <c r="N847" s="14">
        <f>ROUND(I847*(SUM(J847:M847))*68%,0)</f>
        <v/>
      </c>
      <c r="O847" s="61" t="n"/>
      <c r="P847" s="59" t="n"/>
      <c r="Q847" s="59" t="n"/>
      <c r="R847" s="58" t="n"/>
      <c r="S847" s="15">
        <f>I847*J847</f>
        <v/>
      </c>
      <c r="T847" s="15">
        <f>SUM(S847:S847)*68%</f>
        <v/>
      </c>
      <c r="U847" s="15">
        <f>I847*K847*40%*O847</f>
        <v/>
      </c>
      <c r="V847" s="15">
        <f>IF(P847&gt;=6750,(I847*K847*40%),0)</f>
        <v/>
      </c>
      <c r="W847" s="15">
        <f>IF(P847&lt;6750,0,IF(Q847="",0,IF(OR(Q847="KURANG",Q847="SANGAT KURANG"),I847*K847*10%,I847*K847*20%)))</f>
        <v/>
      </c>
      <c r="X847" s="15">
        <f>SUM(U847:W847)*68%</f>
        <v/>
      </c>
      <c r="Y847" s="15">
        <f>I847*L847</f>
        <v/>
      </c>
      <c r="Z847" s="15">
        <f>Y847 * 68%</f>
        <v/>
      </c>
      <c r="AA847" s="15">
        <f>I847*M847</f>
        <v/>
      </c>
      <c r="AB847" s="15">
        <f>AA847*68%</f>
        <v/>
      </c>
      <c r="AC847" s="16">
        <f>ROUND((T847+X847+Z847+AB847),0)</f>
        <v/>
      </c>
      <c r="AD847" s="16">
        <f>AG847</f>
        <v/>
      </c>
      <c r="AE847" s="16">
        <f>AI847</f>
        <v/>
      </c>
      <c r="AF847" s="16">
        <f>AC847+AD847+AE847</f>
        <v/>
      </c>
      <c r="AG847" s="16" t="n"/>
      <c r="AH847" s="17" t="n"/>
      <c r="AI847" s="17">
        <f>AH847*4</f>
        <v/>
      </c>
      <c r="AJ847" s="15">
        <f>AF847-AG847-AH847-AI847</f>
        <v/>
      </c>
      <c r="AK847" s="18" t="n">
        <v>840</v>
      </c>
      <c r="AL847" s="23" t="n"/>
    </row>
    <row r="848" ht="23.5" customHeight="1">
      <c r="A848" s="6" t="inlineStr">
        <is>
          <t>841</t>
        </is>
      </c>
      <c r="B848" s="28" t="n"/>
      <c r="C848" s="55" t="n"/>
      <c r="D848" s="19" t="n"/>
      <c r="E848" s="24" t="n"/>
      <c r="F848" s="25" t="n"/>
      <c r="G848" s="25" t="n"/>
      <c r="H848" s="25" t="n"/>
      <c r="I848" s="11" t="n"/>
      <c r="J848" s="57" t="n"/>
      <c r="K848" s="12" t="n"/>
      <c r="L848" s="22" t="n"/>
      <c r="M848" s="13" t="n"/>
      <c r="N848" s="14">
        <f>ROUND(I848*(SUM(J848:M848))*68%,0)</f>
        <v/>
      </c>
      <c r="O848" s="61" t="n"/>
      <c r="P848" s="59" t="n"/>
      <c r="Q848" s="59" t="n"/>
      <c r="R848" s="58" t="n"/>
      <c r="S848" s="15">
        <f>I848*J848</f>
        <v/>
      </c>
      <c r="T848" s="15">
        <f>SUM(S848:S848)*68%</f>
        <v/>
      </c>
      <c r="U848" s="15">
        <f>I848*K848*40%*O848</f>
        <v/>
      </c>
      <c r="V848" s="15">
        <f>IF(P848&gt;=6750,(I848*K848*40%),0)</f>
        <v/>
      </c>
      <c r="W848" s="15">
        <f>IF(P848&lt;6750,0,IF(Q848="",0,IF(OR(Q848="KURANG",Q848="SANGAT KURANG"),I848*K848*10%,I848*K848*20%)))</f>
        <v/>
      </c>
      <c r="X848" s="15">
        <f>SUM(U848:W848)*68%</f>
        <v/>
      </c>
      <c r="Y848" s="15">
        <f>I848*L848</f>
        <v/>
      </c>
      <c r="Z848" s="15">
        <f>Y848 * 68%</f>
        <v/>
      </c>
      <c r="AA848" s="15">
        <f>I848*M848</f>
        <v/>
      </c>
      <c r="AB848" s="15">
        <f>AA848*68%</f>
        <v/>
      </c>
      <c r="AC848" s="16">
        <f>ROUND((T848+X848+Z848+AB848),0)</f>
        <v/>
      </c>
      <c r="AD848" s="16">
        <f>AG848</f>
        <v/>
      </c>
      <c r="AE848" s="16">
        <f>AI848</f>
        <v/>
      </c>
      <c r="AF848" s="16">
        <f>AC848+AD848+AE848</f>
        <v/>
      </c>
      <c r="AG848" s="16" t="n"/>
      <c r="AH848" s="17" t="n"/>
      <c r="AI848" s="17">
        <f>AH848*4</f>
        <v/>
      </c>
      <c r="AJ848" s="15">
        <f>AF848-AG848-AH848-AI848</f>
        <v/>
      </c>
      <c r="AK848" s="18" t="n">
        <v>841</v>
      </c>
      <c r="AL848" s="23" t="n"/>
    </row>
    <row r="849" ht="23.5" customHeight="1">
      <c r="A849" s="6" t="inlineStr">
        <is>
          <t>842</t>
        </is>
      </c>
      <c r="B849" s="24" t="n"/>
      <c r="C849" s="55" t="n"/>
      <c r="D849" s="19" t="n"/>
      <c r="E849" s="24" t="n"/>
      <c r="F849" s="25" t="n"/>
      <c r="G849" s="25" t="n"/>
      <c r="H849" s="25" t="n"/>
      <c r="I849" s="11" t="n"/>
      <c r="J849" s="57" t="n"/>
      <c r="K849" s="12" t="n"/>
      <c r="L849" s="22" t="n"/>
      <c r="M849" s="13" t="n"/>
      <c r="N849" s="14">
        <f>ROUND(I849*(SUM(J849:M849))*68%,0)</f>
        <v/>
      </c>
      <c r="O849" s="61" t="n"/>
      <c r="P849" s="59" t="n"/>
      <c r="Q849" s="59" t="n"/>
      <c r="R849" s="58" t="n"/>
      <c r="S849" s="15">
        <f>I849*J849</f>
        <v/>
      </c>
      <c r="T849" s="15">
        <f>SUM(S849:S849)*68%</f>
        <v/>
      </c>
      <c r="U849" s="15">
        <f>I849*K849*40%*O849</f>
        <v/>
      </c>
      <c r="V849" s="15">
        <f>IF(P849&gt;=6750,(I849*K849*40%),0)</f>
        <v/>
      </c>
      <c r="W849" s="15">
        <f>IF(P849&lt;6750,0,IF(Q849="",0,IF(OR(Q849="KURANG",Q849="SANGAT KURANG"),I849*K849*10%,I849*K849*20%)))</f>
        <v/>
      </c>
      <c r="X849" s="15">
        <f>SUM(U849:W849)*68%</f>
        <v/>
      </c>
      <c r="Y849" s="15">
        <f>I849*L849</f>
        <v/>
      </c>
      <c r="Z849" s="15">
        <f>Y849 * 68%</f>
        <v/>
      </c>
      <c r="AA849" s="15">
        <f>I849*M849</f>
        <v/>
      </c>
      <c r="AB849" s="15">
        <f>AA849*68%</f>
        <v/>
      </c>
      <c r="AC849" s="16">
        <f>ROUND((T849+X849+Z849+AB849),0)</f>
        <v/>
      </c>
      <c r="AD849" s="16">
        <f>AG849</f>
        <v/>
      </c>
      <c r="AE849" s="16">
        <f>AI849</f>
        <v/>
      </c>
      <c r="AF849" s="16">
        <f>AC849+AD849+AE849</f>
        <v/>
      </c>
      <c r="AG849" s="16" t="n"/>
      <c r="AH849" s="17" t="n"/>
      <c r="AI849" s="17">
        <f>AH849*4</f>
        <v/>
      </c>
      <c r="AJ849" s="15">
        <f>AF849-AG849-AH849-AI849</f>
        <v/>
      </c>
      <c r="AK849" s="18" t="n">
        <v>842</v>
      </c>
      <c r="AL849" s="40" t="n"/>
    </row>
    <row r="850" ht="23.5" customHeight="1">
      <c r="A850" s="6" t="inlineStr">
        <is>
          <t>843</t>
        </is>
      </c>
      <c r="B850" s="24" t="n"/>
      <c r="C850" s="55" t="n"/>
      <c r="D850" s="19" t="n"/>
      <c r="E850" s="24" t="n"/>
      <c r="F850" s="25" t="n"/>
      <c r="G850" s="25" t="n"/>
      <c r="H850" s="25" t="n"/>
      <c r="I850" s="11" t="n"/>
      <c r="J850" s="57" t="n"/>
      <c r="K850" s="12" t="n"/>
      <c r="L850" s="22" t="n"/>
      <c r="M850" s="13" t="n"/>
      <c r="N850" s="14">
        <f>ROUND(I850*(SUM(J850:M850))*68%,0)</f>
        <v/>
      </c>
      <c r="O850" s="61" t="n"/>
      <c r="P850" s="59" t="n"/>
      <c r="Q850" s="59" t="n"/>
      <c r="R850" s="58" t="n"/>
      <c r="S850" s="15">
        <f>I850*J850</f>
        <v/>
      </c>
      <c r="T850" s="15">
        <f>SUM(S850:S850)*68%</f>
        <v/>
      </c>
      <c r="U850" s="15">
        <f>I850*K850*40%*O850</f>
        <v/>
      </c>
      <c r="V850" s="15">
        <f>IF(P850&gt;=6750,(I850*K850*40%),0)</f>
        <v/>
      </c>
      <c r="W850" s="15">
        <f>IF(P850&lt;6750,0,IF(Q850="",0,IF(OR(Q850="KURANG",Q850="SANGAT KURANG"),I850*K850*10%,I850*K850*20%)))</f>
        <v/>
      </c>
      <c r="X850" s="15">
        <f>SUM(U850:W850)*68%</f>
        <v/>
      </c>
      <c r="Y850" s="15">
        <f>I850*L850</f>
        <v/>
      </c>
      <c r="Z850" s="15">
        <f>Y850 * 68%</f>
        <v/>
      </c>
      <c r="AA850" s="15">
        <f>I850*M850</f>
        <v/>
      </c>
      <c r="AB850" s="15">
        <f>AA850*68%</f>
        <v/>
      </c>
      <c r="AC850" s="16">
        <f>ROUND((T850+X850+Z850+AB850),0)</f>
        <v/>
      </c>
      <c r="AD850" s="16">
        <f>AG850</f>
        <v/>
      </c>
      <c r="AE850" s="16">
        <f>AI850</f>
        <v/>
      </c>
      <c r="AF850" s="16">
        <f>AC850+AD850+AE850</f>
        <v/>
      </c>
      <c r="AG850" s="16" t="n"/>
      <c r="AH850" s="17" t="n"/>
      <c r="AI850" s="17">
        <f>AH850*4</f>
        <v/>
      </c>
      <c r="AJ850" s="15">
        <f>AF850-AG850-AH850-AI850</f>
        <v/>
      </c>
      <c r="AK850" s="18" t="n">
        <v>843</v>
      </c>
      <c r="AL850" s="23" t="n"/>
    </row>
    <row r="851" ht="23.5" customHeight="1">
      <c r="A851" s="6" t="inlineStr">
        <is>
          <t>844</t>
        </is>
      </c>
      <c r="B851" s="28" t="n"/>
      <c r="C851" s="55" t="n"/>
      <c r="D851" s="19" t="n"/>
      <c r="E851" s="24" t="n"/>
      <c r="F851" s="25" t="n"/>
      <c r="G851" s="25" t="n"/>
      <c r="H851" s="25" t="n"/>
      <c r="I851" s="11" t="n"/>
      <c r="J851" s="57" t="n"/>
      <c r="K851" s="12" t="n"/>
      <c r="L851" s="22" t="n"/>
      <c r="M851" s="13" t="n"/>
      <c r="N851" s="14">
        <f>ROUND(I851*(SUM(J851:M851))*68%,0)</f>
        <v/>
      </c>
      <c r="O851" s="61" t="n"/>
      <c r="P851" s="59" t="n"/>
      <c r="Q851" s="59" t="n"/>
      <c r="R851" s="58" t="n"/>
      <c r="S851" s="15">
        <f>I851*J851</f>
        <v/>
      </c>
      <c r="T851" s="15">
        <f>SUM(S851:S851)*68%</f>
        <v/>
      </c>
      <c r="U851" s="15">
        <f>I851*K851*40%*O851</f>
        <v/>
      </c>
      <c r="V851" s="15">
        <f>IF(P851&gt;=6750,(I851*K851*40%),0)</f>
        <v/>
      </c>
      <c r="W851" s="15">
        <f>IF(P851&lt;6750,0,IF(Q851="",0,IF(OR(Q851="KURANG",Q851="SANGAT KURANG"),I851*K851*10%,I851*K851*20%)))</f>
        <v/>
      </c>
      <c r="X851" s="15">
        <f>SUM(U851:W851)*68%</f>
        <v/>
      </c>
      <c r="Y851" s="15">
        <f>I851*L851</f>
        <v/>
      </c>
      <c r="Z851" s="15">
        <f>Y851 * 68%</f>
        <v/>
      </c>
      <c r="AA851" s="15">
        <f>I851*M851</f>
        <v/>
      </c>
      <c r="AB851" s="15">
        <f>AA851*68%</f>
        <v/>
      </c>
      <c r="AC851" s="16">
        <f>ROUND((T851+X851+Z851+AB851),0)</f>
        <v/>
      </c>
      <c r="AD851" s="16">
        <f>AG851</f>
        <v/>
      </c>
      <c r="AE851" s="16">
        <f>AI851</f>
        <v/>
      </c>
      <c r="AF851" s="16">
        <f>AC851+AD851+AE851</f>
        <v/>
      </c>
      <c r="AG851" s="16" t="n"/>
      <c r="AH851" s="17" t="n"/>
      <c r="AI851" s="17">
        <f>AH851*4</f>
        <v/>
      </c>
      <c r="AJ851" s="15">
        <f>AF851-AG851-AH851-AI851</f>
        <v/>
      </c>
      <c r="AK851" s="18" t="n">
        <v>844</v>
      </c>
      <c r="AL851" s="23" t="n"/>
    </row>
    <row r="852" ht="23.5" customHeight="1">
      <c r="A852" s="6" t="inlineStr">
        <is>
          <t>845</t>
        </is>
      </c>
      <c r="B852" s="28" t="n"/>
      <c r="C852" s="55" t="n"/>
      <c r="D852" s="19" t="n"/>
      <c r="E852" s="24" t="n"/>
      <c r="F852" s="25" t="n"/>
      <c r="G852" s="25" t="n"/>
      <c r="H852" s="25" t="n"/>
      <c r="I852" s="11" t="n"/>
      <c r="J852" s="57" t="n"/>
      <c r="K852" s="12" t="n"/>
      <c r="L852" s="22" t="n"/>
      <c r="M852" s="13" t="n"/>
      <c r="N852" s="14">
        <f>ROUND(I852*(SUM(J852:M852))*68%,0)</f>
        <v/>
      </c>
      <c r="O852" s="61" t="n"/>
      <c r="P852" s="59" t="n"/>
      <c r="Q852" s="59" t="n"/>
      <c r="R852" s="58" t="n"/>
      <c r="S852" s="15">
        <f>I852*J852</f>
        <v/>
      </c>
      <c r="T852" s="15">
        <f>SUM(S852:S852)*68%</f>
        <v/>
      </c>
      <c r="U852" s="15">
        <f>I852*K852*40%*O852</f>
        <v/>
      </c>
      <c r="V852" s="15">
        <f>IF(P852&gt;=6750,(I852*K852*40%),0)</f>
        <v/>
      </c>
      <c r="W852" s="15">
        <f>IF(P852&lt;6750,0,IF(Q852="",0,IF(OR(Q852="KURANG",Q852="SANGAT KURANG"),I852*K852*10%,I852*K852*20%)))</f>
        <v/>
      </c>
      <c r="X852" s="15">
        <f>SUM(U852:W852)*68%</f>
        <v/>
      </c>
      <c r="Y852" s="15">
        <f>I852*L852</f>
        <v/>
      </c>
      <c r="Z852" s="15">
        <f>Y852 * 68%</f>
        <v/>
      </c>
      <c r="AA852" s="15">
        <f>I852*M852</f>
        <v/>
      </c>
      <c r="AB852" s="15">
        <f>AA852*68%</f>
        <v/>
      </c>
      <c r="AC852" s="16">
        <f>ROUND((T852+X852+Z852+AB852),0)</f>
        <v/>
      </c>
      <c r="AD852" s="16">
        <f>AG852</f>
        <v/>
      </c>
      <c r="AE852" s="16">
        <f>AI852</f>
        <v/>
      </c>
      <c r="AF852" s="16">
        <f>AC852+AD852+AE852</f>
        <v/>
      </c>
      <c r="AG852" s="16" t="n"/>
      <c r="AH852" s="17" t="n"/>
      <c r="AI852" s="17">
        <f>AH852*4</f>
        <v/>
      </c>
      <c r="AJ852" s="15">
        <f>AF852-AG852-AH852-AI852</f>
        <v/>
      </c>
      <c r="AK852" s="18" t="n">
        <v>845</v>
      </c>
      <c r="AL852" s="40" t="n"/>
    </row>
    <row r="853" ht="23.5" customHeight="1">
      <c r="A853" s="6" t="inlineStr">
        <is>
          <t>846</t>
        </is>
      </c>
      <c r="B853" s="24" t="n"/>
      <c r="C853" s="55" t="n"/>
      <c r="D853" s="19" t="n"/>
      <c r="E853" s="24" t="n"/>
      <c r="F853" s="25" t="n"/>
      <c r="G853" s="25" t="n"/>
      <c r="H853" s="25" t="n"/>
      <c r="I853" s="11" t="n"/>
      <c r="J853" s="57" t="n"/>
      <c r="K853" s="12" t="n"/>
      <c r="L853" s="22" t="n"/>
      <c r="M853" s="13" t="n"/>
      <c r="N853" s="14">
        <f>ROUND(I853*(SUM(J853:M853))*68%,0)</f>
        <v/>
      </c>
      <c r="O853" s="61" t="n"/>
      <c r="P853" s="59" t="n"/>
      <c r="Q853" s="59" t="n"/>
      <c r="R853" s="58" t="n"/>
      <c r="S853" s="15">
        <f>I853*J853</f>
        <v/>
      </c>
      <c r="T853" s="15">
        <f>SUM(S853:S853)*68%</f>
        <v/>
      </c>
      <c r="U853" s="15">
        <f>I853*K853*40%*O853</f>
        <v/>
      </c>
      <c r="V853" s="15">
        <f>IF(P853&gt;=6750,(I853*K853*40%),0)</f>
        <v/>
      </c>
      <c r="W853" s="15">
        <f>IF(P853&lt;6750,0,IF(Q853="",0,IF(OR(Q853="KURANG",Q853="SANGAT KURANG"),I853*K853*10%,I853*K853*20%)))</f>
        <v/>
      </c>
      <c r="X853" s="15">
        <f>SUM(U853:W853)*68%</f>
        <v/>
      </c>
      <c r="Y853" s="15">
        <f>I853*L853</f>
        <v/>
      </c>
      <c r="Z853" s="15">
        <f>Y853 * 68%</f>
        <v/>
      </c>
      <c r="AA853" s="15">
        <f>I853*M853</f>
        <v/>
      </c>
      <c r="AB853" s="15">
        <f>AA853*68%</f>
        <v/>
      </c>
      <c r="AC853" s="16">
        <f>ROUND((T853+X853+Z853+AB853),0)</f>
        <v/>
      </c>
      <c r="AD853" s="16">
        <f>AG853</f>
        <v/>
      </c>
      <c r="AE853" s="16">
        <f>AI853</f>
        <v/>
      </c>
      <c r="AF853" s="16">
        <f>AC853+AD853+AE853</f>
        <v/>
      </c>
      <c r="AG853" s="16" t="n"/>
      <c r="AH853" s="17" t="n"/>
      <c r="AI853" s="17">
        <f>AH853*4</f>
        <v/>
      </c>
      <c r="AJ853" s="15">
        <f>AF853-AG853-AH853-AI853</f>
        <v/>
      </c>
      <c r="AK853" s="18" t="n">
        <v>846</v>
      </c>
      <c r="AL853" s="23" t="n"/>
    </row>
    <row r="854" ht="23.5" customHeight="1">
      <c r="A854" s="6" t="inlineStr">
        <is>
          <t>847</t>
        </is>
      </c>
      <c r="B854" s="24" t="n"/>
      <c r="C854" s="55" t="n"/>
      <c r="D854" s="19" t="n"/>
      <c r="E854" s="24" t="n"/>
      <c r="F854" s="25" t="n"/>
      <c r="G854" s="25" t="n"/>
      <c r="H854" s="25" t="n"/>
      <c r="I854" s="11" t="n"/>
      <c r="J854" s="57" t="n"/>
      <c r="K854" s="12" t="n"/>
      <c r="L854" s="22" t="n"/>
      <c r="M854" s="13" t="n"/>
      <c r="N854" s="14">
        <f>ROUND(I854*(SUM(J854:M854))*68%,0)</f>
        <v/>
      </c>
      <c r="O854" s="61" t="n"/>
      <c r="P854" s="59" t="n"/>
      <c r="Q854" s="59" t="n"/>
      <c r="R854" s="58" t="n"/>
      <c r="S854" s="15">
        <f>I854*J854</f>
        <v/>
      </c>
      <c r="T854" s="15">
        <f>SUM(S854:S854)*68%</f>
        <v/>
      </c>
      <c r="U854" s="15">
        <f>I854*K854*40%*O854</f>
        <v/>
      </c>
      <c r="V854" s="15">
        <f>IF(P854&gt;=6750,(I854*K854*40%),0)</f>
        <v/>
      </c>
      <c r="W854" s="15">
        <f>IF(P854&lt;6750,0,IF(Q854="",0,IF(OR(Q854="KURANG",Q854="SANGAT KURANG"),I854*K854*10%,I854*K854*20%)))</f>
        <v/>
      </c>
      <c r="X854" s="15">
        <f>SUM(U854:W854)*68%</f>
        <v/>
      </c>
      <c r="Y854" s="15">
        <f>I854*L854</f>
        <v/>
      </c>
      <c r="Z854" s="15">
        <f>Y854 * 68%</f>
        <v/>
      </c>
      <c r="AA854" s="15">
        <f>I854*M854</f>
        <v/>
      </c>
      <c r="AB854" s="15">
        <f>AA854*68%</f>
        <v/>
      </c>
      <c r="AC854" s="16">
        <f>ROUND((T854+X854+Z854+AB854),0)</f>
        <v/>
      </c>
      <c r="AD854" s="16">
        <f>AG854</f>
        <v/>
      </c>
      <c r="AE854" s="16">
        <f>AI854</f>
        <v/>
      </c>
      <c r="AF854" s="16">
        <f>AC854+AD854+AE854</f>
        <v/>
      </c>
      <c r="AG854" s="16" t="n"/>
      <c r="AH854" s="17" t="n"/>
      <c r="AI854" s="17">
        <f>AH854*4</f>
        <v/>
      </c>
      <c r="AJ854" s="15">
        <f>AF854-AG854-AH854-AI854</f>
        <v/>
      </c>
      <c r="AK854" s="18" t="n">
        <v>847</v>
      </c>
      <c r="AL854" s="23" t="n"/>
    </row>
    <row r="855" ht="23.5" customHeight="1">
      <c r="A855" s="6" t="inlineStr">
        <is>
          <t>848</t>
        </is>
      </c>
      <c r="B855" s="24" t="n"/>
      <c r="C855" s="55" t="n"/>
      <c r="D855" s="19" t="n"/>
      <c r="E855" s="24" t="n"/>
      <c r="F855" s="25" t="n"/>
      <c r="G855" s="25" t="n"/>
      <c r="H855" s="25" t="n"/>
      <c r="I855" s="11" t="n"/>
      <c r="J855" s="57" t="n"/>
      <c r="K855" s="12" t="n"/>
      <c r="L855" s="22" t="n"/>
      <c r="M855" s="13" t="n"/>
      <c r="N855" s="14">
        <f>ROUND(I855*(SUM(J855:M855))*68%,0)</f>
        <v/>
      </c>
      <c r="O855" s="61" t="n"/>
      <c r="P855" s="59" t="n"/>
      <c r="Q855" s="59" t="n"/>
      <c r="R855" s="58" t="n"/>
      <c r="S855" s="15">
        <f>I855*J855</f>
        <v/>
      </c>
      <c r="T855" s="15">
        <f>SUM(S855:S855)*68%</f>
        <v/>
      </c>
      <c r="U855" s="15">
        <f>I855*K855*40%*O855</f>
        <v/>
      </c>
      <c r="V855" s="15">
        <f>IF(P855&gt;=6750,(I855*K855*40%),0)</f>
        <v/>
      </c>
      <c r="W855" s="15">
        <f>IF(P855&lt;6750,0,IF(Q855="",0,IF(OR(Q855="KURANG",Q855="SANGAT KURANG"),I855*K855*10%,I855*K855*20%)))</f>
        <v/>
      </c>
      <c r="X855" s="15">
        <f>SUM(U855:W855)*68%</f>
        <v/>
      </c>
      <c r="Y855" s="15">
        <f>I855*L855</f>
        <v/>
      </c>
      <c r="Z855" s="15">
        <f>Y855 * 68%</f>
        <v/>
      </c>
      <c r="AA855" s="15">
        <f>I855*M855</f>
        <v/>
      </c>
      <c r="AB855" s="15">
        <f>AA855*68%</f>
        <v/>
      </c>
      <c r="AC855" s="16">
        <f>ROUND((T855+X855+Z855+AB855),0)</f>
        <v/>
      </c>
      <c r="AD855" s="16">
        <f>AG855</f>
        <v/>
      </c>
      <c r="AE855" s="16">
        <f>AI855</f>
        <v/>
      </c>
      <c r="AF855" s="16">
        <f>AC855+AD855+AE855</f>
        <v/>
      </c>
      <c r="AG855" s="16" t="n"/>
      <c r="AH855" s="17" t="n"/>
      <c r="AI855" s="17">
        <f>AH855*4</f>
        <v/>
      </c>
      <c r="AJ855" s="15">
        <f>AF855-AG855-AH855-AI855</f>
        <v/>
      </c>
      <c r="AK855" s="18" t="n">
        <v>848</v>
      </c>
      <c r="AL855" s="40" t="n"/>
    </row>
    <row r="856" ht="23.5" customHeight="1">
      <c r="A856" s="6" t="inlineStr">
        <is>
          <t>849</t>
        </is>
      </c>
      <c r="B856" s="24" t="n"/>
      <c r="C856" s="55" t="n"/>
      <c r="D856" s="19" t="n"/>
      <c r="E856" s="24" t="n"/>
      <c r="F856" s="25" t="n"/>
      <c r="G856" s="25" t="n"/>
      <c r="H856" s="25" t="n"/>
      <c r="I856" s="11" t="n"/>
      <c r="J856" s="57" t="n"/>
      <c r="K856" s="12" t="n"/>
      <c r="L856" s="22" t="n"/>
      <c r="M856" s="13" t="n"/>
      <c r="N856" s="14">
        <f>ROUND(I856*(SUM(J856:M856))*68%,0)</f>
        <v/>
      </c>
      <c r="O856" s="61" t="n"/>
      <c r="P856" s="59" t="n"/>
      <c r="Q856" s="59" t="n"/>
      <c r="R856" s="58" t="n"/>
      <c r="S856" s="15">
        <f>I856*J856</f>
        <v/>
      </c>
      <c r="T856" s="15">
        <f>SUM(S856:S856)*68%</f>
        <v/>
      </c>
      <c r="U856" s="15">
        <f>I856*K856*40%*O856</f>
        <v/>
      </c>
      <c r="V856" s="15">
        <f>IF(P856&gt;=6750,(I856*K856*40%),0)</f>
        <v/>
      </c>
      <c r="W856" s="15">
        <f>IF(P856&lt;6750,0,IF(Q856="",0,IF(OR(Q856="KURANG",Q856="SANGAT KURANG"),I856*K856*10%,I856*K856*20%)))</f>
        <v/>
      </c>
      <c r="X856" s="15">
        <f>SUM(U856:W856)*68%</f>
        <v/>
      </c>
      <c r="Y856" s="15">
        <f>I856*L856</f>
        <v/>
      </c>
      <c r="Z856" s="15">
        <f>Y856 * 68%</f>
        <v/>
      </c>
      <c r="AA856" s="15">
        <f>I856*M856</f>
        <v/>
      </c>
      <c r="AB856" s="15">
        <f>AA856*68%</f>
        <v/>
      </c>
      <c r="AC856" s="16">
        <f>ROUND((T856+X856+Z856+AB856),0)</f>
        <v/>
      </c>
      <c r="AD856" s="16">
        <f>AG856</f>
        <v/>
      </c>
      <c r="AE856" s="16">
        <f>AI856</f>
        <v/>
      </c>
      <c r="AF856" s="16">
        <f>AC856+AD856+AE856</f>
        <v/>
      </c>
      <c r="AG856" s="16" t="n"/>
      <c r="AH856" s="17" t="n"/>
      <c r="AI856" s="17">
        <f>AH856*4</f>
        <v/>
      </c>
      <c r="AJ856" s="15">
        <f>AF856-AG856-AH856-AI856</f>
        <v/>
      </c>
      <c r="AK856" s="18" t="n">
        <v>849</v>
      </c>
      <c r="AL856" s="23" t="n"/>
    </row>
    <row r="857" ht="23.5" customHeight="1">
      <c r="A857" s="6" t="inlineStr">
        <is>
          <t>850</t>
        </is>
      </c>
      <c r="B857" s="24" t="n"/>
      <c r="C857" s="55" t="n"/>
      <c r="D857" s="19" t="n"/>
      <c r="E857" s="24" t="n"/>
      <c r="F857" s="25" t="n"/>
      <c r="G857" s="25" t="n"/>
      <c r="H857" s="25" t="n"/>
      <c r="I857" s="11" t="n"/>
      <c r="J857" s="57" t="n"/>
      <c r="K857" s="12" t="n"/>
      <c r="L857" s="22" t="n"/>
      <c r="M857" s="13" t="n"/>
      <c r="N857" s="14">
        <f>ROUND(I857*(SUM(J857:M857))*68%,0)</f>
        <v/>
      </c>
      <c r="O857" s="61" t="n"/>
      <c r="P857" s="59" t="n"/>
      <c r="Q857" s="59" t="n"/>
      <c r="R857" s="58" t="n"/>
      <c r="S857" s="15">
        <f>I857*J857</f>
        <v/>
      </c>
      <c r="T857" s="15">
        <f>SUM(S857:S857)*68%</f>
        <v/>
      </c>
      <c r="U857" s="15">
        <f>I857*K857*40%*O857</f>
        <v/>
      </c>
      <c r="V857" s="15">
        <f>IF(P857&gt;=6750,(I857*K857*40%),0)</f>
        <v/>
      </c>
      <c r="W857" s="15">
        <f>IF(P857&lt;6750,0,IF(Q857="",0,IF(OR(Q857="KURANG",Q857="SANGAT KURANG"),I857*K857*10%,I857*K857*20%)))</f>
        <v/>
      </c>
      <c r="X857" s="15">
        <f>SUM(U857:W857)*68%</f>
        <v/>
      </c>
      <c r="Y857" s="15">
        <f>I857*L857</f>
        <v/>
      </c>
      <c r="Z857" s="15">
        <f>Y857 * 68%</f>
        <v/>
      </c>
      <c r="AA857" s="15">
        <f>I857*M857</f>
        <v/>
      </c>
      <c r="AB857" s="15">
        <f>AA857*68%</f>
        <v/>
      </c>
      <c r="AC857" s="16">
        <f>ROUND((T857+X857+Z857+AB857),0)</f>
        <v/>
      </c>
      <c r="AD857" s="16">
        <f>AG857</f>
        <v/>
      </c>
      <c r="AE857" s="16">
        <f>AI857</f>
        <v/>
      </c>
      <c r="AF857" s="16">
        <f>AC857+AD857+AE857</f>
        <v/>
      </c>
      <c r="AG857" s="16" t="n"/>
      <c r="AH857" s="17" t="n"/>
      <c r="AI857" s="17">
        <f>AH857*4</f>
        <v/>
      </c>
      <c r="AJ857" s="15">
        <f>AF857-AG857-AH857-AI857</f>
        <v/>
      </c>
      <c r="AK857" s="18" t="n">
        <v>850</v>
      </c>
      <c r="AL857" s="23" t="n"/>
    </row>
    <row r="858" ht="23.5" customHeight="1">
      <c r="A858" s="6" t="inlineStr">
        <is>
          <t>851</t>
        </is>
      </c>
      <c r="B858" s="24" t="n"/>
      <c r="C858" s="55" t="n"/>
      <c r="D858" s="19" t="n"/>
      <c r="E858" s="24" t="n"/>
      <c r="F858" s="25" t="n"/>
      <c r="G858" s="25" t="n"/>
      <c r="H858" s="25" t="n"/>
      <c r="I858" s="11" t="n"/>
      <c r="J858" s="57" t="n"/>
      <c r="K858" s="12" t="n"/>
      <c r="L858" s="22" t="n"/>
      <c r="M858" s="13" t="n"/>
      <c r="N858" s="14">
        <f>ROUND(I858*(SUM(J858:M858))*68%,0)</f>
        <v/>
      </c>
      <c r="O858" s="61" t="n"/>
      <c r="P858" s="59" t="n"/>
      <c r="Q858" s="59" t="n"/>
      <c r="R858" s="58" t="n"/>
      <c r="S858" s="15">
        <f>I858*J858</f>
        <v/>
      </c>
      <c r="T858" s="15">
        <f>SUM(S858:S858)*68%</f>
        <v/>
      </c>
      <c r="U858" s="15">
        <f>I858*K858*40%*O858</f>
        <v/>
      </c>
      <c r="V858" s="15">
        <f>IF(P858&gt;=6750,(I858*K858*40%),0)</f>
        <v/>
      </c>
      <c r="W858" s="15">
        <f>IF(P858&lt;6750,0,IF(Q858="",0,IF(OR(Q858="KURANG",Q858="SANGAT KURANG"),I858*K858*10%,I858*K858*20%)))</f>
        <v/>
      </c>
      <c r="X858" s="15">
        <f>SUM(U858:W858)*68%</f>
        <v/>
      </c>
      <c r="Y858" s="15">
        <f>I858*L858</f>
        <v/>
      </c>
      <c r="Z858" s="15">
        <f>Y858 * 68%</f>
        <v/>
      </c>
      <c r="AA858" s="15">
        <f>I858*M858</f>
        <v/>
      </c>
      <c r="AB858" s="15">
        <f>AA858*68%</f>
        <v/>
      </c>
      <c r="AC858" s="16">
        <f>ROUND((T858+X858+Z858+AB858),0)</f>
        <v/>
      </c>
      <c r="AD858" s="16">
        <f>AG858</f>
        <v/>
      </c>
      <c r="AE858" s="16">
        <f>AI858</f>
        <v/>
      </c>
      <c r="AF858" s="16">
        <f>AC858+AD858+AE858</f>
        <v/>
      </c>
      <c r="AG858" s="16" t="n"/>
      <c r="AH858" s="17" t="n"/>
      <c r="AI858" s="17">
        <f>AH858*4</f>
        <v/>
      </c>
      <c r="AJ858" s="15">
        <f>AF858-AG858-AH858-AI858</f>
        <v/>
      </c>
      <c r="AK858" s="18" t="n">
        <v>851</v>
      </c>
      <c r="AL858" s="40" t="n"/>
    </row>
    <row r="859" ht="23.5" customHeight="1">
      <c r="A859" s="6" t="inlineStr">
        <is>
          <t>852</t>
        </is>
      </c>
      <c r="B859" s="28" t="n"/>
      <c r="C859" s="55" t="n"/>
      <c r="D859" s="19" t="n"/>
      <c r="E859" s="24" t="n"/>
      <c r="F859" s="25" t="n"/>
      <c r="G859" s="25" t="n"/>
      <c r="H859" s="25" t="n"/>
      <c r="I859" s="11" t="n"/>
      <c r="J859" s="57" t="n"/>
      <c r="K859" s="12" t="n"/>
      <c r="L859" s="22" t="n"/>
      <c r="M859" s="13" t="n"/>
      <c r="N859" s="14">
        <f>ROUND(I859*(SUM(J859:M859))*68%,0)</f>
        <v/>
      </c>
      <c r="O859" s="61" t="n"/>
      <c r="P859" s="59" t="n"/>
      <c r="Q859" s="59" t="n"/>
      <c r="R859" s="58" t="n"/>
      <c r="S859" s="15">
        <f>I859*J859</f>
        <v/>
      </c>
      <c r="T859" s="15">
        <f>SUM(S859:S859)*68%</f>
        <v/>
      </c>
      <c r="U859" s="15">
        <f>I859*K859*40%*O859</f>
        <v/>
      </c>
      <c r="V859" s="15">
        <f>IF(P859&gt;=6750,(I859*K859*40%),0)</f>
        <v/>
      </c>
      <c r="W859" s="15">
        <f>IF(P859&lt;6750,0,IF(Q859="",0,IF(OR(Q859="KURANG",Q859="SANGAT KURANG"),I859*K859*10%,I859*K859*20%)))</f>
        <v/>
      </c>
      <c r="X859" s="15">
        <f>SUM(U859:W859)*68%</f>
        <v/>
      </c>
      <c r="Y859" s="15">
        <f>I859*L859</f>
        <v/>
      </c>
      <c r="Z859" s="15">
        <f>Y859 * 68%</f>
        <v/>
      </c>
      <c r="AA859" s="15">
        <f>I859*M859</f>
        <v/>
      </c>
      <c r="AB859" s="15">
        <f>AA859*68%</f>
        <v/>
      </c>
      <c r="AC859" s="16">
        <f>ROUND((T859+X859+Z859+AB859),0)</f>
        <v/>
      </c>
      <c r="AD859" s="16">
        <f>AG859</f>
        <v/>
      </c>
      <c r="AE859" s="16">
        <f>AI859</f>
        <v/>
      </c>
      <c r="AF859" s="16">
        <f>AC859+AD859+AE859</f>
        <v/>
      </c>
      <c r="AG859" s="16" t="n"/>
      <c r="AH859" s="17" t="n"/>
      <c r="AI859" s="17">
        <f>AH859*4</f>
        <v/>
      </c>
      <c r="AJ859" s="15">
        <f>AF859-AG859-AH859-AI859</f>
        <v/>
      </c>
      <c r="AK859" s="18" t="n">
        <v>852</v>
      </c>
      <c r="AL859" s="23" t="n"/>
    </row>
    <row r="860" ht="23.5" customHeight="1">
      <c r="A860" s="6" t="inlineStr">
        <is>
          <t>853</t>
        </is>
      </c>
      <c r="B860" s="28" t="n"/>
      <c r="C860" s="55" t="n"/>
      <c r="D860" s="19" t="n"/>
      <c r="E860" s="24" t="n"/>
      <c r="F860" s="25" t="n"/>
      <c r="G860" s="25" t="n"/>
      <c r="H860" s="25" t="n"/>
      <c r="I860" s="11" t="n"/>
      <c r="J860" s="57" t="n"/>
      <c r="K860" s="12" t="n"/>
      <c r="L860" s="22" t="n"/>
      <c r="M860" s="13" t="n"/>
      <c r="N860" s="14">
        <f>ROUND(I860*(SUM(J860:M860))*68%,0)</f>
        <v/>
      </c>
      <c r="O860" s="61" t="n"/>
      <c r="P860" s="59" t="n"/>
      <c r="Q860" s="59" t="n"/>
      <c r="R860" s="58" t="n"/>
      <c r="S860" s="15">
        <f>I860*J860</f>
        <v/>
      </c>
      <c r="T860" s="15">
        <f>SUM(S860:S860)*68%</f>
        <v/>
      </c>
      <c r="U860" s="15">
        <f>I860*K860*40%*O860</f>
        <v/>
      </c>
      <c r="V860" s="15">
        <f>IF(P860&gt;=6750,(I860*K860*40%),0)</f>
        <v/>
      </c>
      <c r="W860" s="15">
        <f>IF(P860&lt;6750,0,IF(Q860="",0,IF(OR(Q860="KURANG",Q860="SANGAT KURANG"),I860*K860*10%,I860*K860*20%)))</f>
        <v/>
      </c>
      <c r="X860" s="15">
        <f>SUM(U860:W860)*68%</f>
        <v/>
      </c>
      <c r="Y860" s="15">
        <f>I860*L860</f>
        <v/>
      </c>
      <c r="Z860" s="15">
        <f>Y860 * 68%</f>
        <v/>
      </c>
      <c r="AA860" s="15">
        <f>I860*M860</f>
        <v/>
      </c>
      <c r="AB860" s="15">
        <f>AA860*68%</f>
        <v/>
      </c>
      <c r="AC860" s="16">
        <f>ROUND((T860+X860+Z860+AB860),0)</f>
        <v/>
      </c>
      <c r="AD860" s="16">
        <f>AG860</f>
        <v/>
      </c>
      <c r="AE860" s="16">
        <f>AI860</f>
        <v/>
      </c>
      <c r="AF860" s="16">
        <f>AC860+AD860+AE860</f>
        <v/>
      </c>
      <c r="AG860" s="16" t="n"/>
      <c r="AH860" s="17" t="n"/>
      <c r="AI860" s="17">
        <f>AH860*4</f>
        <v/>
      </c>
      <c r="AJ860" s="15">
        <f>AF860-AG860-AH860-AI860</f>
        <v/>
      </c>
      <c r="AK860" s="18" t="n">
        <v>853</v>
      </c>
      <c r="AL860" s="23" t="n"/>
    </row>
    <row r="861" ht="23.5" customHeight="1">
      <c r="A861" s="6" t="inlineStr">
        <is>
          <t>854</t>
        </is>
      </c>
      <c r="B861" s="24" t="n"/>
      <c r="C861" s="55" t="n"/>
      <c r="D861" s="19" t="n"/>
      <c r="E861" s="24" t="n"/>
      <c r="F861" s="25" t="n"/>
      <c r="G861" s="25" t="n"/>
      <c r="H861" s="25" t="n"/>
      <c r="I861" s="11" t="n"/>
      <c r="J861" s="57" t="n"/>
      <c r="K861" s="12" t="n"/>
      <c r="L861" s="22" t="n"/>
      <c r="M861" s="13" t="n"/>
      <c r="N861" s="14">
        <f>ROUND(I861*(SUM(J861:M861))*68%,0)</f>
        <v/>
      </c>
      <c r="O861" s="61" t="n"/>
      <c r="P861" s="59" t="n"/>
      <c r="Q861" s="59" t="n"/>
      <c r="R861" s="58" t="n"/>
      <c r="S861" s="15">
        <f>I861*J861</f>
        <v/>
      </c>
      <c r="T861" s="15">
        <f>SUM(S861:S861)*68%</f>
        <v/>
      </c>
      <c r="U861" s="15">
        <f>I861*K861*40%*O861</f>
        <v/>
      </c>
      <c r="V861" s="15">
        <f>IF(P861&gt;=6750,(I861*K861*40%),0)</f>
        <v/>
      </c>
      <c r="W861" s="15">
        <f>IF(P861&lt;6750,0,IF(Q861="",0,IF(OR(Q861="KURANG",Q861="SANGAT KURANG"),I861*K861*10%,I861*K861*20%)))</f>
        <v/>
      </c>
      <c r="X861" s="15">
        <f>SUM(U861:W861)*68%</f>
        <v/>
      </c>
      <c r="Y861" s="15">
        <f>I861*L861</f>
        <v/>
      </c>
      <c r="Z861" s="15">
        <f>Y861 * 68%</f>
        <v/>
      </c>
      <c r="AA861" s="15">
        <f>I861*M861</f>
        <v/>
      </c>
      <c r="AB861" s="15">
        <f>AA861*68%</f>
        <v/>
      </c>
      <c r="AC861" s="16">
        <f>ROUND((T861+X861+Z861+AB861),0)</f>
        <v/>
      </c>
      <c r="AD861" s="16">
        <f>AG861</f>
        <v/>
      </c>
      <c r="AE861" s="16">
        <f>AI861</f>
        <v/>
      </c>
      <c r="AF861" s="16">
        <f>AC861+AD861+AE861</f>
        <v/>
      </c>
      <c r="AG861" s="16" t="n"/>
      <c r="AH861" s="17" t="n"/>
      <c r="AI861" s="17">
        <f>AH861*4</f>
        <v/>
      </c>
      <c r="AJ861" s="15">
        <f>AF861-AG861-AH861-AI861</f>
        <v/>
      </c>
      <c r="AK861" s="18" t="n">
        <v>854</v>
      </c>
      <c r="AL861" s="40" t="n"/>
    </row>
    <row r="862" ht="23.5" customHeight="1">
      <c r="A862" s="6" t="inlineStr">
        <is>
          <t>855</t>
        </is>
      </c>
      <c r="B862" s="24" t="n"/>
      <c r="C862" s="55" t="n"/>
      <c r="D862" s="19" t="n"/>
      <c r="E862" s="24" t="n"/>
      <c r="F862" s="25" t="n"/>
      <c r="G862" s="25" t="n"/>
      <c r="H862" s="25" t="n"/>
      <c r="I862" s="11" t="n"/>
      <c r="J862" s="57" t="n"/>
      <c r="K862" s="12" t="n"/>
      <c r="L862" s="22" t="n"/>
      <c r="M862" s="13" t="n"/>
      <c r="N862" s="14">
        <f>ROUND(I862*(SUM(J862:M862))*68%,0)</f>
        <v/>
      </c>
      <c r="O862" s="61" t="n"/>
      <c r="P862" s="59" t="n"/>
      <c r="Q862" s="59" t="n"/>
      <c r="R862" s="58" t="n"/>
      <c r="S862" s="15">
        <f>I862*J862</f>
        <v/>
      </c>
      <c r="T862" s="15">
        <f>SUM(S862:S862)*68%</f>
        <v/>
      </c>
      <c r="U862" s="15">
        <f>I862*K862*40%*O862</f>
        <v/>
      </c>
      <c r="V862" s="15">
        <f>IF(P862&gt;=6750,(I862*K862*40%),0)</f>
        <v/>
      </c>
      <c r="W862" s="15">
        <f>IF(P862&lt;6750,0,IF(Q862="",0,IF(OR(Q862="KURANG",Q862="SANGAT KURANG"),I862*K862*10%,I862*K862*20%)))</f>
        <v/>
      </c>
      <c r="X862" s="15">
        <f>SUM(U862:W862)*68%</f>
        <v/>
      </c>
      <c r="Y862" s="15">
        <f>I862*L862</f>
        <v/>
      </c>
      <c r="Z862" s="15">
        <f>Y862 * 68%</f>
        <v/>
      </c>
      <c r="AA862" s="15">
        <f>I862*M862</f>
        <v/>
      </c>
      <c r="AB862" s="15">
        <f>AA862*68%</f>
        <v/>
      </c>
      <c r="AC862" s="16">
        <f>ROUND((T862+X862+Z862+AB862),0)</f>
        <v/>
      </c>
      <c r="AD862" s="16">
        <f>AG862</f>
        <v/>
      </c>
      <c r="AE862" s="16">
        <f>AI862</f>
        <v/>
      </c>
      <c r="AF862" s="16">
        <f>AC862+AD862+AE862</f>
        <v/>
      </c>
      <c r="AG862" s="16" t="n"/>
      <c r="AH862" s="17" t="n"/>
      <c r="AI862" s="17">
        <f>AH862*4</f>
        <v/>
      </c>
      <c r="AJ862" s="15">
        <f>AF862-AG862-AH862-AI862</f>
        <v/>
      </c>
      <c r="AK862" s="18" t="n">
        <v>855</v>
      </c>
      <c r="AL862" s="23" t="n"/>
    </row>
    <row r="863" ht="23.5" customHeight="1">
      <c r="A863" s="6" t="inlineStr">
        <is>
          <t>856</t>
        </is>
      </c>
      <c r="B863" s="24" t="n"/>
      <c r="C863" s="55" t="n"/>
      <c r="D863" s="19" t="n"/>
      <c r="E863" s="24" t="n"/>
      <c r="F863" s="25" t="n"/>
      <c r="G863" s="25" t="n"/>
      <c r="H863" s="25" t="n"/>
      <c r="I863" s="11" t="n"/>
      <c r="J863" s="57" t="n"/>
      <c r="K863" s="12" t="n"/>
      <c r="L863" s="22" t="n"/>
      <c r="M863" s="13" t="n"/>
      <c r="N863" s="14">
        <f>ROUND(I863*(SUM(J863:M863))*68%,0)</f>
        <v/>
      </c>
      <c r="O863" s="61" t="n"/>
      <c r="P863" s="59" t="n"/>
      <c r="Q863" s="59" t="n"/>
      <c r="R863" s="58" t="n"/>
      <c r="S863" s="15">
        <f>I863*J863</f>
        <v/>
      </c>
      <c r="T863" s="15">
        <f>SUM(S863:S863)*68%</f>
        <v/>
      </c>
      <c r="U863" s="15">
        <f>I863*K863*40%*O863</f>
        <v/>
      </c>
      <c r="V863" s="15">
        <f>IF(P863&gt;=6750,(I863*K863*40%),0)</f>
        <v/>
      </c>
      <c r="W863" s="15">
        <f>IF(P863&lt;6750,0,IF(Q863="",0,IF(OR(Q863="KURANG",Q863="SANGAT KURANG"),I863*K863*10%,I863*K863*20%)))</f>
        <v/>
      </c>
      <c r="X863" s="15">
        <f>SUM(U863:W863)*68%</f>
        <v/>
      </c>
      <c r="Y863" s="15">
        <f>I863*L863</f>
        <v/>
      </c>
      <c r="Z863" s="15">
        <f>Y863 * 68%</f>
        <v/>
      </c>
      <c r="AA863" s="15">
        <f>I863*M863</f>
        <v/>
      </c>
      <c r="AB863" s="15">
        <f>AA863*68%</f>
        <v/>
      </c>
      <c r="AC863" s="16">
        <f>ROUND((T863+X863+Z863+AB863),0)</f>
        <v/>
      </c>
      <c r="AD863" s="16">
        <f>AG863</f>
        <v/>
      </c>
      <c r="AE863" s="16">
        <f>AI863</f>
        <v/>
      </c>
      <c r="AF863" s="16">
        <f>AC863+AD863+AE863</f>
        <v/>
      </c>
      <c r="AG863" s="16" t="n"/>
      <c r="AH863" s="17" t="n"/>
      <c r="AI863" s="17">
        <f>AH863*4</f>
        <v/>
      </c>
      <c r="AJ863" s="15">
        <f>AF863-AG863-AH863-AI863</f>
        <v/>
      </c>
      <c r="AK863" s="18" t="n">
        <v>856</v>
      </c>
      <c r="AL863" s="23" t="n"/>
    </row>
    <row r="864" ht="23.5" customHeight="1">
      <c r="A864" s="6" t="inlineStr">
        <is>
          <t>857</t>
        </is>
      </c>
      <c r="B864" s="24" t="n"/>
      <c r="C864" s="55" t="n"/>
      <c r="D864" s="19" t="n"/>
      <c r="E864" s="24" t="n"/>
      <c r="F864" s="25" t="n"/>
      <c r="G864" s="25" t="n"/>
      <c r="H864" s="25" t="n"/>
      <c r="I864" s="11" t="n"/>
      <c r="J864" s="57" t="n"/>
      <c r="K864" s="12" t="n"/>
      <c r="L864" s="22" t="n"/>
      <c r="M864" s="13" t="n"/>
      <c r="N864" s="14">
        <f>ROUND(I864*(SUM(J864:M864))*68%,0)</f>
        <v/>
      </c>
      <c r="O864" s="61" t="n"/>
      <c r="P864" s="59" t="n"/>
      <c r="Q864" s="59" t="n"/>
      <c r="R864" s="58" t="n"/>
      <c r="S864" s="15">
        <f>I864*J864</f>
        <v/>
      </c>
      <c r="T864" s="15">
        <f>SUM(S864:S864)*68%</f>
        <v/>
      </c>
      <c r="U864" s="15">
        <f>I864*K864*40%*O864</f>
        <v/>
      </c>
      <c r="V864" s="15">
        <f>IF(P864&gt;=6750,(I864*K864*40%),0)</f>
        <v/>
      </c>
      <c r="W864" s="15">
        <f>IF(P864&lt;6750,0,IF(Q864="",0,IF(OR(Q864="KURANG",Q864="SANGAT KURANG"),I864*K864*10%,I864*K864*20%)))</f>
        <v/>
      </c>
      <c r="X864" s="15">
        <f>SUM(U864:W864)*68%</f>
        <v/>
      </c>
      <c r="Y864" s="15">
        <f>I864*L864</f>
        <v/>
      </c>
      <c r="Z864" s="15">
        <f>Y864 * 68%</f>
        <v/>
      </c>
      <c r="AA864" s="15">
        <f>I864*M864</f>
        <v/>
      </c>
      <c r="AB864" s="15">
        <f>AA864*68%</f>
        <v/>
      </c>
      <c r="AC864" s="16">
        <f>ROUND((T864+X864+Z864+AB864),0)</f>
        <v/>
      </c>
      <c r="AD864" s="16">
        <f>AG864</f>
        <v/>
      </c>
      <c r="AE864" s="16">
        <f>AI864</f>
        <v/>
      </c>
      <c r="AF864" s="16">
        <f>AC864+AD864+AE864</f>
        <v/>
      </c>
      <c r="AG864" s="16" t="n"/>
      <c r="AH864" s="17" t="n"/>
      <c r="AI864" s="17">
        <f>AH864*4</f>
        <v/>
      </c>
      <c r="AJ864" s="15">
        <f>AF864-AG864-AH864-AI864</f>
        <v/>
      </c>
      <c r="AK864" s="18" t="n">
        <v>857</v>
      </c>
      <c r="AL864" s="40" t="n"/>
    </row>
    <row r="865" ht="23.5" customHeight="1">
      <c r="A865" s="6" t="inlineStr">
        <is>
          <t>858</t>
        </is>
      </c>
      <c r="B865" s="24" t="n"/>
      <c r="C865" s="55" t="n"/>
      <c r="D865" s="19" t="n"/>
      <c r="E865" s="24" t="n"/>
      <c r="F865" s="25" t="n"/>
      <c r="G865" s="25" t="n"/>
      <c r="H865" s="25" t="n"/>
      <c r="I865" s="11" t="n"/>
      <c r="J865" s="57" t="n"/>
      <c r="K865" s="12" t="n"/>
      <c r="L865" s="22" t="n"/>
      <c r="M865" s="13" t="n"/>
      <c r="N865" s="14">
        <f>ROUND(I865*(SUM(J865:M865))*68%,0)</f>
        <v/>
      </c>
      <c r="O865" s="61" t="n"/>
      <c r="P865" s="59" t="n"/>
      <c r="Q865" s="59" t="n"/>
      <c r="R865" s="58" t="n"/>
      <c r="S865" s="15">
        <f>I865*J865</f>
        <v/>
      </c>
      <c r="T865" s="15">
        <f>SUM(S865:S865)*68%</f>
        <v/>
      </c>
      <c r="U865" s="15">
        <f>I865*K865*40%*O865</f>
        <v/>
      </c>
      <c r="V865" s="15">
        <f>IF(P865&gt;=6750,(I865*K865*40%),0)</f>
        <v/>
      </c>
      <c r="W865" s="15">
        <f>IF(P865&lt;6750,0,IF(Q865="",0,IF(OR(Q865="KURANG",Q865="SANGAT KURANG"),I865*K865*10%,I865*K865*20%)))</f>
        <v/>
      </c>
      <c r="X865" s="15">
        <f>SUM(U865:W865)*68%</f>
        <v/>
      </c>
      <c r="Y865" s="15">
        <f>I865*L865</f>
        <v/>
      </c>
      <c r="Z865" s="15">
        <f>Y865 * 68%</f>
        <v/>
      </c>
      <c r="AA865" s="15">
        <f>I865*M865</f>
        <v/>
      </c>
      <c r="AB865" s="15">
        <f>AA865*68%</f>
        <v/>
      </c>
      <c r="AC865" s="16">
        <f>ROUND((T865+X865+Z865+AB865),0)</f>
        <v/>
      </c>
      <c r="AD865" s="16">
        <f>AG865</f>
        <v/>
      </c>
      <c r="AE865" s="16">
        <f>AI865</f>
        <v/>
      </c>
      <c r="AF865" s="16">
        <f>AC865+AD865+AE865</f>
        <v/>
      </c>
      <c r="AG865" s="16" t="n"/>
      <c r="AH865" s="17" t="n"/>
      <c r="AI865" s="17">
        <f>AH865*4</f>
        <v/>
      </c>
      <c r="AJ865" s="15">
        <f>AF865-AG865-AH865-AI865</f>
        <v/>
      </c>
      <c r="AK865" s="18" t="n">
        <v>858</v>
      </c>
      <c r="AL865" s="23" t="n"/>
    </row>
    <row r="866" ht="23.5" customHeight="1">
      <c r="A866" s="6" t="inlineStr">
        <is>
          <t>859</t>
        </is>
      </c>
      <c r="B866" s="24" t="n"/>
      <c r="C866" s="55" t="n"/>
      <c r="D866" s="19" t="n"/>
      <c r="E866" s="24" t="n"/>
      <c r="F866" s="25" t="n"/>
      <c r="G866" s="25" t="n"/>
      <c r="H866" s="25" t="n"/>
      <c r="I866" s="11" t="n"/>
      <c r="J866" s="57" t="n"/>
      <c r="K866" s="12" t="n"/>
      <c r="L866" s="22" t="n"/>
      <c r="M866" s="13" t="n"/>
      <c r="N866" s="14">
        <f>ROUND(I866*(SUM(J866:M866))*68%,0)</f>
        <v/>
      </c>
      <c r="O866" s="61" t="n"/>
      <c r="P866" s="59" t="n"/>
      <c r="Q866" s="59" t="n"/>
      <c r="R866" s="58" t="n"/>
      <c r="S866" s="15">
        <f>I866*J866</f>
        <v/>
      </c>
      <c r="T866" s="15">
        <f>SUM(S866:S866)*68%</f>
        <v/>
      </c>
      <c r="U866" s="15">
        <f>I866*K866*40%*O866</f>
        <v/>
      </c>
      <c r="V866" s="15">
        <f>IF(P866&gt;=6750,(I866*K866*40%),0)</f>
        <v/>
      </c>
      <c r="W866" s="15">
        <f>IF(P866&lt;6750,0,IF(Q866="",0,IF(OR(Q866="KURANG",Q866="SANGAT KURANG"),I866*K866*10%,I866*K866*20%)))</f>
        <v/>
      </c>
      <c r="X866" s="15">
        <f>SUM(U866:W866)*68%</f>
        <v/>
      </c>
      <c r="Y866" s="15">
        <f>I866*L866</f>
        <v/>
      </c>
      <c r="Z866" s="15">
        <f>Y866 * 68%</f>
        <v/>
      </c>
      <c r="AA866" s="15">
        <f>I866*M866</f>
        <v/>
      </c>
      <c r="AB866" s="15">
        <f>AA866*68%</f>
        <v/>
      </c>
      <c r="AC866" s="16">
        <f>ROUND((T866+X866+Z866+AB866),0)</f>
        <v/>
      </c>
      <c r="AD866" s="16">
        <f>AG866</f>
        <v/>
      </c>
      <c r="AE866" s="16">
        <f>AI866</f>
        <v/>
      </c>
      <c r="AF866" s="16">
        <f>AC866+AD866+AE866</f>
        <v/>
      </c>
      <c r="AG866" s="16" t="n"/>
      <c r="AH866" s="17" t="n"/>
      <c r="AI866" s="17">
        <f>AH866*4</f>
        <v/>
      </c>
      <c r="AJ866" s="15">
        <f>AF866-AG866-AH866-AI866</f>
        <v/>
      </c>
      <c r="AK866" s="18" t="n">
        <v>859</v>
      </c>
      <c r="AL866" s="23" t="n"/>
    </row>
    <row r="867" ht="23.5" customHeight="1">
      <c r="A867" s="6" t="inlineStr">
        <is>
          <t>860</t>
        </is>
      </c>
      <c r="B867" s="28" t="n"/>
      <c r="C867" s="55" t="n"/>
      <c r="D867" s="19" t="n"/>
      <c r="E867" s="24" t="n"/>
      <c r="F867" s="25" t="n"/>
      <c r="G867" s="25" t="n"/>
      <c r="H867" s="25" t="n"/>
      <c r="I867" s="11" t="n"/>
      <c r="J867" s="57" t="n"/>
      <c r="K867" s="12" t="n"/>
      <c r="L867" s="22" t="n"/>
      <c r="M867" s="13" t="n"/>
      <c r="N867" s="14">
        <f>ROUND(I867*(SUM(J867:M867))*68%,0)</f>
        <v/>
      </c>
      <c r="O867" s="61" t="n"/>
      <c r="P867" s="59" t="n"/>
      <c r="Q867" s="59" t="n"/>
      <c r="R867" s="58" t="n"/>
      <c r="S867" s="15">
        <f>I867*J867</f>
        <v/>
      </c>
      <c r="T867" s="15">
        <f>SUM(S867:S867)*68%</f>
        <v/>
      </c>
      <c r="U867" s="15">
        <f>I867*K867*40%*O867</f>
        <v/>
      </c>
      <c r="V867" s="15">
        <f>IF(P867&gt;=6750,(I867*K867*40%),0)</f>
        <v/>
      </c>
      <c r="W867" s="15">
        <f>IF(P867&lt;6750,0,IF(Q867="",0,IF(OR(Q867="KURANG",Q867="SANGAT KURANG"),I867*K867*10%,I867*K867*20%)))</f>
        <v/>
      </c>
      <c r="X867" s="15">
        <f>SUM(U867:W867)*68%</f>
        <v/>
      </c>
      <c r="Y867" s="15">
        <f>I867*L867</f>
        <v/>
      </c>
      <c r="Z867" s="15">
        <f>Y867 * 68%</f>
        <v/>
      </c>
      <c r="AA867" s="15">
        <f>I867*M867</f>
        <v/>
      </c>
      <c r="AB867" s="15">
        <f>AA867*68%</f>
        <v/>
      </c>
      <c r="AC867" s="16">
        <f>ROUND((T867+X867+Z867+AB867),0)</f>
        <v/>
      </c>
      <c r="AD867" s="16">
        <f>AG867</f>
        <v/>
      </c>
      <c r="AE867" s="16">
        <f>AI867</f>
        <v/>
      </c>
      <c r="AF867" s="16">
        <f>AC867+AD867+AE867</f>
        <v/>
      </c>
      <c r="AG867" s="16" t="n"/>
      <c r="AH867" s="17" t="n"/>
      <c r="AI867" s="17">
        <f>AH867*4</f>
        <v/>
      </c>
      <c r="AJ867" s="15">
        <f>AF867-AG867-AH867-AI867</f>
        <v/>
      </c>
      <c r="AK867" s="18" t="n">
        <v>860</v>
      </c>
      <c r="AL867" s="40" t="n"/>
    </row>
    <row r="868" ht="23.5" customHeight="1">
      <c r="A868" s="6" t="inlineStr">
        <is>
          <t>861</t>
        </is>
      </c>
      <c r="B868" s="28" t="n"/>
      <c r="C868" s="55" t="n"/>
      <c r="D868" s="19" t="n"/>
      <c r="E868" s="24" t="n"/>
      <c r="F868" s="25" t="n"/>
      <c r="G868" s="25" t="n"/>
      <c r="H868" s="25" t="n"/>
      <c r="I868" s="11" t="n"/>
      <c r="J868" s="57" t="n"/>
      <c r="K868" s="12" t="n"/>
      <c r="L868" s="22" t="n"/>
      <c r="M868" s="13" t="n"/>
      <c r="N868" s="14">
        <f>ROUND(I868*(SUM(J868:M868))*68%,0)</f>
        <v/>
      </c>
      <c r="O868" s="61" t="n"/>
      <c r="P868" s="59" t="n"/>
      <c r="Q868" s="59" t="n"/>
      <c r="R868" s="58" t="n"/>
      <c r="S868" s="15">
        <f>I868*J868</f>
        <v/>
      </c>
      <c r="T868" s="15">
        <f>SUM(S868:S868)*68%</f>
        <v/>
      </c>
      <c r="U868" s="15">
        <f>I868*K868*40%*O868</f>
        <v/>
      </c>
      <c r="V868" s="15">
        <f>IF(P868&gt;=6750,(I868*K868*40%),0)</f>
        <v/>
      </c>
      <c r="W868" s="15">
        <f>IF(P868&lt;6750,0,IF(Q868="",0,IF(OR(Q868="KURANG",Q868="SANGAT KURANG"),I868*K868*10%,I868*K868*20%)))</f>
        <v/>
      </c>
      <c r="X868" s="15">
        <f>SUM(U868:W868)*68%</f>
        <v/>
      </c>
      <c r="Y868" s="15">
        <f>I868*L868</f>
        <v/>
      </c>
      <c r="Z868" s="15">
        <f>Y868 * 68%</f>
        <v/>
      </c>
      <c r="AA868" s="15">
        <f>I868*M868</f>
        <v/>
      </c>
      <c r="AB868" s="15">
        <f>AA868*68%</f>
        <v/>
      </c>
      <c r="AC868" s="16">
        <f>ROUND((T868+X868+Z868+AB868),0)</f>
        <v/>
      </c>
      <c r="AD868" s="16">
        <f>AG868</f>
        <v/>
      </c>
      <c r="AE868" s="16">
        <f>AI868</f>
        <v/>
      </c>
      <c r="AF868" s="16">
        <f>AC868+AD868+AE868</f>
        <v/>
      </c>
      <c r="AG868" s="16" t="n"/>
      <c r="AH868" s="17" t="n"/>
      <c r="AI868" s="17">
        <f>AH868*4</f>
        <v/>
      </c>
      <c r="AJ868" s="15">
        <f>AF868-AG868-AH868-AI868</f>
        <v/>
      </c>
      <c r="AK868" s="18" t="n">
        <v>861</v>
      </c>
      <c r="AL868" s="23" t="n"/>
    </row>
    <row r="869" ht="23.5" customHeight="1">
      <c r="A869" s="6" t="inlineStr">
        <is>
          <t>862</t>
        </is>
      </c>
      <c r="B869" s="24" t="n"/>
      <c r="C869" s="55" t="n"/>
      <c r="D869" s="19" t="n"/>
      <c r="E869" s="24" t="n"/>
      <c r="F869" s="25" t="n"/>
      <c r="G869" s="25" t="n"/>
      <c r="H869" s="25" t="n"/>
      <c r="I869" s="11" t="n"/>
      <c r="J869" s="57" t="n"/>
      <c r="K869" s="12" t="n"/>
      <c r="L869" s="22" t="n"/>
      <c r="M869" s="13" t="n"/>
      <c r="N869" s="14">
        <f>ROUND(I869*(SUM(J869:M869))*68%,0)</f>
        <v/>
      </c>
      <c r="O869" s="61" t="n"/>
      <c r="P869" s="59" t="n"/>
      <c r="Q869" s="59" t="n"/>
      <c r="R869" s="58" t="n"/>
      <c r="S869" s="15">
        <f>I869*J869</f>
        <v/>
      </c>
      <c r="T869" s="15">
        <f>SUM(S869:S869)*68%</f>
        <v/>
      </c>
      <c r="U869" s="15">
        <f>I869*K869*40%*O869</f>
        <v/>
      </c>
      <c r="V869" s="15">
        <f>IF(P869&gt;=6750,(I869*K869*40%),0)</f>
        <v/>
      </c>
      <c r="W869" s="15">
        <f>IF(P869&lt;6750,0,IF(Q869="",0,IF(OR(Q869="KURANG",Q869="SANGAT KURANG"),I869*K869*10%,I869*K869*20%)))</f>
        <v/>
      </c>
      <c r="X869" s="15">
        <f>SUM(U869:W869)*68%</f>
        <v/>
      </c>
      <c r="Y869" s="15">
        <f>I869*L869</f>
        <v/>
      </c>
      <c r="Z869" s="15">
        <f>Y869 * 68%</f>
        <v/>
      </c>
      <c r="AA869" s="15">
        <f>I869*M869</f>
        <v/>
      </c>
      <c r="AB869" s="15">
        <f>AA869*68%</f>
        <v/>
      </c>
      <c r="AC869" s="16">
        <f>ROUND((T869+X869+Z869+AB869),0)</f>
        <v/>
      </c>
      <c r="AD869" s="16">
        <f>AG869</f>
        <v/>
      </c>
      <c r="AE869" s="16">
        <f>AI869</f>
        <v/>
      </c>
      <c r="AF869" s="16">
        <f>AC869+AD869+AE869</f>
        <v/>
      </c>
      <c r="AG869" s="16" t="n"/>
      <c r="AH869" s="17" t="n"/>
      <c r="AI869" s="17">
        <f>AH869*4</f>
        <v/>
      </c>
      <c r="AJ869" s="15">
        <f>AF869-AG869-AH869-AI869</f>
        <v/>
      </c>
      <c r="AK869" s="18" t="n">
        <v>862</v>
      </c>
      <c r="AL869" s="23" t="n"/>
    </row>
    <row r="870" ht="23.5" customHeight="1">
      <c r="A870" s="6" t="inlineStr">
        <is>
          <t>863</t>
        </is>
      </c>
      <c r="B870" s="24" t="n"/>
      <c r="C870" s="55" t="n"/>
      <c r="D870" s="19" t="n"/>
      <c r="E870" s="24" t="n"/>
      <c r="F870" s="25" t="n"/>
      <c r="G870" s="25" t="n"/>
      <c r="H870" s="25" t="n"/>
      <c r="I870" s="11" t="n"/>
      <c r="J870" s="57" t="n"/>
      <c r="K870" s="12" t="n"/>
      <c r="L870" s="22" t="n"/>
      <c r="M870" s="13" t="n"/>
      <c r="N870" s="14">
        <f>ROUND(I870*(SUM(J870:M870))*68%,0)</f>
        <v/>
      </c>
      <c r="O870" s="61" t="n"/>
      <c r="P870" s="59" t="n"/>
      <c r="Q870" s="59" t="n"/>
      <c r="R870" s="58" t="n"/>
      <c r="S870" s="15">
        <f>I870*J870</f>
        <v/>
      </c>
      <c r="T870" s="15">
        <f>SUM(S870:S870)*68%</f>
        <v/>
      </c>
      <c r="U870" s="15">
        <f>I870*K870*40%*O870</f>
        <v/>
      </c>
      <c r="V870" s="15">
        <f>IF(P870&gt;=6750,(I870*K870*40%),0)</f>
        <v/>
      </c>
      <c r="W870" s="15">
        <f>IF(P870&lt;6750,0,IF(Q870="",0,IF(OR(Q870="KURANG",Q870="SANGAT KURANG"),I870*K870*10%,I870*K870*20%)))</f>
        <v/>
      </c>
      <c r="X870" s="15">
        <f>SUM(U870:W870)*68%</f>
        <v/>
      </c>
      <c r="Y870" s="15">
        <f>I870*L870</f>
        <v/>
      </c>
      <c r="Z870" s="15">
        <f>Y870 * 68%</f>
        <v/>
      </c>
      <c r="AA870" s="15">
        <f>I870*M870</f>
        <v/>
      </c>
      <c r="AB870" s="15">
        <f>AA870*68%</f>
        <v/>
      </c>
      <c r="AC870" s="16">
        <f>ROUND((T870+X870+Z870+AB870),0)</f>
        <v/>
      </c>
      <c r="AD870" s="16">
        <f>AG870</f>
        <v/>
      </c>
      <c r="AE870" s="16">
        <f>AI870</f>
        <v/>
      </c>
      <c r="AF870" s="16">
        <f>AC870+AD870+AE870</f>
        <v/>
      </c>
      <c r="AG870" s="16" t="n"/>
      <c r="AH870" s="17" t="n"/>
      <c r="AI870" s="17">
        <f>AH870*4</f>
        <v/>
      </c>
      <c r="AJ870" s="15">
        <f>AF870-AG870-AH870-AI870</f>
        <v/>
      </c>
      <c r="AK870" s="18" t="n">
        <v>863</v>
      </c>
      <c r="AL870" s="40" t="n"/>
    </row>
    <row r="871" ht="23.5" customHeight="1">
      <c r="A871" s="6" t="inlineStr">
        <is>
          <t>864</t>
        </is>
      </c>
      <c r="B871" s="24" t="n"/>
      <c r="C871" s="55" t="n"/>
      <c r="D871" s="19" t="n"/>
      <c r="E871" s="24" t="n"/>
      <c r="F871" s="25" t="n"/>
      <c r="G871" s="25" t="n"/>
      <c r="H871" s="25" t="n"/>
      <c r="I871" s="11" t="n"/>
      <c r="J871" s="57" t="n"/>
      <c r="K871" s="12" t="n"/>
      <c r="L871" s="22" t="n"/>
      <c r="M871" s="13" t="n"/>
      <c r="N871" s="14">
        <f>ROUND(I871*(SUM(J871:M871))*68%,0)</f>
        <v/>
      </c>
      <c r="O871" s="61" t="n"/>
      <c r="P871" s="59" t="n"/>
      <c r="Q871" s="59" t="n"/>
      <c r="R871" s="58" t="n"/>
      <c r="S871" s="15">
        <f>I871*J871</f>
        <v/>
      </c>
      <c r="T871" s="15">
        <f>SUM(S871:S871)*68%</f>
        <v/>
      </c>
      <c r="U871" s="15">
        <f>I871*K871*40%*O871</f>
        <v/>
      </c>
      <c r="V871" s="15">
        <f>IF(P871&gt;=6750,(I871*K871*40%),0)</f>
        <v/>
      </c>
      <c r="W871" s="15">
        <f>IF(P871&lt;6750,0,IF(Q871="",0,IF(OR(Q871="KURANG",Q871="SANGAT KURANG"),I871*K871*10%,I871*K871*20%)))</f>
        <v/>
      </c>
      <c r="X871" s="15">
        <f>SUM(U871:W871)*68%</f>
        <v/>
      </c>
      <c r="Y871" s="15">
        <f>I871*L871</f>
        <v/>
      </c>
      <c r="Z871" s="15">
        <f>Y871 * 68%</f>
        <v/>
      </c>
      <c r="AA871" s="15">
        <f>I871*M871</f>
        <v/>
      </c>
      <c r="AB871" s="15">
        <f>AA871*68%</f>
        <v/>
      </c>
      <c r="AC871" s="16">
        <f>ROUND((T871+X871+Z871+AB871),0)</f>
        <v/>
      </c>
      <c r="AD871" s="16">
        <f>AG871</f>
        <v/>
      </c>
      <c r="AE871" s="16">
        <f>AI871</f>
        <v/>
      </c>
      <c r="AF871" s="16">
        <f>AC871+AD871+AE871</f>
        <v/>
      </c>
      <c r="AG871" s="16" t="n"/>
      <c r="AH871" s="17" t="n"/>
      <c r="AI871" s="17">
        <f>AH871*4</f>
        <v/>
      </c>
      <c r="AJ871" s="15">
        <f>AF871-AG871-AH871-AI871</f>
        <v/>
      </c>
      <c r="AK871" s="18" t="n">
        <v>864</v>
      </c>
      <c r="AL871" s="23" t="n"/>
    </row>
    <row r="872" ht="23.5" customHeight="1">
      <c r="A872" s="6" t="inlineStr">
        <is>
          <t>865</t>
        </is>
      </c>
      <c r="B872" s="24" t="n"/>
      <c r="C872" s="55" t="n"/>
      <c r="D872" s="19" t="n"/>
      <c r="E872" s="24" t="n"/>
      <c r="F872" s="25" t="n"/>
      <c r="G872" s="25" t="n"/>
      <c r="H872" s="25" t="n"/>
      <c r="I872" s="11" t="n"/>
      <c r="J872" s="57" t="n"/>
      <c r="K872" s="12" t="n"/>
      <c r="L872" s="22" t="n"/>
      <c r="M872" s="13" t="n"/>
      <c r="N872" s="14">
        <f>ROUND(I872*(SUM(J872:M872))*68%,0)</f>
        <v/>
      </c>
      <c r="O872" s="61" t="n"/>
      <c r="P872" s="59" t="n"/>
      <c r="Q872" s="59" t="n"/>
      <c r="R872" s="58" t="n"/>
      <c r="S872" s="15">
        <f>I872*J872</f>
        <v/>
      </c>
      <c r="T872" s="15">
        <f>SUM(S872:S872)*68%</f>
        <v/>
      </c>
      <c r="U872" s="15">
        <f>I872*K872*40%*O872</f>
        <v/>
      </c>
      <c r="V872" s="15">
        <f>IF(P872&gt;=6750,(I872*K872*40%),0)</f>
        <v/>
      </c>
      <c r="W872" s="15">
        <f>IF(P872&lt;6750,0,IF(Q872="",0,IF(OR(Q872="KURANG",Q872="SANGAT KURANG"),I872*K872*10%,I872*K872*20%)))</f>
        <v/>
      </c>
      <c r="X872" s="15">
        <f>SUM(U872:W872)*68%</f>
        <v/>
      </c>
      <c r="Y872" s="15">
        <f>I872*L872</f>
        <v/>
      </c>
      <c r="Z872" s="15">
        <f>Y872 * 68%</f>
        <v/>
      </c>
      <c r="AA872" s="15">
        <f>I872*M872</f>
        <v/>
      </c>
      <c r="AB872" s="15">
        <f>AA872*68%</f>
        <v/>
      </c>
      <c r="AC872" s="16">
        <f>ROUND((T872+X872+Z872+AB872),0)</f>
        <v/>
      </c>
      <c r="AD872" s="16">
        <f>AG872</f>
        <v/>
      </c>
      <c r="AE872" s="16">
        <f>AI872</f>
        <v/>
      </c>
      <c r="AF872" s="16">
        <f>AC872+AD872+AE872</f>
        <v/>
      </c>
      <c r="AG872" s="16" t="n"/>
      <c r="AH872" s="17" t="n"/>
      <c r="AI872" s="17">
        <f>AH872*4</f>
        <v/>
      </c>
      <c r="AJ872" s="15">
        <f>AF872-AG872-AH872-AI872</f>
        <v/>
      </c>
      <c r="AK872" s="18" t="n">
        <v>865</v>
      </c>
      <c r="AL872" s="23" t="n"/>
    </row>
    <row r="873" ht="23.5" customHeight="1">
      <c r="A873" s="6" t="inlineStr">
        <is>
          <t>866</t>
        </is>
      </c>
      <c r="B873" s="24" t="n"/>
      <c r="C873" s="55" t="n"/>
      <c r="D873" s="19" t="n"/>
      <c r="E873" s="24" t="n"/>
      <c r="F873" s="25" t="n"/>
      <c r="G873" s="25" t="n"/>
      <c r="H873" s="25" t="n"/>
      <c r="I873" s="11" t="n"/>
      <c r="J873" s="57" t="n"/>
      <c r="K873" s="12" t="n"/>
      <c r="L873" s="22" t="n"/>
      <c r="M873" s="13" t="n"/>
      <c r="N873" s="14">
        <f>ROUND(I873*(SUM(J873:M873))*68%,0)</f>
        <v/>
      </c>
      <c r="O873" s="61" t="n"/>
      <c r="P873" s="59" t="n"/>
      <c r="Q873" s="59" t="n"/>
      <c r="R873" s="58" t="n"/>
      <c r="S873" s="15">
        <f>I873*J873</f>
        <v/>
      </c>
      <c r="T873" s="15">
        <f>SUM(S873:S873)*68%</f>
        <v/>
      </c>
      <c r="U873" s="15">
        <f>I873*K873*40%*O873</f>
        <v/>
      </c>
      <c r="V873" s="15">
        <f>IF(P873&gt;=6750,(I873*K873*40%),0)</f>
        <v/>
      </c>
      <c r="W873" s="15">
        <f>IF(P873&lt;6750,0,IF(Q873="",0,IF(OR(Q873="KURANG",Q873="SANGAT KURANG"),I873*K873*10%,I873*K873*20%)))</f>
        <v/>
      </c>
      <c r="X873" s="15">
        <f>SUM(U873:W873)*68%</f>
        <v/>
      </c>
      <c r="Y873" s="15">
        <f>I873*L873</f>
        <v/>
      </c>
      <c r="Z873" s="15">
        <f>Y873 * 68%</f>
        <v/>
      </c>
      <c r="AA873" s="15">
        <f>I873*M873</f>
        <v/>
      </c>
      <c r="AB873" s="15">
        <f>AA873*68%</f>
        <v/>
      </c>
      <c r="AC873" s="16">
        <f>ROUND((T873+X873+Z873+AB873),0)</f>
        <v/>
      </c>
      <c r="AD873" s="16">
        <f>AG873</f>
        <v/>
      </c>
      <c r="AE873" s="16">
        <f>AI873</f>
        <v/>
      </c>
      <c r="AF873" s="16">
        <f>AC873+AD873+AE873</f>
        <v/>
      </c>
      <c r="AG873" s="16" t="n"/>
      <c r="AH873" s="17" t="n"/>
      <c r="AI873" s="17">
        <f>AH873*4</f>
        <v/>
      </c>
      <c r="AJ873" s="15">
        <f>AF873-AG873-AH873-AI873</f>
        <v/>
      </c>
      <c r="AK873" s="18" t="n">
        <v>866</v>
      </c>
      <c r="AL873" s="40" t="n"/>
    </row>
    <row r="874" ht="23.5" customHeight="1">
      <c r="A874" s="6" t="inlineStr">
        <is>
          <t>867</t>
        </is>
      </c>
      <c r="B874" s="24" t="n"/>
      <c r="C874" s="55" t="n"/>
      <c r="D874" s="19" t="n"/>
      <c r="E874" s="24" t="n"/>
      <c r="F874" s="25" t="n"/>
      <c r="G874" s="25" t="n"/>
      <c r="H874" s="25" t="n"/>
      <c r="I874" s="11" t="n"/>
      <c r="J874" s="57" t="n"/>
      <c r="K874" s="12" t="n"/>
      <c r="L874" s="22" t="n"/>
      <c r="M874" s="13" t="n"/>
      <c r="N874" s="14">
        <f>ROUND(I874*(SUM(J874:M874))*68%,0)</f>
        <v/>
      </c>
      <c r="O874" s="61" t="n"/>
      <c r="P874" s="59" t="n"/>
      <c r="Q874" s="59" t="n"/>
      <c r="R874" s="58" t="n"/>
      <c r="S874" s="15">
        <f>I874*J874</f>
        <v/>
      </c>
      <c r="T874" s="15">
        <f>SUM(S874:S874)*68%</f>
        <v/>
      </c>
      <c r="U874" s="15">
        <f>I874*K874*40%*O874</f>
        <v/>
      </c>
      <c r="V874" s="15">
        <f>IF(P874&gt;=6750,(I874*K874*40%),0)</f>
        <v/>
      </c>
      <c r="W874" s="15">
        <f>IF(P874&lt;6750,0,IF(Q874="",0,IF(OR(Q874="KURANG",Q874="SANGAT KURANG"),I874*K874*10%,I874*K874*20%)))</f>
        <v/>
      </c>
      <c r="X874" s="15">
        <f>SUM(U874:W874)*68%</f>
        <v/>
      </c>
      <c r="Y874" s="15">
        <f>I874*L874</f>
        <v/>
      </c>
      <c r="Z874" s="15">
        <f>Y874 * 68%</f>
        <v/>
      </c>
      <c r="AA874" s="15">
        <f>I874*M874</f>
        <v/>
      </c>
      <c r="AB874" s="15">
        <f>AA874*68%</f>
        <v/>
      </c>
      <c r="AC874" s="16">
        <f>ROUND((T874+X874+Z874+AB874),0)</f>
        <v/>
      </c>
      <c r="AD874" s="16">
        <f>AG874</f>
        <v/>
      </c>
      <c r="AE874" s="16">
        <f>AI874</f>
        <v/>
      </c>
      <c r="AF874" s="16">
        <f>AC874+AD874+AE874</f>
        <v/>
      </c>
      <c r="AG874" s="16" t="n"/>
      <c r="AH874" s="17" t="n"/>
      <c r="AI874" s="17">
        <f>AH874*4</f>
        <v/>
      </c>
      <c r="AJ874" s="15">
        <f>AF874-AG874-AH874-AI874</f>
        <v/>
      </c>
      <c r="AK874" s="18" t="n">
        <v>867</v>
      </c>
      <c r="AL874" s="23" t="n"/>
    </row>
    <row r="875" ht="23.5" customHeight="1">
      <c r="A875" s="6" t="inlineStr">
        <is>
          <t>868</t>
        </is>
      </c>
      <c r="B875" s="24" t="n"/>
      <c r="C875" s="55" t="n"/>
      <c r="D875" s="19" t="n"/>
      <c r="E875" s="24" t="n"/>
      <c r="F875" s="25" t="n"/>
      <c r="G875" s="25" t="n"/>
      <c r="H875" s="25" t="n"/>
      <c r="I875" s="11" t="n"/>
      <c r="J875" s="57" t="n"/>
      <c r="K875" s="12" t="n"/>
      <c r="L875" s="22" t="n"/>
      <c r="M875" s="13" t="n"/>
      <c r="N875" s="14">
        <f>ROUND(I875*(SUM(J875:M875))*68%,0)</f>
        <v/>
      </c>
      <c r="O875" s="61" t="n"/>
      <c r="P875" s="59" t="n"/>
      <c r="Q875" s="59" t="n"/>
      <c r="R875" s="58" t="n"/>
      <c r="S875" s="15">
        <f>I875*J875</f>
        <v/>
      </c>
      <c r="T875" s="15">
        <f>SUM(S875:S875)*68%</f>
        <v/>
      </c>
      <c r="U875" s="15">
        <f>I875*K875*40%*O875</f>
        <v/>
      </c>
      <c r="V875" s="15">
        <f>IF(P875&gt;=6750,(I875*K875*40%),0)</f>
        <v/>
      </c>
      <c r="W875" s="15">
        <f>IF(P875&lt;6750,0,IF(Q875="",0,IF(OR(Q875="KURANG",Q875="SANGAT KURANG"),I875*K875*10%,I875*K875*20%)))</f>
        <v/>
      </c>
      <c r="X875" s="15">
        <f>SUM(U875:W875)*68%</f>
        <v/>
      </c>
      <c r="Y875" s="15">
        <f>I875*L875</f>
        <v/>
      </c>
      <c r="Z875" s="15">
        <f>Y875 * 68%</f>
        <v/>
      </c>
      <c r="AA875" s="15">
        <f>I875*M875</f>
        <v/>
      </c>
      <c r="AB875" s="15">
        <f>AA875*68%</f>
        <v/>
      </c>
      <c r="AC875" s="16">
        <f>ROUND((T875+X875+Z875+AB875),0)</f>
        <v/>
      </c>
      <c r="AD875" s="16">
        <f>AG875</f>
        <v/>
      </c>
      <c r="AE875" s="16">
        <f>AI875</f>
        <v/>
      </c>
      <c r="AF875" s="16">
        <f>AC875+AD875+AE875</f>
        <v/>
      </c>
      <c r="AG875" s="16" t="n"/>
      <c r="AH875" s="17" t="n"/>
      <c r="AI875" s="17">
        <f>AH875*4</f>
        <v/>
      </c>
      <c r="AJ875" s="15">
        <f>AF875-AG875-AH875-AI875</f>
        <v/>
      </c>
      <c r="AK875" s="18" t="n">
        <v>868</v>
      </c>
      <c r="AL875" s="23" t="n"/>
    </row>
    <row r="876" ht="23.5" customHeight="1">
      <c r="A876" s="6" t="inlineStr">
        <is>
          <t>869</t>
        </is>
      </c>
      <c r="B876" s="24" t="n"/>
      <c r="C876" s="55" t="n"/>
      <c r="D876" s="19" t="n"/>
      <c r="E876" s="24" t="n"/>
      <c r="F876" s="25" t="n"/>
      <c r="G876" s="25" t="n"/>
      <c r="H876" s="25" t="n"/>
      <c r="I876" s="11" t="n"/>
      <c r="J876" s="57" t="n"/>
      <c r="K876" s="12" t="n"/>
      <c r="L876" s="22" t="n"/>
      <c r="M876" s="13" t="n"/>
      <c r="N876" s="14">
        <f>ROUND(I876*(SUM(J876:M876))*68%,0)</f>
        <v/>
      </c>
      <c r="O876" s="61" t="n"/>
      <c r="P876" s="59" t="n"/>
      <c r="Q876" s="59" t="n"/>
      <c r="R876" s="58" t="n"/>
      <c r="S876" s="15">
        <f>I876*J876</f>
        <v/>
      </c>
      <c r="T876" s="15">
        <f>SUM(S876:S876)*68%</f>
        <v/>
      </c>
      <c r="U876" s="15">
        <f>I876*K876*40%*O876</f>
        <v/>
      </c>
      <c r="V876" s="15">
        <f>IF(P876&gt;=6750,(I876*K876*40%),0)</f>
        <v/>
      </c>
      <c r="W876" s="15">
        <f>IF(P876&lt;6750,0,IF(Q876="",0,IF(OR(Q876="KURANG",Q876="SANGAT KURANG"),I876*K876*10%,I876*K876*20%)))</f>
        <v/>
      </c>
      <c r="X876" s="15">
        <f>SUM(U876:W876)*68%</f>
        <v/>
      </c>
      <c r="Y876" s="15">
        <f>I876*L876</f>
        <v/>
      </c>
      <c r="Z876" s="15">
        <f>Y876 * 68%</f>
        <v/>
      </c>
      <c r="AA876" s="15">
        <f>I876*M876</f>
        <v/>
      </c>
      <c r="AB876" s="15">
        <f>AA876*68%</f>
        <v/>
      </c>
      <c r="AC876" s="16">
        <f>ROUND((T876+X876+Z876+AB876),0)</f>
        <v/>
      </c>
      <c r="AD876" s="16">
        <f>AG876</f>
        <v/>
      </c>
      <c r="AE876" s="16">
        <f>AI876</f>
        <v/>
      </c>
      <c r="AF876" s="16">
        <f>AC876+AD876+AE876</f>
        <v/>
      </c>
      <c r="AG876" s="16" t="n"/>
      <c r="AH876" s="17" t="n"/>
      <c r="AI876" s="17">
        <f>AH876*4</f>
        <v/>
      </c>
      <c r="AJ876" s="15">
        <f>AF876-AG876-AH876-AI876</f>
        <v/>
      </c>
      <c r="AK876" s="18" t="n">
        <v>869</v>
      </c>
      <c r="AL876" s="40" t="n"/>
    </row>
    <row r="877" ht="23.5" customHeight="1">
      <c r="A877" s="6" t="inlineStr">
        <is>
          <t>870</t>
        </is>
      </c>
      <c r="B877" s="24" t="n"/>
      <c r="C877" s="55" t="n"/>
      <c r="D877" s="19" t="n"/>
      <c r="E877" s="24" t="n"/>
      <c r="F877" s="25" t="n"/>
      <c r="G877" s="25" t="n"/>
      <c r="H877" s="25" t="n"/>
      <c r="I877" s="11" t="n"/>
      <c r="J877" s="57" t="n"/>
      <c r="K877" s="12" t="n"/>
      <c r="L877" s="22" t="n"/>
      <c r="M877" s="13" t="n"/>
      <c r="N877" s="14">
        <f>ROUND(I877*(SUM(J877:M877))*68%,0)</f>
        <v/>
      </c>
      <c r="O877" s="61" t="n"/>
      <c r="P877" s="59" t="n"/>
      <c r="Q877" s="59" t="n"/>
      <c r="R877" s="58" t="n"/>
      <c r="S877" s="15">
        <f>I877*J877</f>
        <v/>
      </c>
      <c r="T877" s="15">
        <f>SUM(S877:S877)*68%</f>
        <v/>
      </c>
      <c r="U877" s="15">
        <f>I877*K877*40%*O877</f>
        <v/>
      </c>
      <c r="V877" s="15">
        <f>IF(P877&gt;=6750,(I877*K877*40%),0)</f>
        <v/>
      </c>
      <c r="W877" s="15">
        <f>IF(P877&lt;6750,0,IF(Q877="",0,IF(OR(Q877="KURANG",Q877="SANGAT KURANG"),I877*K877*10%,I877*K877*20%)))</f>
        <v/>
      </c>
      <c r="X877" s="15">
        <f>SUM(U877:W877)*68%</f>
        <v/>
      </c>
      <c r="Y877" s="15">
        <f>I877*L877</f>
        <v/>
      </c>
      <c r="Z877" s="15">
        <f>Y877 * 68%</f>
        <v/>
      </c>
      <c r="AA877" s="15">
        <f>I877*M877</f>
        <v/>
      </c>
      <c r="AB877" s="15">
        <f>AA877*68%</f>
        <v/>
      </c>
      <c r="AC877" s="16">
        <f>ROUND((T877+X877+Z877+AB877),0)</f>
        <v/>
      </c>
      <c r="AD877" s="16">
        <f>AG877</f>
        <v/>
      </c>
      <c r="AE877" s="16">
        <f>AI877</f>
        <v/>
      </c>
      <c r="AF877" s="16">
        <f>AC877+AD877+AE877</f>
        <v/>
      </c>
      <c r="AG877" s="16" t="n"/>
      <c r="AH877" s="17" t="n"/>
      <c r="AI877" s="17">
        <f>AH877*4</f>
        <v/>
      </c>
      <c r="AJ877" s="15">
        <f>AF877-AG877-AH877-AI877</f>
        <v/>
      </c>
      <c r="AK877" s="18" t="n">
        <v>870</v>
      </c>
      <c r="AL877" s="23" t="n"/>
    </row>
    <row r="878" ht="23.5" customHeight="1">
      <c r="A878" s="6" t="inlineStr">
        <is>
          <t>871</t>
        </is>
      </c>
      <c r="B878" s="24" t="n"/>
      <c r="C878" s="55" t="n"/>
      <c r="D878" s="19" t="n"/>
      <c r="E878" s="24" t="n"/>
      <c r="F878" s="25" t="n"/>
      <c r="G878" s="25" t="n"/>
      <c r="H878" s="25" t="n"/>
      <c r="I878" s="11" t="n"/>
      <c r="J878" s="57" t="n"/>
      <c r="K878" s="12" t="n"/>
      <c r="L878" s="22" t="n"/>
      <c r="M878" s="13" t="n"/>
      <c r="N878" s="14">
        <f>ROUND(I878*(SUM(J878:M878))*68%,0)</f>
        <v/>
      </c>
      <c r="O878" s="61" t="n"/>
      <c r="P878" s="59" t="n"/>
      <c r="Q878" s="59" t="n"/>
      <c r="R878" s="58" t="n"/>
      <c r="S878" s="15">
        <f>I878*J878</f>
        <v/>
      </c>
      <c r="T878" s="15">
        <f>SUM(S878:S878)*68%</f>
        <v/>
      </c>
      <c r="U878" s="15">
        <f>I878*K878*40%*O878</f>
        <v/>
      </c>
      <c r="V878" s="15">
        <f>IF(P878&gt;=6750,(I878*K878*40%),0)</f>
        <v/>
      </c>
      <c r="W878" s="15">
        <f>IF(P878&lt;6750,0,IF(Q878="",0,IF(OR(Q878="KURANG",Q878="SANGAT KURANG"),I878*K878*10%,I878*K878*20%)))</f>
        <v/>
      </c>
      <c r="X878" s="15">
        <f>SUM(U878:W878)*68%</f>
        <v/>
      </c>
      <c r="Y878" s="15">
        <f>I878*L878</f>
        <v/>
      </c>
      <c r="Z878" s="15">
        <f>Y878 * 68%</f>
        <v/>
      </c>
      <c r="AA878" s="15">
        <f>I878*M878</f>
        <v/>
      </c>
      <c r="AB878" s="15">
        <f>AA878*68%</f>
        <v/>
      </c>
      <c r="AC878" s="16">
        <f>ROUND((T878+X878+Z878+AB878),0)</f>
        <v/>
      </c>
      <c r="AD878" s="16">
        <f>AG878</f>
        <v/>
      </c>
      <c r="AE878" s="16">
        <f>AI878</f>
        <v/>
      </c>
      <c r="AF878" s="16">
        <f>AC878+AD878+AE878</f>
        <v/>
      </c>
      <c r="AG878" s="16" t="n"/>
      <c r="AH878" s="17" t="n"/>
      <c r="AI878" s="17">
        <f>AH878*4</f>
        <v/>
      </c>
      <c r="AJ878" s="15">
        <f>AF878-AG878-AH878-AI878</f>
        <v/>
      </c>
      <c r="AK878" s="18" t="n">
        <v>871</v>
      </c>
      <c r="AL878" s="23" t="n"/>
    </row>
    <row r="879" ht="23.5" customHeight="1">
      <c r="A879" s="6" t="inlineStr">
        <is>
          <t>872</t>
        </is>
      </c>
      <c r="B879" s="24" t="n"/>
      <c r="C879" s="55" t="n"/>
      <c r="D879" s="19" t="n"/>
      <c r="E879" s="24" t="n"/>
      <c r="F879" s="25" t="n"/>
      <c r="G879" s="10" t="n"/>
      <c r="H879" s="8" t="n"/>
      <c r="I879" s="11" t="n"/>
      <c r="J879" s="57" t="n"/>
      <c r="K879" s="12" t="n"/>
      <c r="L879" s="13" t="n"/>
      <c r="M879" s="13" t="n"/>
      <c r="N879" s="14">
        <f>ROUND(I879*(SUM(J879:M879))*68%,0)</f>
        <v/>
      </c>
      <c r="O879" s="61" t="n"/>
      <c r="P879" s="59" t="n"/>
      <c r="Q879" s="59" t="n"/>
      <c r="R879" s="58" t="n"/>
      <c r="S879" s="15">
        <f>I879*J879</f>
        <v/>
      </c>
      <c r="T879" s="15">
        <f>SUM(S879:S879)*68%</f>
        <v/>
      </c>
      <c r="U879" s="15">
        <f>I879*K879*40%*O879</f>
        <v/>
      </c>
      <c r="V879" s="15">
        <f>IF(P879&gt;=6750,(I879*K879*40%),0)</f>
        <v/>
      </c>
      <c r="W879" s="15">
        <f>IF(P879&lt;6750,0,IF(Q879="",0,IF(OR(Q879="KURANG",Q879="SANGAT KURANG"),I879*K879*10%,I879*K879*20%)))</f>
        <v/>
      </c>
      <c r="X879" s="15">
        <f>SUM(U879:W879)*68%</f>
        <v/>
      </c>
      <c r="Y879" s="15">
        <f>I879*L879</f>
        <v/>
      </c>
      <c r="Z879" s="15">
        <f>Y879 * 68%</f>
        <v/>
      </c>
      <c r="AA879" s="15">
        <f>I879*M879</f>
        <v/>
      </c>
      <c r="AB879" s="15">
        <f>AA879*68%</f>
        <v/>
      </c>
      <c r="AC879" s="16">
        <f>ROUND((T879+X879+Z879+AB879),0)</f>
        <v/>
      </c>
      <c r="AD879" s="16">
        <f>AG879</f>
        <v/>
      </c>
      <c r="AE879" s="16">
        <f>AI879</f>
        <v/>
      </c>
      <c r="AF879" s="16">
        <f>AC879+AD879+AE879</f>
        <v/>
      </c>
      <c r="AG879" s="16" t="n"/>
      <c r="AH879" s="17" t="n"/>
      <c r="AI879" s="17">
        <f>AH879*4</f>
        <v/>
      </c>
      <c r="AJ879" s="15">
        <f>AF879-AG879-AH879-AI879</f>
        <v/>
      </c>
      <c r="AK879" s="18" t="n">
        <v>872</v>
      </c>
      <c r="AL879" s="40" t="n"/>
    </row>
    <row r="880" ht="23.5" customHeight="1">
      <c r="A880" s="6" t="inlineStr">
        <is>
          <t>873</t>
        </is>
      </c>
      <c r="B880" s="24" t="n"/>
      <c r="C880" s="55" t="n"/>
      <c r="D880" s="19" t="n"/>
      <c r="E880" s="24" t="n"/>
      <c r="F880" s="25" t="n"/>
      <c r="G880" s="10" t="n"/>
      <c r="H880" s="8" t="n"/>
      <c r="I880" s="11" t="n"/>
      <c r="J880" s="57" t="n"/>
      <c r="K880" s="12" t="n"/>
      <c r="L880" s="22" t="n"/>
      <c r="M880" s="13" t="n"/>
      <c r="N880" s="14">
        <f>ROUND(I880*(SUM(J880:M880))*68%,0)</f>
        <v/>
      </c>
      <c r="O880" s="61" t="n"/>
      <c r="P880" s="59" t="n"/>
      <c r="Q880" s="59" t="n"/>
      <c r="R880" s="58" t="n"/>
      <c r="S880" s="15">
        <f>I880*J880</f>
        <v/>
      </c>
      <c r="T880" s="15">
        <f>SUM(S880:S880)*68%</f>
        <v/>
      </c>
      <c r="U880" s="15">
        <f>I880*K880*40%*O880</f>
        <v/>
      </c>
      <c r="V880" s="15">
        <f>IF(P880&gt;=6750,(I880*K880*40%),0)</f>
        <v/>
      </c>
      <c r="W880" s="15">
        <f>IF(P880&lt;6750,0,IF(Q880="",0,IF(OR(Q880="KURANG",Q880="SANGAT KURANG"),I880*K880*10%,I880*K880*20%)))</f>
        <v/>
      </c>
      <c r="X880" s="15">
        <f>SUM(U880:W880)*68%</f>
        <v/>
      </c>
      <c r="Y880" s="15">
        <f>I880*L880</f>
        <v/>
      </c>
      <c r="Z880" s="15">
        <f>Y880 * 68%</f>
        <v/>
      </c>
      <c r="AA880" s="15">
        <f>I880*M880</f>
        <v/>
      </c>
      <c r="AB880" s="15">
        <f>AA880*68%</f>
        <v/>
      </c>
      <c r="AC880" s="16">
        <f>ROUND((T880+X880+Z880+AB880),0)</f>
        <v/>
      </c>
      <c r="AD880" s="16">
        <f>AG880</f>
        <v/>
      </c>
      <c r="AE880" s="16">
        <f>AI880</f>
        <v/>
      </c>
      <c r="AF880" s="16">
        <f>AC880+AD880+AE880</f>
        <v/>
      </c>
      <c r="AG880" s="16" t="n"/>
      <c r="AH880" s="17" t="n"/>
      <c r="AI880" s="17">
        <f>AH880*4</f>
        <v/>
      </c>
      <c r="AJ880" s="15">
        <f>AF880-AG880-AH880-AI880</f>
        <v/>
      </c>
      <c r="AK880" s="18" t="n">
        <v>873</v>
      </c>
      <c r="AL880" s="23" t="n"/>
    </row>
    <row r="881" ht="23.5" customHeight="1">
      <c r="A881" s="6" t="inlineStr">
        <is>
          <t>874</t>
        </is>
      </c>
      <c r="B881" s="28" t="n"/>
      <c r="C881" s="55" t="n"/>
      <c r="D881" s="19" t="n"/>
      <c r="E881" s="24" t="n"/>
      <c r="F881" s="25" t="n"/>
      <c r="G881" s="10" t="n"/>
      <c r="H881" s="8" t="n"/>
      <c r="I881" s="11" t="n"/>
      <c r="J881" s="57" t="n"/>
      <c r="K881" s="12" t="n"/>
      <c r="L881" s="22" t="n"/>
      <c r="M881" s="13" t="n"/>
      <c r="N881" s="14">
        <f>ROUND(I881*(SUM(J881:M881))*68%,0)</f>
        <v/>
      </c>
      <c r="O881" s="61" t="n"/>
      <c r="P881" s="59" t="n"/>
      <c r="Q881" s="59" t="n"/>
      <c r="R881" s="58" t="n"/>
      <c r="S881" s="15">
        <f>I881*J881</f>
        <v/>
      </c>
      <c r="T881" s="15">
        <f>SUM(S881:S881)*68%</f>
        <v/>
      </c>
      <c r="U881" s="15">
        <f>I881*K881*40%*O881</f>
        <v/>
      </c>
      <c r="V881" s="15">
        <f>IF(P881&gt;=6750,(I881*K881*40%),0)</f>
        <v/>
      </c>
      <c r="W881" s="15">
        <f>IF(P881&lt;6750,0,IF(Q881="",0,IF(OR(Q881="KURANG",Q881="SANGAT KURANG"),I881*K881*10%,I881*K881*20%)))</f>
        <v/>
      </c>
      <c r="X881" s="15">
        <f>SUM(U881:W881)*68%</f>
        <v/>
      </c>
      <c r="Y881" s="15">
        <f>I881*L881</f>
        <v/>
      </c>
      <c r="Z881" s="15">
        <f>Y881 * 68%</f>
        <v/>
      </c>
      <c r="AA881" s="15">
        <f>I881*M881</f>
        <v/>
      </c>
      <c r="AB881" s="15">
        <f>AA881*68%</f>
        <v/>
      </c>
      <c r="AC881" s="16">
        <f>ROUND((T881+X881+Z881+AB881),0)</f>
        <v/>
      </c>
      <c r="AD881" s="16">
        <f>AG881</f>
        <v/>
      </c>
      <c r="AE881" s="16">
        <f>AI881</f>
        <v/>
      </c>
      <c r="AF881" s="16">
        <f>AC881+AD881+AE881</f>
        <v/>
      </c>
      <c r="AG881" s="16" t="n"/>
      <c r="AH881" s="17" t="n"/>
      <c r="AI881" s="17">
        <f>AH881*4</f>
        <v/>
      </c>
      <c r="AJ881" s="15">
        <f>AF881-AG881-AH881-AI881</f>
        <v/>
      </c>
      <c r="AK881" s="18" t="n">
        <v>874</v>
      </c>
      <c r="AL881" s="23" t="n"/>
    </row>
    <row r="882" ht="23.5" customHeight="1">
      <c r="A882" s="6" t="inlineStr">
        <is>
          <t>875</t>
        </is>
      </c>
      <c r="B882" s="24" t="n"/>
      <c r="C882" s="55" t="n"/>
      <c r="D882" s="19" t="n"/>
      <c r="E882" s="24" t="n"/>
      <c r="F882" s="25" t="n"/>
      <c r="G882" s="10" t="n"/>
      <c r="H882" s="8" t="n"/>
      <c r="I882" s="11" t="n"/>
      <c r="J882" s="57" t="n"/>
      <c r="K882" s="12" t="n"/>
      <c r="L882" s="22" t="n"/>
      <c r="M882" s="13" t="n"/>
      <c r="N882" s="14">
        <f>ROUND(I882*(SUM(J882:M882))*68%,0)</f>
        <v/>
      </c>
      <c r="O882" s="61" t="n"/>
      <c r="P882" s="59" t="n"/>
      <c r="Q882" s="59" t="n"/>
      <c r="R882" s="58" t="n"/>
      <c r="S882" s="15">
        <f>I882*J882</f>
        <v/>
      </c>
      <c r="T882" s="15">
        <f>SUM(S882:S882)*68%</f>
        <v/>
      </c>
      <c r="U882" s="15">
        <f>I882*K882*40%*O882</f>
        <v/>
      </c>
      <c r="V882" s="15">
        <f>IF(P882&gt;=6750,(I882*K882*40%),0)</f>
        <v/>
      </c>
      <c r="W882" s="15">
        <f>IF(P882&lt;6750,0,IF(Q882="",0,IF(OR(Q882="KURANG",Q882="SANGAT KURANG"),I882*K882*10%,I882*K882*20%)))</f>
        <v/>
      </c>
      <c r="X882" s="15">
        <f>SUM(U882:W882)*68%</f>
        <v/>
      </c>
      <c r="Y882" s="15">
        <f>I882*L882</f>
        <v/>
      </c>
      <c r="Z882" s="15">
        <f>Y882 * 68%</f>
        <v/>
      </c>
      <c r="AA882" s="15">
        <f>I882*M882</f>
        <v/>
      </c>
      <c r="AB882" s="15">
        <f>AA882*68%</f>
        <v/>
      </c>
      <c r="AC882" s="16">
        <f>ROUND((T882+X882+Z882+AB882),0)</f>
        <v/>
      </c>
      <c r="AD882" s="16">
        <f>AG882</f>
        <v/>
      </c>
      <c r="AE882" s="16">
        <f>AI882</f>
        <v/>
      </c>
      <c r="AF882" s="16">
        <f>AC882+AD882+AE882</f>
        <v/>
      </c>
      <c r="AG882" s="16" t="n"/>
      <c r="AH882" s="17" t="n"/>
      <c r="AI882" s="17">
        <f>AH882*4</f>
        <v/>
      </c>
      <c r="AJ882" s="15">
        <f>AF882-AG882-AH882-AI882</f>
        <v/>
      </c>
      <c r="AK882" s="18" t="n">
        <v>875</v>
      </c>
      <c r="AL882" s="40" t="n"/>
    </row>
    <row r="883" ht="23.5" customHeight="1">
      <c r="A883" s="6" t="inlineStr">
        <is>
          <t>876</t>
        </is>
      </c>
      <c r="B883" s="24" t="n"/>
      <c r="C883" s="55" t="n"/>
      <c r="D883" s="19" t="n"/>
      <c r="E883" s="24" t="n"/>
      <c r="F883" s="25" t="n"/>
      <c r="G883" s="10" t="n"/>
      <c r="H883" s="8" t="n"/>
      <c r="I883" s="11" t="n"/>
      <c r="J883" s="57" t="n"/>
      <c r="K883" s="12" t="n"/>
      <c r="L883" s="22" t="n"/>
      <c r="M883" s="13" t="n"/>
      <c r="N883" s="14">
        <f>ROUND(I883*(SUM(J883:M883))*68%,0)</f>
        <v/>
      </c>
      <c r="O883" s="61" t="n"/>
      <c r="P883" s="59" t="n"/>
      <c r="Q883" s="59" t="n"/>
      <c r="R883" s="58" t="n"/>
      <c r="S883" s="15">
        <f>I883*J883</f>
        <v/>
      </c>
      <c r="T883" s="15">
        <f>SUM(S883:S883)*68%</f>
        <v/>
      </c>
      <c r="U883" s="15">
        <f>I883*K883*40%*O883</f>
        <v/>
      </c>
      <c r="V883" s="15">
        <f>IF(P883&gt;=6750,(I883*K883*40%),0)</f>
        <v/>
      </c>
      <c r="W883" s="15">
        <f>IF(P883&lt;6750,0,IF(Q883="",0,IF(OR(Q883="KURANG",Q883="SANGAT KURANG"),I883*K883*10%,I883*K883*20%)))</f>
        <v/>
      </c>
      <c r="X883" s="15">
        <f>SUM(U883:W883)*68%</f>
        <v/>
      </c>
      <c r="Y883" s="15">
        <f>I883*L883</f>
        <v/>
      </c>
      <c r="Z883" s="15">
        <f>Y883 * 68%</f>
        <v/>
      </c>
      <c r="AA883" s="15">
        <f>I883*M883</f>
        <v/>
      </c>
      <c r="AB883" s="15">
        <f>AA883*68%</f>
        <v/>
      </c>
      <c r="AC883" s="16">
        <f>ROUND((T883+X883+Z883+AB883),0)</f>
        <v/>
      </c>
      <c r="AD883" s="16">
        <f>AG883</f>
        <v/>
      </c>
      <c r="AE883" s="16">
        <f>AI883</f>
        <v/>
      </c>
      <c r="AF883" s="16">
        <f>AC883+AD883+AE883</f>
        <v/>
      </c>
      <c r="AG883" s="16" t="n"/>
      <c r="AH883" s="17" t="n"/>
      <c r="AI883" s="17">
        <f>AH883*4</f>
        <v/>
      </c>
      <c r="AJ883" s="15">
        <f>AF883-AG883-AH883-AI883</f>
        <v/>
      </c>
      <c r="AK883" s="18" t="n">
        <v>876</v>
      </c>
      <c r="AL883" s="23" t="n"/>
    </row>
    <row r="884" ht="23.5" customHeight="1">
      <c r="A884" s="6" t="inlineStr">
        <is>
          <t>877</t>
        </is>
      </c>
      <c r="B884" s="24" t="n"/>
      <c r="C884" s="55" t="n"/>
      <c r="D884" s="19" t="n"/>
      <c r="E884" s="24" t="n"/>
      <c r="F884" s="25" t="n"/>
      <c r="G884" s="10" t="n"/>
      <c r="H884" s="8" t="n"/>
      <c r="I884" s="11" t="n"/>
      <c r="J884" s="57" t="n"/>
      <c r="K884" s="12" t="n"/>
      <c r="L884" s="22" t="n"/>
      <c r="M884" s="13" t="n"/>
      <c r="N884" s="14">
        <f>ROUND(I884*(SUM(J884:M884))*68%,0)</f>
        <v/>
      </c>
      <c r="O884" s="61" t="n"/>
      <c r="P884" s="59" t="n"/>
      <c r="Q884" s="59" t="n"/>
      <c r="R884" s="58" t="n"/>
      <c r="S884" s="15">
        <f>I884*J884</f>
        <v/>
      </c>
      <c r="T884" s="15">
        <f>SUM(S884:S884)*68%</f>
        <v/>
      </c>
      <c r="U884" s="15">
        <f>I884*K884*40%*O884</f>
        <v/>
      </c>
      <c r="V884" s="15">
        <f>IF(P884&gt;=6750,(I884*K884*40%),0)</f>
        <v/>
      </c>
      <c r="W884" s="15">
        <f>IF(P884&lt;6750,0,IF(Q884="",0,IF(OR(Q884="KURANG",Q884="SANGAT KURANG"),I884*K884*10%,I884*K884*20%)))</f>
        <v/>
      </c>
      <c r="X884" s="15">
        <f>SUM(U884:W884)*68%</f>
        <v/>
      </c>
      <c r="Y884" s="15">
        <f>I884*L884</f>
        <v/>
      </c>
      <c r="Z884" s="15">
        <f>Y884 * 68%</f>
        <v/>
      </c>
      <c r="AA884" s="15">
        <f>I884*M884</f>
        <v/>
      </c>
      <c r="AB884" s="15">
        <f>AA884*68%</f>
        <v/>
      </c>
      <c r="AC884" s="16">
        <f>ROUND((T884+X884+Z884+AB884),0)</f>
        <v/>
      </c>
      <c r="AD884" s="16">
        <f>AG884</f>
        <v/>
      </c>
      <c r="AE884" s="16">
        <f>AI884</f>
        <v/>
      </c>
      <c r="AF884" s="16">
        <f>AC884+AD884+AE884</f>
        <v/>
      </c>
      <c r="AG884" s="16" t="n"/>
      <c r="AH884" s="17" t="n"/>
      <c r="AI884" s="17">
        <f>AH884*4</f>
        <v/>
      </c>
      <c r="AJ884" s="15">
        <f>AF884-AG884-AH884-AI884</f>
        <v/>
      </c>
      <c r="AK884" s="18" t="n">
        <v>877</v>
      </c>
      <c r="AL884" s="23" t="n"/>
    </row>
    <row r="885" ht="23.5" customHeight="1">
      <c r="A885" s="6" t="inlineStr">
        <is>
          <t>878</t>
        </is>
      </c>
      <c r="B885" s="24" t="n"/>
      <c r="C885" s="55" t="n"/>
      <c r="D885" s="19" t="n"/>
      <c r="E885" s="24" t="n"/>
      <c r="F885" s="25" t="n"/>
      <c r="G885" s="10" t="n"/>
      <c r="H885" s="8" t="n"/>
      <c r="I885" s="11" t="n"/>
      <c r="J885" s="57" t="n"/>
      <c r="K885" s="12" t="n"/>
      <c r="L885" s="22" t="n"/>
      <c r="M885" s="13" t="n"/>
      <c r="N885" s="14">
        <f>ROUND(I885*(SUM(J885:M885))*68%,0)</f>
        <v/>
      </c>
      <c r="O885" s="61" t="n"/>
      <c r="P885" s="59" t="n"/>
      <c r="Q885" s="59" t="n"/>
      <c r="R885" s="58" t="n"/>
      <c r="S885" s="15">
        <f>I885*J885</f>
        <v/>
      </c>
      <c r="T885" s="15">
        <f>SUM(S885:S885)*68%</f>
        <v/>
      </c>
      <c r="U885" s="15">
        <f>I885*K885*40%*O885</f>
        <v/>
      </c>
      <c r="V885" s="15">
        <f>IF(P885&gt;=6750,(I885*K885*40%),0)</f>
        <v/>
      </c>
      <c r="W885" s="15">
        <f>IF(P885&lt;6750,0,IF(Q885="",0,IF(OR(Q885="KURANG",Q885="SANGAT KURANG"),I885*K885*10%,I885*K885*20%)))</f>
        <v/>
      </c>
      <c r="X885" s="15">
        <f>SUM(U885:W885)*68%</f>
        <v/>
      </c>
      <c r="Y885" s="15">
        <f>I885*L885</f>
        <v/>
      </c>
      <c r="Z885" s="15">
        <f>Y885 * 68%</f>
        <v/>
      </c>
      <c r="AA885" s="15">
        <f>I885*M885</f>
        <v/>
      </c>
      <c r="AB885" s="15">
        <f>AA885*68%</f>
        <v/>
      </c>
      <c r="AC885" s="16">
        <f>ROUND((T885+X885+Z885+AB885),0)</f>
        <v/>
      </c>
      <c r="AD885" s="16">
        <f>AG885</f>
        <v/>
      </c>
      <c r="AE885" s="16">
        <f>AI885</f>
        <v/>
      </c>
      <c r="AF885" s="16">
        <f>AC885+AD885+AE885</f>
        <v/>
      </c>
      <c r="AG885" s="16" t="n"/>
      <c r="AH885" s="17" t="n"/>
      <c r="AI885" s="17">
        <f>AH885*4</f>
        <v/>
      </c>
      <c r="AJ885" s="15">
        <f>AF885-AG885-AH885-AI885</f>
        <v/>
      </c>
      <c r="AK885" s="18" t="n">
        <v>878</v>
      </c>
      <c r="AL885" s="40" t="n"/>
    </row>
    <row r="886" ht="23.5" customHeight="1">
      <c r="A886" s="6" t="inlineStr">
        <is>
          <t>879</t>
        </is>
      </c>
      <c r="B886" s="24" t="n"/>
      <c r="C886" s="55" t="n"/>
      <c r="D886" s="19" t="n"/>
      <c r="E886" s="24" t="n"/>
      <c r="F886" s="25" t="n"/>
      <c r="G886" s="10" t="n"/>
      <c r="H886" s="8" t="n"/>
      <c r="I886" s="11" t="n"/>
      <c r="J886" s="57" t="n"/>
      <c r="K886" s="12" t="n"/>
      <c r="L886" s="22" t="n"/>
      <c r="M886" s="13" t="n"/>
      <c r="N886" s="14">
        <f>ROUND(I886*(SUM(J886:M886))*68%,0)</f>
        <v/>
      </c>
      <c r="O886" s="61" t="n"/>
      <c r="P886" s="59" t="n"/>
      <c r="Q886" s="59" t="n"/>
      <c r="R886" s="58" t="n"/>
      <c r="S886" s="15">
        <f>I886*J886</f>
        <v/>
      </c>
      <c r="T886" s="15">
        <f>SUM(S886:S886)*68%</f>
        <v/>
      </c>
      <c r="U886" s="15">
        <f>I886*K886*40%*O886</f>
        <v/>
      </c>
      <c r="V886" s="15">
        <f>IF(P886&gt;=6750,(I886*K886*40%),0)</f>
        <v/>
      </c>
      <c r="W886" s="15">
        <f>IF(P886&lt;6750,0,IF(Q886="",0,IF(OR(Q886="KURANG",Q886="SANGAT KURANG"),I886*K886*10%,I886*K886*20%)))</f>
        <v/>
      </c>
      <c r="X886" s="15">
        <f>SUM(U886:W886)*68%</f>
        <v/>
      </c>
      <c r="Y886" s="15">
        <f>I886*L886</f>
        <v/>
      </c>
      <c r="Z886" s="15">
        <f>Y886 * 68%</f>
        <v/>
      </c>
      <c r="AA886" s="15">
        <f>I886*M886</f>
        <v/>
      </c>
      <c r="AB886" s="15">
        <f>AA886*68%</f>
        <v/>
      </c>
      <c r="AC886" s="16">
        <f>ROUND((T886+X886+Z886+AB886),0)</f>
        <v/>
      </c>
      <c r="AD886" s="16">
        <f>AG886</f>
        <v/>
      </c>
      <c r="AE886" s="16">
        <f>AI886</f>
        <v/>
      </c>
      <c r="AF886" s="16">
        <f>AC886+AD886+AE886</f>
        <v/>
      </c>
      <c r="AG886" s="16" t="n"/>
      <c r="AH886" s="17" t="n"/>
      <c r="AI886" s="17">
        <f>AH886*4</f>
        <v/>
      </c>
      <c r="AJ886" s="15">
        <f>AF886-AG886-AH886-AI886</f>
        <v/>
      </c>
      <c r="AK886" s="18" t="n">
        <v>879</v>
      </c>
      <c r="AL886" s="23" t="n"/>
    </row>
    <row r="887" ht="23.5" customHeight="1">
      <c r="A887" s="6" t="inlineStr">
        <is>
          <t>880</t>
        </is>
      </c>
      <c r="B887" s="28" t="n"/>
      <c r="C887" s="55" t="n"/>
      <c r="D887" s="19" t="n"/>
      <c r="E887" s="24" t="n"/>
      <c r="F887" s="25" t="n"/>
      <c r="G887" s="10" t="n"/>
      <c r="H887" s="8" t="n"/>
      <c r="I887" s="11" t="n"/>
      <c r="J887" s="57" t="n"/>
      <c r="K887" s="12" t="n"/>
      <c r="L887" s="22" t="n"/>
      <c r="M887" s="13" t="n"/>
      <c r="N887" s="14">
        <f>ROUND(I887*(SUM(J887:M887))*68%,0)</f>
        <v/>
      </c>
      <c r="O887" s="61" t="n"/>
      <c r="P887" s="59" t="n"/>
      <c r="Q887" s="59" t="n"/>
      <c r="R887" s="58" t="n"/>
      <c r="S887" s="15">
        <f>I887*J887</f>
        <v/>
      </c>
      <c r="T887" s="15">
        <f>SUM(S887:S887)*68%</f>
        <v/>
      </c>
      <c r="U887" s="15">
        <f>I887*K887*40%*O887</f>
        <v/>
      </c>
      <c r="V887" s="15">
        <f>IF(P887&gt;=6750,(I887*K887*40%),0)</f>
        <v/>
      </c>
      <c r="W887" s="15">
        <f>IF(P887&lt;6750,0,IF(Q887="",0,IF(OR(Q887="KURANG",Q887="SANGAT KURANG"),I887*K887*10%,I887*K887*20%)))</f>
        <v/>
      </c>
      <c r="X887" s="15">
        <f>SUM(U887:W887)*68%</f>
        <v/>
      </c>
      <c r="Y887" s="15">
        <f>I887*L887</f>
        <v/>
      </c>
      <c r="Z887" s="15">
        <f>Y887 * 68%</f>
        <v/>
      </c>
      <c r="AA887" s="15">
        <f>I887*M887</f>
        <v/>
      </c>
      <c r="AB887" s="15">
        <f>AA887*68%</f>
        <v/>
      </c>
      <c r="AC887" s="16">
        <f>ROUND((T887+X887+Z887+AB887),0)</f>
        <v/>
      </c>
      <c r="AD887" s="16">
        <f>AG887</f>
        <v/>
      </c>
      <c r="AE887" s="16">
        <f>AI887</f>
        <v/>
      </c>
      <c r="AF887" s="16">
        <f>AC887+AD887+AE887</f>
        <v/>
      </c>
      <c r="AG887" s="16" t="n"/>
      <c r="AH887" s="17" t="n"/>
      <c r="AI887" s="17">
        <f>AH887*4</f>
        <v/>
      </c>
      <c r="AJ887" s="15">
        <f>AF887-AG887-AH887-AI887</f>
        <v/>
      </c>
      <c r="AK887" s="18" t="n">
        <v>880</v>
      </c>
      <c r="AL887" s="23" t="n"/>
    </row>
    <row r="888" ht="23.5" customHeight="1">
      <c r="A888" s="6" t="inlineStr">
        <is>
          <t>881</t>
        </is>
      </c>
      <c r="B888" s="30" t="n"/>
      <c r="C888" s="55" t="n"/>
      <c r="D888" s="29" t="n"/>
      <c r="E888" s="30" t="n"/>
      <c r="F888" s="31" t="n"/>
      <c r="G888" s="32" t="n"/>
      <c r="H888" s="33" t="n"/>
      <c r="I888" s="11" t="n"/>
      <c r="J888" s="57" t="n"/>
      <c r="K888" s="12" t="n"/>
      <c r="L888" s="22" t="n"/>
      <c r="M888" s="13" t="n"/>
      <c r="N888" s="14">
        <f>ROUND(I888*(SUM(J888:M888))*68%,0)</f>
        <v/>
      </c>
      <c r="O888" s="61" t="n"/>
      <c r="P888" s="59" t="n"/>
      <c r="Q888" s="59" t="n"/>
      <c r="R888" s="58" t="n"/>
      <c r="S888" s="15">
        <f>I888*J888</f>
        <v/>
      </c>
      <c r="T888" s="15">
        <f>SUM(S888:S888)*68%</f>
        <v/>
      </c>
      <c r="U888" s="15">
        <f>I888*K888*40%*O888</f>
        <v/>
      </c>
      <c r="V888" s="15">
        <f>IF(P888&gt;=6750,(I888*K888*40%),0)</f>
        <v/>
      </c>
      <c r="W888" s="15">
        <f>IF(P888&lt;6750,0,IF(Q888="",0,IF(OR(Q888="KURANG",Q888="SANGAT KURANG"),I888*K888*10%,I888*K888*20%)))</f>
        <v/>
      </c>
      <c r="X888" s="15">
        <f>SUM(U888:W888)*68%</f>
        <v/>
      </c>
      <c r="Y888" s="15">
        <f>I888*L888</f>
        <v/>
      </c>
      <c r="Z888" s="15">
        <f>Y888 * 68%</f>
        <v/>
      </c>
      <c r="AA888" s="15">
        <f>I888*M888</f>
        <v/>
      </c>
      <c r="AB888" s="15">
        <f>AA888*68%</f>
        <v/>
      </c>
      <c r="AC888" s="16">
        <f>ROUND((T888+X888+Z888+AB888),0)</f>
        <v/>
      </c>
      <c r="AD888" s="16">
        <f>AG888</f>
        <v/>
      </c>
      <c r="AE888" s="16">
        <f>AI888</f>
        <v/>
      </c>
      <c r="AF888" s="16">
        <f>AC888+AD888+AE888</f>
        <v/>
      </c>
      <c r="AG888" s="16" t="n"/>
      <c r="AH888" s="17" t="n"/>
      <c r="AI888" s="17">
        <f>AH888*4</f>
        <v/>
      </c>
      <c r="AJ888" s="15">
        <f>AF888-AG888-AH888-AI888</f>
        <v/>
      </c>
      <c r="AK888" s="18" t="n">
        <v>881</v>
      </c>
      <c r="AL888" s="40" t="n"/>
    </row>
    <row r="889" ht="23.5" customHeight="1">
      <c r="A889" s="6" t="inlineStr">
        <is>
          <t>882</t>
        </is>
      </c>
      <c r="B889" s="24" t="n"/>
      <c r="C889" s="55" t="n"/>
      <c r="D889" s="19" t="n"/>
      <c r="E889" s="24" t="n"/>
      <c r="F889" s="25" t="n"/>
      <c r="G889" s="25" t="n"/>
      <c r="H889" s="24" t="n"/>
      <c r="I889" s="11" t="n"/>
      <c r="J889" s="57" t="n"/>
      <c r="K889" s="12" t="n"/>
      <c r="L889" s="22" t="n"/>
      <c r="M889" s="13" t="n"/>
      <c r="N889" s="14">
        <f>ROUND(I889*(SUM(J889:M889))*68%,0)</f>
        <v/>
      </c>
      <c r="O889" s="61" t="n"/>
      <c r="P889" s="59" t="n"/>
      <c r="Q889" s="59" t="n"/>
      <c r="R889" s="58" t="n"/>
      <c r="S889" s="15">
        <f>I889*J889</f>
        <v/>
      </c>
      <c r="T889" s="15">
        <f>SUM(S889:S889)*68%</f>
        <v/>
      </c>
      <c r="U889" s="15">
        <f>I889*K889*40%*O889</f>
        <v/>
      </c>
      <c r="V889" s="15">
        <f>IF(P889&gt;=6750,(I889*K889*40%),0)</f>
        <v/>
      </c>
      <c r="W889" s="15">
        <f>IF(P889&lt;6750,0,IF(Q889="",0,IF(OR(Q889="KURANG",Q889="SANGAT KURANG"),I889*K889*10%,I889*K889*20%)))</f>
        <v/>
      </c>
      <c r="X889" s="15">
        <f>SUM(U889:W889)*68%</f>
        <v/>
      </c>
      <c r="Y889" s="15">
        <f>I889*L889</f>
        <v/>
      </c>
      <c r="Z889" s="15">
        <f>Y889 * 68%</f>
        <v/>
      </c>
      <c r="AA889" s="15">
        <f>I889*M889</f>
        <v/>
      </c>
      <c r="AB889" s="15">
        <f>AA889*68%</f>
        <v/>
      </c>
      <c r="AC889" s="16">
        <f>ROUND((T889+X889+Z889+AB889),0)</f>
        <v/>
      </c>
      <c r="AD889" s="16">
        <f>AG889</f>
        <v/>
      </c>
      <c r="AE889" s="16">
        <f>AI889</f>
        <v/>
      </c>
      <c r="AF889" s="16">
        <f>AC889+AD889+AE889</f>
        <v/>
      </c>
      <c r="AG889" s="16" t="n"/>
      <c r="AH889" s="17" t="n"/>
      <c r="AI889" s="17">
        <f>AH889*4</f>
        <v/>
      </c>
      <c r="AJ889" s="15">
        <f>AF889-AG889-AH889-AI889</f>
        <v/>
      </c>
      <c r="AK889" s="18" t="n">
        <v>882</v>
      </c>
      <c r="AL889" s="23" t="n"/>
    </row>
    <row r="890" ht="23.5" customHeight="1">
      <c r="A890" s="6" t="inlineStr">
        <is>
          <t>883</t>
        </is>
      </c>
      <c r="B890" s="24" t="n"/>
      <c r="C890" s="55" t="n"/>
      <c r="D890" s="19" t="n"/>
      <c r="E890" s="24" t="n"/>
      <c r="F890" s="25" t="n"/>
      <c r="G890" s="25" t="n"/>
      <c r="H890" s="24" t="n"/>
      <c r="I890" s="11" t="n"/>
      <c r="J890" s="57" t="n"/>
      <c r="K890" s="12" t="n"/>
      <c r="L890" s="22" t="n"/>
      <c r="M890" s="13" t="n"/>
      <c r="N890" s="14">
        <f>ROUND(I890*(SUM(J890:M890))*68%,0)</f>
        <v/>
      </c>
      <c r="O890" s="61" t="n"/>
      <c r="P890" s="59" t="n"/>
      <c r="Q890" s="59" t="n"/>
      <c r="R890" s="58" t="n"/>
      <c r="S890" s="15">
        <f>I890*J890</f>
        <v/>
      </c>
      <c r="T890" s="15">
        <f>SUM(S890:S890)*68%</f>
        <v/>
      </c>
      <c r="U890" s="15">
        <f>I890*K890*40%*O890</f>
        <v/>
      </c>
      <c r="V890" s="15">
        <f>IF(P890&gt;=6750,(I890*K890*40%),0)</f>
        <v/>
      </c>
      <c r="W890" s="15">
        <f>IF(P890&lt;6750,0,IF(Q890="",0,IF(OR(Q890="KURANG",Q890="SANGAT KURANG"),I890*K890*10%,I890*K890*20%)))</f>
        <v/>
      </c>
      <c r="X890" s="15">
        <f>SUM(U890:W890)*68%</f>
        <v/>
      </c>
      <c r="Y890" s="15">
        <f>I890*L890</f>
        <v/>
      </c>
      <c r="Z890" s="15">
        <f>Y890 * 68%</f>
        <v/>
      </c>
      <c r="AA890" s="15">
        <f>I890*M890</f>
        <v/>
      </c>
      <c r="AB890" s="15">
        <f>AA890*68%</f>
        <v/>
      </c>
      <c r="AC890" s="16">
        <f>ROUND((T890+X890+Z890+AB890),0)</f>
        <v/>
      </c>
      <c r="AD890" s="16">
        <f>AG890</f>
        <v/>
      </c>
      <c r="AE890" s="16">
        <f>AI890</f>
        <v/>
      </c>
      <c r="AF890" s="16">
        <f>AC890+AD890+AE890</f>
        <v/>
      </c>
      <c r="AG890" s="16" t="n"/>
      <c r="AH890" s="17" t="n"/>
      <c r="AI890" s="17">
        <f>AH890*4</f>
        <v/>
      </c>
      <c r="AJ890" s="15">
        <f>AF890-AG890-AH890-AI890</f>
        <v/>
      </c>
      <c r="AK890" s="18" t="n">
        <v>883</v>
      </c>
      <c r="AL890" s="23" t="n"/>
    </row>
    <row r="891" ht="23.5" customHeight="1">
      <c r="A891" s="6" t="inlineStr">
        <is>
          <t>884</t>
        </is>
      </c>
      <c r="B891" s="24" t="n"/>
      <c r="C891" s="55" t="n"/>
      <c r="D891" s="19" t="n"/>
      <c r="E891" s="24" t="n"/>
      <c r="F891" s="25" t="n"/>
      <c r="G891" s="25" t="n"/>
      <c r="H891" s="24" t="n"/>
      <c r="I891" s="11" t="n"/>
      <c r="J891" s="57" t="n"/>
      <c r="K891" s="12" t="n"/>
      <c r="L891" s="22" t="n"/>
      <c r="M891" s="13" t="n"/>
      <c r="N891" s="14">
        <f>ROUND(I891*(SUM(J891:M891))*68%,0)</f>
        <v/>
      </c>
      <c r="O891" s="61" t="n"/>
      <c r="P891" s="59" t="n"/>
      <c r="Q891" s="59" t="n"/>
      <c r="R891" s="58" t="n"/>
      <c r="S891" s="15">
        <f>I891*J891</f>
        <v/>
      </c>
      <c r="T891" s="15">
        <f>SUM(S891:S891)*68%</f>
        <v/>
      </c>
      <c r="U891" s="15">
        <f>I891*K891*40%*O891</f>
        <v/>
      </c>
      <c r="V891" s="15">
        <f>IF(P891&gt;=6750,(I891*K891*40%),0)</f>
        <v/>
      </c>
      <c r="W891" s="15">
        <f>IF(P891&lt;6750,0,IF(Q891="",0,IF(OR(Q891="KURANG",Q891="SANGAT KURANG"),I891*K891*10%,I891*K891*20%)))</f>
        <v/>
      </c>
      <c r="X891" s="15">
        <f>SUM(U891:W891)*68%</f>
        <v/>
      </c>
      <c r="Y891" s="15">
        <f>I891*L891</f>
        <v/>
      </c>
      <c r="Z891" s="15">
        <f>Y891 * 68%</f>
        <v/>
      </c>
      <c r="AA891" s="15">
        <f>I891*M891</f>
        <v/>
      </c>
      <c r="AB891" s="15">
        <f>AA891*68%</f>
        <v/>
      </c>
      <c r="AC891" s="16">
        <f>ROUND((T891+X891+Z891+AB891),0)</f>
        <v/>
      </c>
      <c r="AD891" s="16">
        <f>AG891</f>
        <v/>
      </c>
      <c r="AE891" s="16">
        <f>AI891</f>
        <v/>
      </c>
      <c r="AF891" s="16">
        <f>AC891+AD891+AE891</f>
        <v/>
      </c>
      <c r="AG891" s="16" t="n"/>
      <c r="AH891" s="17" t="n"/>
      <c r="AI891" s="17">
        <f>AH891*4</f>
        <v/>
      </c>
      <c r="AJ891" s="15">
        <f>AF891-AG891-AH891-AI891</f>
        <v/>
      </c>
      <c r="AK891" s="18" t="n">
        <v>884</v>
      </c>
      <c r="AL891" s="40" t="n"/>
    </row>
    <row r="892" ht="23.5" customHeight="1">
      <c r="A892" s="6" t="inlineStr">
        <is>
          <t>885</t>
        </is>
      </c>
      <c r="B892" s="28" t="n"/>
      <c r="C892" s="55" t="n"/>
      <c r="D892" s="19" t="n"/>
      <c r="E892" s="24" t="n"/>
      <c r="F892" s="25" t="n"/>
      <c r="G892" s="25" t="n"/>
      <c r="H892" s="25" t="n"/>
      <c r="I892" s="11" t="n"/>
      <c r="J892" s="57" t="n"/>
      <c r="K892" s="12" t="n"/>
      <c r="L892" s="22" t="n"/>
      <c r="M892" s="13" t="n"/>
      <c r="N892" s="14">
        <f>ROUND(I892*(SUM(J892:M892))*68%,0)</f>
        <v/>
      </c>
      <c r="O892" s="61" t="n"/>
      <c r="P892" s="59" t="n"/>
      <c r="Q892" s="59" t="n"/>
      <c r="R892" s="58" t="n"/>
      <c r="S892" s="15">
        <f>I892*J892</f>
        <v/>
      </c>
      <c r="T892" s="15">
        <f>SUM(S892:S892)*68%</f>
        <v/>
      </c>
      <c r="U892" s="15">
        <f>I892*K892*40%*O892</f>
        <v/>
      </c>
      <c r="V892" s="15">
        <f>IF(P892&gt;=6750,(I892*K892*40%),0)</f>
        <v/>
      </c>
      <c r="W892" s="15">
        <f>IF(P892&lt;6750,0,IF(Q892="",0,IF(OR(Q892="KURANG",Q892="SANGAT KURANG"),I892*K892*10%,I892*K892*20%)))</f>
        <v/>
      </c>
      <c r="X892" s="15">
        <f>SUM(U892:W892)*68%</f>
        <v/>
      </c>
      <c r="Y892" s="15">
        <f>I892*L892</f>
        <v/>
      </c>
      <c r="Z892" s="15">
        <f>Y892 * 68%</f>
        <v/>
      </c>
      <c r="AA892" s="15">
        <f>I892*M892</f>
        <v/>
      </c>
      <c r="AB892" s="15">
        <f>AA892*68%</f>
        <v/>
      </c>
      <c r="AC892" s="16">
        <f>ROUND((T892+X892+Z892+AB892),0)</f>
        <v/>
      </c>
      <c r="AD892" s="16">
        <f>AG892</f>
        <v/>
      </c>
      <c r="AE892" s="16">
        <f>AI892</f>
        <v/>
      </c>
      <c r="AF892" s="16">
        <f>AC892+AD892+AE892</f>
        <v/>
      </c>
      <c r="AG892" s="16" t="n"/>
      <c r="AH892" s="17" t="n"/>
      <c r="AI892" s="17">
        <f>AH892*4</f>
        <v/>
      </c>
      <c r="AJ892" s="15">
        <f>AF892-AG892-AH892-AI892</f>
        <v/>
      </c>
      <c r="AK892" s="18" t="n">
        <v>885</v>
      </c>
      <c r="AL892" s="23" t="n"/>
    </row>
    <row r="893" ht="23.5" customHeight="1">
      <c r="A893" s="6" t="inlineStr">
        <is>
          <t>886</t>
        </is>
      </c>
      <c r="B893" s="28" t="n"/>
      <c r="C893" s="55" t="n"/>
      <c r="D893" s="19" t="n"/>
      <c r="E893" s="24" t="n"/>
      <c r="F893" s="25" t="n"/>
      <c r="G893" s="25" t="n"/>
      <c r="H893" s="25" t="n"/>
      <c r="I893" s="11" t="n"/>
      <c r="J893" s="57" t="n"/>
      <c r="K893" s="12" t="n"/>
      <c r="L893" s="22" t="n"/>
      <c r="M893" s="13" t="n"/>
      <c r="N893" s="14">
        <f>ROUND(I893*(SUM(J893:M893))*68%,0)</f>
        <v/>
      </c>
      <c r="O893" s="61" t="n"/>
      <c r="P893" s="59" t="n"/>
      <c r="Q893" s="59" t="n"/>
      <c r="R893" s="58" t="n"/>
      <c r="S893" s="15">
        <f>I893*J893</f>
        <v/>
      </c>
      <c r="T893" s="15">
        <f>SUM(S893:S893)*68%</f>
        <v/>
      </c>
      <c r="U893" s="15">
        <f>I893*K893*40%*O893</f>
        <v/>
      </c>
      <c r="V893" s="15">
        <f>IF(P893&gt;=6750,(I893*K893*40%),0)</f>
        <v/>
      </c>
      <c r="W893" s="15">
        <f>IF(P893&lt;6750,0,IF(Q893="",0,IF(OR(Q893="KURANG",Q893="SANGAT KURANG"),I893*K893*10%,I893*K893*20%)))</f>
        <v/>
      </c>
      <c r="X893" s="15">
        <f>SUM(U893:W893)*68%</f>
        <v/>
      </c>
      <c r="Y893" s="15">
        <f>I893*L893</f>
        <v/>
      </c>
      <c r="Z893" s="15">
        <f>Y893 * 68%</f>
        <v/>
      </c>
      <c r="AA893" s="15">
        <f>I893*M893</f>
        <v/>
      </c>
      <c r="AB893" s="15">
        <f>AA893*68%</f>
        <v/>
      </c>
      <c r="AC893" s="16">
        <f>ROUND((T893+X893+Z893+AB893),0)</f>
        <v/>
      </c>
      <c r="AD893" s="16">
        <f>AG893</f>
        <v/>
      </c>
      <c r="AE893" s="16">
        <f>AI893</f>
        <v/>
      </c>
      <c r="AF893" s="16">
        <f>AC893+AD893+AE893</f>
        <v/>
      </c>
      <c r="AG893" s="16" t="n"/>
      <c r="AH893" s="17" t="n"/>
      <c r="AI893" s="17">
        <f>AH893*4</f>
        <v/>
      </c>
      <c r="AJ893" s="15">
        <f>AF893-AG893-AH893-AI893</f>
        <v/>
      </c>
      <c r="AK893" s="18" t="n">
        <v>886</v>
      </c>
      <c r="AL893" s="23" t="n"/>
    </row>
    <row r="894" ht="23.5" customHeight="1">
      <c r="A894" s="6" t="inlineStr">
        <is>
          <t>887</t>
        </is>
      </c>
      <c r="B894" s="28" t="n"/>
      <c r="C894" s="55" t="n"/>
      <c r="D894" s="19" t="n"/>
      <c r="E894" s="24" t="n"/>
      <c r="F894" s="25" t="n"/>
      <c r="G894" s="25" t="n"/>
      <c r="H894" s="25" t="n"/>
      <c r="I894" s="11" t="n"/>
      <c r="J894" s="57" t="n"/>
      <c r="K894" s="12" t="n"/>
      <c r="L894" s="22" t="n"/>
      <c r="M894" s="13" t="n"/>
      <c r="N894" s="14">
        <f>ROUND(I894*(SUM(J894:M894))*68%,0)</f>
        <v/>
      </c>
      <c r="O894" s="61" t="n"/>
      <c r="P894" s="59" t="n"/>
      <c r="Q894" s="59" t="n"/>
      <c r="R894" s="58" t="n"/>
      <c r="S894" s="15">
        <f>I894*J894</f>
        <v/>
      </c>
      <c r="T894" s="15">
        <f>SUM(S894:S894)*68%</f>
        <v/>
      </c>
      <c r="U894" s="15">
        <f>I894*K894*40%*O894</f>
        <v/>
      </c>
      <c r="V894" s="15">
        <f>IF(P894&gt;=6750,(I894*K894*40%),0)</f>
        <v/>
      </c>
      <c r="W894" s="15">
        <f>IF(P894&lt;6750,0,IF(Q894="",0,IF(OR(Q894="KURANG",Q894="SANGAT KURANG"),I894*K894*10%,I894*K894*20%)))</f>
        <v/>
      </c>
      <c r="X894" s="15">
        <f>SUM(U894:W894)*68%</f>
        <v/>
      </c>
      <c r="Y894" s="15">
        <f>I894*L894</f>
        <v/>
      </c>
      <c r="Z894" s="15">
        <f>Y894 * 68%</f>
        <v/>
      </c>
      <c r="AA894" s="15">
        <f>I894*M894</f>
        <v/>
      </c>
      <c r="AB894" s="15">
        <f>AA894*68%</f>
        <v/>
      </c>
      <c r="AC894" s="16">
        <f>ROUND((T894+X894+Z894+AB894),0)</f>
        <v/>
      </c>
      <c r="AD894" s="16">
        <f>AG894</f>
        <v/>
      </c>
      <c r="AE894" s="16">
        <f>AI894</f>
        <v/>
      </c>
      <c r="AF894" s="16">
        <f>AC894+AD894+AE894</f>
        <v/>
      </c>
      <c r="AG894" s="16" t="n"/>
      <c r="AH894" s="17" t="n"/>
      <c r="AI894" s="17">
        <f>AH894*4</f>
        <v/>
      </c>
      <c r="AJ894" s="15">
        <f>AF894-AG894-AH894-AI894</f>
        <v/>
      </c>
      <c r="AK894" s="18" t="n">
        <v>887</v>
      </c>
      <c r="AL894" s="40" t="n"/>
    </row>
    <row r="895" ht="23.5" customHeight="1">
      <c r="A895" s="6" t="inlineStr">
        <is>
          <t>888</t>
        </is>
      </c>
      <c r="B895" s="24" t="n"/>
      <c r="C895" s="55" t="n"/>
      <c r="D895" s="19" t="n"/>
      <c r="E895" s="24" t="n"/>
      <c r="F895" s="25" t="n"/>
      <c r="G895" s="25" t="n"/>
      <c r="H895" s="25" t="n"/>
      <c r="I895" s="11" t="n"/>
      <c r="J895" s="57" t="n"/>
      <c r="K895" s="12" t="n"/>
      <c r="L895" s="22" t="n"/>
      <c r="M895" s="13" t="n"/>
      <c r="N895" s="14">
        <f>ROUND(I895*(SUM(J895:M895))*68%,0)</f>
        <v/>
      </c>
      <c r="O895" s="61" t="n"/>
      <c r="P895" s="59" t="n"/>
      <c r="Q895" s="59" t="n"/>
      <c r="R895" s="58" t="n"/>
      <c r="S895" s="15">
        <f>I895*J895</f>
        <v/>
      </c>
      <c r="T895" s="15">
        <f>SUM(S895:S895)*68%</f>
        <v/>
      </c>
      <c r="U895" s="15">
        <f>I895*K895*40%*O895</f>
        <v/>
      </c>
      <c r="V895" s="15">
        <f>IF(P895&gt;=6750,(I895*K895*40%),0)</f>
        <v/>
      </c>
      <c r="W895" s="15">
        <f>IF(P895&lt;6750,0,IF(Q895="",0,IF(OR(Q895="KURANG",Q895="SANGAT KURANG"),I895*K895*10%,I895*K895*20%)))</f>
        <v/>
      </c>
      <c r="X895" s="15">
        <f>SUM(U895:W895)*68%</f>
        <v/>
      </c>
      <c r="Y895" s="15">
        <f>I895*L895</f>
        <v/>
      </c>
      <c r="Z895" s="15">
        <f>Y895 * 68%</f>
        <v/>
      </c>
      <c r="AA895" s="15">
        <f>I895*M895</f>
        <v/>
      </c>
      <c r="AB895" s="15">
        <f>AA895*68%</f>
        <v/>
      </c>
      <c r="AC895" s="16">
        <f>ROUND((T895+X895+Z895+AB895),0)</f>
        <v/>
      </c>
      <c r="AD895" s="16">
        <f>AG895</f>
        <v/>
      </c>
      <c r="AE895" s="16">
        <f>AI895</f>
        <v/>
      </c>
      <c r="AF895" s="16">
        <f>AC895+AD895+AE895</f>
        <v/>
      </c>
      <c r="AG895" s="16" t="n"/>
      <c r="AH895" s="17" t="n"/>
      <c r="AI895" s="17">
        <f>AH895*4</f>
        <v/>
      </c>
      <c r="AJ895" s="15">
        <f>AF895-AG895-AH895-AI895</f>
        <v/>
      </c>
      <c r="AK895" s="18" t="n">
        <v>888</v>
      </c>
      <c r="AL895" s="23" t="n"/>
    </row>
    <row r="896" ht="23.5" customHeight="1">
      <c r="A896" s="6" t="inlineStr">
        <is>
          <t>889</t>
        </is>
      </c>
      <c r="B896" s="24" t="n"/>
      <c r="C896" s="55" t="n"/>
      <c r="D896" s="19" t="n"/>
      <c r="E896" s="24" t="n"/>
      <c r="F896" s="25" t="n"/>
      <c r="G896" s="25" t="n"/>
      <c r="H896" s="25" t="n"/>
      <c r="I896" s="11" t="n"/>
      <c r="J896" s="57" t="n"/>
      <c r="K896" s="12" t="n"/>
      <c r="L896" s="22" t="n"/>
      <c r="M896" s="13" t="n"/>
      <c r="N896" s="14">
        <f>ROUND(I896*(SUM(J896:M896))*68%,0)</f>
        <v/>
      </c>
      <c r="O896" s="61" t="n"/>
      <c r="P896" s="59" t="n"/>
      <c r="Q896" s="59" t="n"/>
      <c r="R896" s="58" t="n"/>
      <c r="S896" s="15">
        <f>I896*J896</f>
        <v/>
      </c>
      <c r="T896" s="15">
        <f>SUM(S896:S896)*68%</f>
        <v/>
      </c>
      <c r="U896" s="15">
        <f>I896*K896*40%*O896</f>
        <v/>
      </c>
      <c r="V896" s="15">
        <f>IF(P896&gt;=6750,(I896*K896*40%),0)</f>
        <v/>
      </c>
      <c r="W896" s="15">
        <f>IF(P896&lt;6750,0,IF(Q896="",0,IF(OR(Q896="KURANG",Q896="SANGAT KURANG"),I896*K896*10%,I896*K896*20%)))</f>
        <v/>
      </c>
      <c r="X896" s="15">
        <f>SUM(U896:W896)*68%</f>
        <v/>
      </c>
      <c r="Y896" s="15">
        <f>I896*L896</f>
        <v/>
      </c>
      <c r="Z896" s="15">
        <f>Y896 * 68%</f>
        <v/>
      </c>
      <c r="AA896" s="15">
        <f>I896*M896</f>
        <v/>
      </c>
      <c r="AB896" s="15">
        <f>AA896*68%</f>
        <v/>
      </c>
      <c r="AC896" s="16">
        <f>ROUND((T896+X896+Z896+AB896),0)</f>
        <v/>
      </c>
      <c r="AD896" s="16">
        <f>AG896</f>
        <v/>
      </c>
      <c r="AE896" s="16">
        <f>AI896</f>
        <v/>
      </c>
      <c r="AF896" s="16">
        <f>AC896+AD896+AE896</f>
        <v/>
      </c>
      <c r="AG896" s="16" t="n"/>
      <c r="AH896" s="17" t="n"/>
      <c r="AI896" s="17">
        <f>AH896*4</f>
        <v/>
      </c>
      <c r="AJ896" s="15">
        <f>AF896-AG896-AH896-AI896</f>
        <v/>
      </c>
      <c r="AK896" s="18" t="n">
        <v>889</v>
      </c>
      <c r="AL896" s="23" t="n"/>
    </row>
    <row r="897" ht="23.5" customHeight="1">
      <c r="A897" s="6" t="inlineStr">
        <is>
          <t>890</t>
        </is>
      </c>
      <c r="B897" s="28" t="n"/>
      <c r="C897" s="55" t="n"/>
      <c r="D897" s="19" t="n"/>
      <c r="E897" s="24" t="n"/>
      <c r="F897" s="25" t="n"/>
      <c r="G897" s="25" t="n"/>
      <c r="H897" s="25" t="n"/>
      <c r="I897" s="11" t="n"/>
      <c r="J897" s="57" t="n"/>
      <c r="K897" s="12" t="n"/>
      <c r="L897" s="22" t="n"/>
      <c r="M897" s="13" t="n"/>
      <c r="N897" s="14">
        <f>ROUND(I897*(SUM(J897:M897))*68%,0)</f>
        <v/>
      </c>
      <c r="O897" s="61" t="n"/>
      <c r="P897" s="59" t="n"/>
      <c r="Q897" s="59" t="n"/>
      <c r="R897" s="58" t="n"/>
      <c r="S897" s="15">
        <f>I897*J897</f>
        <v/>
      </c>
      <c r="T897" s="15">
        <f>SUM(S897:S897)*68%</f>
        <v/>
      </c>
      <c r="U897" s="15">
        <f>I897*K897*40%*O897</f>
        <v/>
      </c>
      <c r="V897" s="15">
        <f>IF(P897&gt;=6750,(I897*K897*40%),0)</f>
        <v/>
      </c>
      <c r="W897" s="15">
        <f>IF(P897&lt;6750,0,IF(Q897="",0,IF(OR(Q897="KURANG",Q897="SANGAT KURANG"),I897*K897*10%,I897*K897*20%)))</f>
        <v/>
      </c>
      <c r="X897" s="15">
        <f>SUM(U897:W897)*68%</f>
        <v/>
      </c>
      <c r="Y897" s="15">
        <f>I897*L897</f>
        <v/>
      </c>
      <c r="Z897" s="15">
        <f>Y897 * 68%</f>
        <v/>
      </c>
      <c r="AA897" s="15">
        <f>I897*M897</f>
        <v/>
      </c>
      <c r="AB897" s="15">
        <f>AA897*68%</f>
        <v/>
      </c>
      <c r="AC897" s="16">
        <f>ROUND((T897+X897+Z897+AB897),0)</f>
        <v/>
      </c>
      <c r="AD897" s="16">
        <f>AG897</f>
        <v/>
      </c>
      <c r="AE897" s="16">
        <f>AI897</f>
        <v/>
      </c>
      <c r="AF897" s="16">
        <f>AC897+AD897+AE897</f>
        <v/>
      </c>
      <c r="AG897" s="16" t="n"/>
      <c r="AH897" s="17" t="n"/>
      <c r="AI897" s="17">
        <f>AH897*4</f>
        <v/>
      </c>
      <c r="AJ897" s="15">
        <f>AF897-AG897-AH897-AI897</f>
        <v/>
      </c>
      <c r="AK897" s="18" t="n">
        <v>890</v>
      </c>
      <c r="AL897" s="40" t="n"/>
    </row>
    <row r="898" ht="23.5" customHeight="1">
      <c r="A898" s="6" t="inlineStr">
        <is>
          <t>891</t>
        </is>
      </c>
      <c r="B898" s="28" t="n"/>
      <c r="C898" s="55" t="n"/>
      <c r="D898" s="19" t="n"/>
      <c r="E898" s="24" t="n"/>
      <c r="F898" s="25" t="n"/>
      <c r="G898" s="25" t="n"/>
      <c r="H898" s="25" t="n"/>
      <c r="I898" s="11" t="n"/>
      <c r="J898" s="57" t="n"/>
      <c r="K898" s="12" t="n"/>
      <c r="L898" s="22" t="n"/>
      <c r="M898" s="13" t="n"/>
      <c r="N898" s="14">
        <f>ROUND(I898*(SUM(J898:M898))*68%,0)</f>
        <v/>
      </c>
      <c r="O898" s="61" t="n"/>
      <c r="P898" s="59" t="n"/>
      <c r="Q898" s="59" t="n"/>
      <c r="R898" s="58" t="n"/>
      <c r="S898" s="15">
        <f>I898*J898</f>
        <v/>
      </c>
      <c r="T898" s="15">
        <f>SUM(S898:S898)*68%</f>
        <v/>
      </c>
      <c r="U898" s="15">
        <f>I898*K898*40%*O898</f>
        <v/>
      </c>
      <c r="V898" s="15">
        <f>IF(P898&gt;=6750,(I898*K898*40%),0)</f>
        <v/>
      </c>
      <c r="W898" s="15">
        <f>IF(P898&lt;6750,0,IF(Q898="",0,IF(OR(Q898="KURANG",Q898="SANGAT KURANG"),I898*K898*10%,I898*K898*20%)))</f>
        <v/>
      </c>
      <c r="X898" s="15">
        <f>SUM(U898:W898)*68%</f>
        <v/>
      </c>
      <c r="Y898" s="15">
        <f>I898*L898</f>
        <v/>
      </c>
      <c r="Z898" s="15">
        <f>Y898 * 68%</f>
        <v/>
      </c>
      <c r="AA898" s="15">
        <f>I898*M898</f>
        <v/>
      </c>
      <c r="AB898" s="15">
        <f>AA898*68%</f>
        <v/>
      </c>
      <c r="AC898" s="16">
        <f>ROUND((T898+X898+Z898+AB898),0)</f>
        <v/>
      </c>
      <c r="AD898" s="16">
        <f>AG898</f>
        <v/>
      </c>
      <c r="AE898" s="16">
        <f>AI898</f>
        <v/>
      </c>
      <c r="AF898" s="16">
        <f>AC898+AD898+AE898</f>
        <v/>
      </c>
      <c r="AG898" s="16" t="n"/>
      <c r="AH898" s="17" t="n"/>
      <c r="AI898" s="17">
        <f>AH898*4</f>
        <v/>
      </c>
      <c r="AJ898" s="15">
        <f>AF898-AG898-AH898-AI898</f>
        <v/>
      </c>
      <c r="AK898" s="18" t="n">
        <v>891</v>
      </c>
      <c r="AL898" s="23" t="n"/>
    </row>
    <row r="899" ht="23.5" customHeight="1">
      <c r="A899" s="6" t="inlineStr">
        <is>
          <t>892</t>
        </is>
      </c>
      <c r="B899" s="24" t="n"/>
      <c r="C899" s="55" t="n"/>
      <c r="D899" s="19" t="n"/>
      <c r="E899" s="24" t="n"/>
      <c r="F899" s="25" t="n"/>
      <c r="G899" s="25" t="n"/>
      <c r="H899" s="25" t="n"/>
      <c r="I899" s="11" t="n"/>
      <c r="J899" s="57" t="n"/>
      <c r="K899" s="12" t="n"/>
      <c r="L899" s="22" t="n"/>
      <c r="M899" s="13" t="n"/>
      <c r="N899" s="14">
        <f>ROUND(I899*(SUM(J899:M899))*68%,0)</f>
        <v/>
      </c>
      <c r="O899" s="61" t="n"/>
      <c r="P899" s="59" t="n"/>
      <c r="Q899" s="59" t="n"/>
      <c r="R899" s="58" t="n"/>
      <c r="S899" s="15">
        <f>I899*J899</f>
        <v/>
      </c>
      <c r="T899" s="15">
        <f>SUM(S899:S899)*68%</f>
        <v/>
      </c>
      <c r="U899" s="15">
        <f>I899*K899*40%*O899</f>
        <v/>
      </c>
      <c r="V899" s="15">
        <f>IF(P899&gt;=6750,(I899*K899*40%),0)</f>
        <v/>
      </c>
      <c r="W899" s="15">
        <f>IF(P899&lt;6750,0,IF(Q899="",0,IF(OR(Q899="KURANG",Q899="SANGAT KURANG"),I899*K899*10%,I899*K899*20%)))</f>
        <v/>
      </c>
      <c r="X899" s="15">
        <f>SUM(U899:W899)*68%</f>
        <v/>
      </c>
      <c r="Y899" s="15">
        <f>I899*L899</f>
        <v/>
      </c>
      <c r="Z899" s="15">
        <f>Y899 * 68%</f>
        <v/>
      </c>
      <c r="AA899" s="15">
        <f>I899*M899</f>
        <v/>
      </c>
      <c r="AB899" s="15">
        <f>AA899*68%</f>
        <v/>
      </c>
      <c r="AC899" s="16">
        <f>ROUND((T899+X899+Z899+AB899),0)</f>
        <v/>
      </c>
      <c r="AD899" s="16">
        <f>AG899</f>
        <v/>
      </c>
      <c r="AE899" s="16">
        <f>AI899</f>
        <v/>
      </c>
      <c r="AF899" s="16">
        <f>AC899+AD899+AE899</f>
        <v/>
      </c>
      <c r="AG899" s="16" t="n"/>
      <c r="AH899" s="17" t="n"/>
      <c r="AI899" s="17">
        <f>AH899*4</f>
        <v/>
      </c>
      <c r="AJ899" s="15">
        <f>AF899-AG899-AH899-AI899</f>
        <v/>
      </c>
      <c r="AK899" s="18" t="n">
        <v>892</v>
      </c>
      <c r="AL899" s="23" t="n"/>
    </row>
    <row r="900" ht="23.5" customHeight="1">
      <c r="A900" s="6" t="inlineStr">
        <is>
          <t>893</t>
        </is>
      </c>
      <c r="B900" s="24" t="n"/>
      <c r="C900" s="55" t="n"/>
      <c r="D900" s="19" t="n"/>
      <c r="E900" s="24" t="n"/>
      <c r="F900" s="25" t="n"/>
      <c r="G900" s="25" t="n"/>
      <c r="H900" s="25" t="n"/>
      <c r="I900" s="11" t="n"/>
      <c r="J900" s="57" t="n"/>
      <c r="K900" s="12" t="n"/>
      <c r="L900" s="22" t="n"/>
      <c r="M900" s="13" t="n"/>
      <c r="N900" s="14">
        <f>ROUND(I900*(SUM(J900:M900))*68%,0)</f>
        <v/>
      </c>
      <c r="O900" s="61" t="n"/>
      <c r="P900" s="59" t="n"/>
      <c r="Q900" s="59" t="n"/>
      <c r="R900" s="58" t="n"/>
      <c r="S900" s="15">
        <f>I900*J900</f>
        <v/>
      </c>
      <c r="T900" s="15">
        <f>SUM(S900:S900)*68%</f>
        <v/>
      </c>
      <c r="U900" s="15">
        <f>I900*K900*40%*O900</f>
        <v/>
      </c>
      <c r="V900" s="15">
        <f>IF(P900&gt;=6750,(I900*K900*40%),0)</f>
        <v/>
      </c>
      <c r="W900" s="15">
        <f>IF(P900&lt;6750,0,IF(Q900="",0,IF(OR(Q900="KURANG",Q900="SANGAT KURANG"),I900*K900*10%,I900*K900*20%)))</f>
        <v/>
      </c>
      <c r="X900" s="15">
        <f>SUM(U900:W900)*68%</f>
        <v/>
      </c>
      <c r="Y900" s="15">
        <f>I900*L900</f>
        <v/>
      </c>
      <c r="Z900" s="15">
        <f>Y900 * 68%</f>
        <v/>
      </c>
      <c r="AA900" s="15">
        <f>I900*M900</f>
        <v/>
      </c>
      <c r="AB900" s="15">
        <f>AA900*68%</f>
        <v/>
      </c>
      <c r="AC900" s="16">
        <f>ROUND((T900+X900+Z900+AB900),0)</f>
        <v/>
      </c>
      <c r="AD900" s="16">
        <f>AG900</f>
        <v/>
      </c>
      <c r="AE900" s="16">
        <f>AI900</f>
        <v/>
      </c>
      <c r="AF900" s="16">
        <f>AC900+AD900+AE900</f>
        <v/>
      </c>
      <c r="AG900" s="16" t="n"/>
      <c r="AH900" s="17" t="n"/>
      <c r="AI900" s="17">
        <f>AH900*4</f>
        <v/>
      </c>
      <c r="AJ900" s="15">
        <f>AF900-AG900-AH900-AI900</f>
        <v/>
      </c>
      <c r="AK900" s="18" t="n">
        <v>893</v>
      </c>
      <c r="AL900" s="40" t="n"/>
    </row>
    <row r="901" ht="23.5" customHeight="1">
      <c r="A901" s="6" t="inlineStr">
        <is>
          <t>894</t>
        </is>
      </c>
      <c r="B901" s="24" t="n"/>
      <c r="C901" s="55" t="n"/>
      <c r="D901" s="19" t="n"/>
      <c r="E901" s="24" t="n"/>
      <c r="F901" s="25" t="n"/>
      <c r="G901" s="25" t="n"/>
      <c r="H901" s="25" t="n"/>
      <c r="I901" s="11" t="n"/>
      <c r="J901" s="57" t="n"/>
      <c r="K901" s="12" t="n"/>
      <c r="L901" s="22" t="n"/>
      <c r="M901" s="13" t="n"/>
      <c r="N901" s="14">
        <f>ROUND(I901*(SUM(J901:M901))*68%,0)</f>
        <v/>
      </c>
      <c r="O901" s="61" t="n"/>
      <c r="P901" s="59" t="n"/>
      <c r="Q901" s="59" t="n"/>
      <c r="R901" s="58" t="n"/>
      <c r="S901" s="15">
        <f>I901*J901</f>
        <v/>
      </c>
      <c r="T901" s="15">
        <f>SUM(S901:S901)*68%</f>
        <v/>
      </c>
      <c r="U901" s="15">
        <f>I901*K901*40%*O901</f>
        <v/>
      </c>
      <c r="V901" s="15">
        <f>IF(P901&gt;=6750,(I901*K901*40%),0)</f>
        <v/>
      </c>
      <c r="W901" s="15">
        <f>IF(P901&lt;6750,0,IF(Q901="",0,IF(OR(Q901="KURANG",Q901="SANGAT KURANG"),I901*K901*10%,I901*K901*20%)))</f>
        <v/>
      </c>
      <c r="X901" s="15">
        <f>SUM(U901:W901)*68%</f>
        <v/>
      </c>
      <c r="Y901" s="15">
        <f>I901*L901</f>
        <v/>
      </c>
      <c r="Z901" s="15">
        <f>Y901 * 68%</f>
        <v/>
      </c>
      <c r="AA901" s="15">
        <f>I901*M901</f>
        <v/>
      </c>
      <c r="AB901" s="15">
        <f>AA901*68%</f>
        <v/>
      </c>
      <c r="AC901" s="16">
        <f>ROUND((T901+X901+Z901+AB901),0)</f>
        <v/>
      </c>
      <c r="AD901" s="16">
        <f>AG901</f>
        <v/>
      </c>
      <c r="AE901" s="16">
        <f>AI901</f>
        <v/>
      </c>
      <c r="AF901" s="16">
        <f>AC901+AD901+AE901</f>
        <v/>
      </c>
      <c r="AG901" s="16" t="n"/>
      <c r="AH901" s="17" t="n"/>
      <c r="AI901" s="17">
        <f>AH901*4</f>
        <v/>
      </c>
      <c r="AJ901" s="15">
        <f>AF901-AG901-AH901-AI901</f>
        <v/>
      </c>
      <c r="AK901" s="18" t="n">
        <v>894</v>
      </c>
      <c r="AL901" s="23" t="n"/>
    </row>
    <row r="902" ht="23.5" customHeight="1">
      <c r="A902" s="6" t="inlineStr">
        <is>
          <t>895</t>
        </is>
      </c>
      <c r="B902" s="24" t="n"/>
      <c r="C902" s="55" t="n"/>
      <c r="D902" s="19" t="n"/>
      <c r="E902" s="24" t="n"/>
      <c r="F902" s="25" t="n"/>
      <c r="G902" s="25" t="n"/>
      <c r="H902" s="25" t="n"/>
      <c r="I902" s="11" t="n"/>
      <c r="J902" s="57" t="n"/>
      <c r="K902" s="12" t="n"/>
      <c r="L902" s="22" t="n"/>
      <c r="M902" s="13" t="n"/>
      <c r="N902" s="14">
        <f>ROUND(I902*(SUM(J902:M902))*68%,0)</f>
        <v/>
      </c>
      <c r="O902" s="61" t="n"/>
      <c r="P902" s="59" t="n"/>
      <c r="Q902" s="59" t="n"/>
      <c r="R902" s="58" t="n"/>
      <c r="S902" s="15">
        <f>I902*J902</f>
        <v/>
      </c>
      <c r="T902" s="15">
        <f>SUM(S902:S902)*68%</f>
        <v/>
      </c>
      <c r="U902" s="15">
        <f>I902*K902*40%*O902</f>
        <v/>
      </c>
      <c r="V902" s="15">
        <f>IF(P902&gt;=6750,(I902*K902*40%),0)</f>
        <v/>
      </c>
      <c r="W902" s="15">
        <f>IF(P902&lt;6750,0,IF(Q902="",0,IF(OR(Q902="KURANG",Q902="SANGAT KURANG"),I902*K902*10%,I902*K902*20%)))</f>
        <v/>
      </c>
      <c r="X902" s="15">
        <f>SUM(U902:W902)*68%</f>
        <v/>
      </c>
      <c r="Y902" s="15">
        <f>I902*L902</f>
        <v/>
      </c>
      <c r="Z902" s="15">
        <f>Y902 * 68%</f>
        <v/>
      </c>
      <c r="AA902" s="15">
        <f>I902*M902</f>
        <v/>
      </c>
      <c r="AB902" s="15">
        <f>AA902*68%</f>
        <v/>
      </c>
      <c r="AC902" s="16">
        <f>ROUND((T902+X902+Z902+AB902),0)</f>
        <v/>
      </c>
      <c r="AD902" s="16">
        <f>AG902</f>
        <v/>
      </c>
      <c r="AE902" s="16">
        <f>AI902</f>
        <v/>
      </c>
      <c r="AF902" s="16">
        <f>AC902+AD902+AE902</f>
        <v/>
      </c>
      <c r="AG902" s="16" t="n"/>
      <c r="AH902" s="17" t="n"/>
      <c r="AI902" s="17">
        <f>AH902*4</f>
        <v/>
      </c>
      <c r="AJ902" s="15">
        <f>AF902-AG902-AH902-AI902</f>
        <v/>
      </c>
      <c r="AK902" s="18" t="n">
        <v>895</v>
      </c>
      <c r="AL902" s="23" t="n"/>
    </row>
    <row r="903" ht="23.5" customHeight="1">
      <c r="A903" s="6" t="inlineStr">
        <is>
          <t>896</t>
        </is>
      </c>
      <c r="B903" s="24" t="n"/>
      <c r="C903" s="55" t="n"/>
      <c r="D903" s="19" t="n"/>
      <c r="E903" s="24" t="n"/>
      <c r="F903" s="25" t="n"/>
      <c r="G903" s="25" t="n"/>
      <c r="H903" s="25" t="n"/>
      <c r="I903" s="11" t="n"/>
      <c r="J903" s="57" t="n"/>
      <c r="K903" s="12" t="n"/>
      <c r="L903" s="22" t="n"/>
      <c r="M903" s="13" t="n"/>
      <c r="N903" s="14">
        <f>ROUND(I903*(SUM(J903:M903))*68%,0)</f>
        <v/>
      </c>
      <c r="O903" s="61" t="n"/>
      <c r="P903" s="59" t="n"/>
      <c r="Q903" s="59" t="n"/>
      <c r="R903" s="58" t="n"/>
      <c r="S903" s="15">
        <f>I903*J903</f>
        <v/>
      </c>
      <c r="T903" s="15">
        <f>SUM(S903:S903)*68%</f>
        <v/>
      </c>
      <c r="U903" s="15">
        <f>I903*K903*40%*O903</f>
        <v/>
      </c>
      <c r="V903" s="15">
        <f>IF(P903&gt;=6750,(I903*K903*40%),0)</f>
        <v/>
      </c>
      <c r="W903" s="15">
        <f>IF(P903&lt;6750,0,IF(Q903="",0,IF(OR(Q903="KURANG",Q903="SANGAT KURANG"),I903*K903*10%,I903*K903*20%)))</f>
        <v/>
      </c>
      <c r="X903" s="15">
        <f>SUM(U903:W903)*68%</f>
        <v/>
      </c>
      <c r="Y903" s="15">
        <f>I903*L903</f>
        <v/>
      </c>
      <c r="Z903" s="15">
        <f>Y903 * 68%</f>
        <v/>
      </c>
      <c r="AA903" s="15">
        <f>I903*M903</f>
        <v/>
      </c>
      <c r="AB903" s="15">
        <f>AA903*68%</f>
        <v/>
      </c>
      <c r="AC903" s="16">
        <f>ROUND((T903+X903+Z903+AB903),0)</f>
        <v/>
      </c>
      <c r="AD903" s="16">
        <f>AG903</f>
        <v/>
      </c>
      <c r="AE903" s="16">
        <f>AI903</f>
        <v/>
      </c>
      <c r="AF903" s="16">
        <f>AC903+AD903+AE903</f>
        <v/>
      </c>
      <c r="AG903" s="16" t="n"/>
      <c r="AH903" s="17" t="n"/>
      <c r="AI903" s="17">
        <f>AH903*4</f>
        <v/>
      </c>
      <c r="AJ903" s="15">
        <f>AF903-AG903-AH903-AI903</f>
        <v/>
      </c>
      <c r="AK903" s="18" t="n">
        <v>896</v>
      </c>
      <c r="AL903" s="40" t="n"/>
    </row>
    <row r="904" ht="23.5" customHeight="1">
      <c r="A904" s="6" t="inlineStr">
        <is>
          <t>897</t>
        </is>
      </c>
      <c r="B904" s="28" t="n"/>
      <c r="C904" s="55" t="n"/>
      <c r="D904" s="19" t="n"/>
      <c r="E904" s="24" t="n"/>
      <c r="F904" s="25" t="n"/>
      <c r="G904" s="25" t="n"/>
      <c r="H904" s="25" t="n"/>
      <c r="I904" s="11" t="n"/>
      <c r="J904" s="57" t="n"/>
      <c r="K904" s="12" t="n"/>
      <c r="L904" s="22" t="n"/>
      <c r="M904" s="13" t="n"/>
      <c r="N904" s="14">
        <f>ROUND(I904*(SUM(J904:M904))*68%,0)</f>
        <v/>
      </c>
      <c r="O904" s="61" t="n"/>
      <c r="P904" s="59" t="n"/>
      <c r="Q904" s="59" t="n"/>
      <c r="R904" s="58" t="n"/>
      <c r="S904" s="15">
        <f>I904*J904</f>
        <v/>
      </c>
      <c r="T904" s="15">
        <f>SUM(S904:S904)*68%</f>
        <v/>
      </c>
      <c r="U904" s="15">
        <f>I904*K904*40%*O904</f>
        <v/>
      </c>
      <c r="V904" s="15">
        <f>IF(P904&gt;=6750,(I904*K904*40%),0)</f>
        <v/>
      </c>
      <c r="W904" s="15">
        <f>IF(P904&lt;6750,0,IF(Q904="",0,IF(OR(Q904="KURANG",Q904="SANGAT KURANG"),I904*K904*10%,I904*K904*20%)))</f>
        <v/>
      </c>
      <c r="X904" s="15">
        <f>SUM(U904:W904)*68%</f>
        <v/>
      </c>
      <c r="Y904" s="15">
        <f>I904*L904</f>
        <v/>
      </c>
      <c r="Z904" s="15">
        <f>Y904 * 68%</f>
        <v/>
      </c>
      <c r="AA904" s="15">
        <f>I904*M904</f>
        <v/>
      </c>
      <c r="AB904" s="15">
        <f>AA904*68%</f>
        <v/>
      </c>
      <c r="AC904" s="16">
        <f>ROUND((T904+X904+Z904+AB904),0)</f>
        <v/>
      </c>
      <c r="AD904" s="16">
        <f>AG904</f>
        <v/>
      </c>
      <c r="AE904" s="16">
        <f>AI904</f>
        <v/>
      </c>
      <c r="AF904" s="16">
        <f>AC904+AD904+AE904</f>
        <v/>
      </c>
      <c r="AG904" s="16" t="n"/>
      <c r="AH904" s="17" t="n"/>
      <c r="AI904" s="17">
        <f>AH904*4</f>
        <v/>
      </c>
      <c r="AJ904" s="15">
        <f>AF904-AG904-AH904-AI904</f>
        <v/>
      </c>
      <c r="AK904" s="18" t="n">
        <v>897</v>
      </c>
      <c r="AL904" s="23" t="n"/>
    </row>
    <row r="905" ht="23.5" customHeight="1">
      <c r="A905" s="6" t="inlineStr">
        <is>
          <t>898</t>
        </is>
      </c>
      <c r="B905" s="28" t="n"/>
      <c r="C905" s="55" t="n"/>
      <c r="D905" s="19" t="n"/>
      <c r="E905" s="24" t="n"/>
      <c r="F905" s="25" t="n"/>
      <c r="G905" s="25" t="n"/>
      <c r="H905" s="25" t="n"/>
      <c r="I905" s="11" t="n"/>
      <c r="J905" s="57" t="n"/>
      <c r="K905" s="12" t="n"/>
      <c r="L905" s="22" t="n"/>
      <c r="M905" s="13" t="n"/>
      <c r="N905" s="14">
        <f>ROUND(I905*(SUM(J905:M905))*68%,0)</f>
        <v/>
      </c>
      <c r="O905" s="61" t="n"/>
      <c r="P905" s="59" t="n"/>
      <c r="Q905" s="59" t="n"/>
      <c r="R905" s="58" t="n"/>
      <c r="S905" s="15">
        <f>I905*J905</f>
        <v/>
      </c>
      <c r="T905" s="15">
        <f>SUM(S905:S905)*68%</f>
        <v/>
      </c>
      <c r="U905" s="15">
        <f>I905*K905*40%*O905</f>
        <v/>
      </c>
      <c r="V905" s="15">
        <f>IF(P905&gt;=6750,(I905*K905*40%),0)</f>
        <v/>
      </c>
      <c r="W905" s="15">
        <f>IF(P905&lt;6750,0,IF(Q905="",0,IF(OR(Q905="KURANG",Q905="SANGAT KURANG"),I905*K905*10%,I905*K905*20%)))</f>
        <v/>
      </c>
      <c r="X905" s="15">
        <f>SUM(U905:W905)*68%</f>
        <v/>
      </c>
      <c r="Y905" s="15">
        <f>I905*L905</f>
        <v/>
      </c>
      <c r="Z905" s="15">
        <f>Y905 * 68%</f>
        <v/>
      </c>
      <c r="AA905" s="15">
        <f>I905*M905</f>
        <v/>
      </c>
      <c r="AB905" s="15">
        <f>AA905*68%</f>
        <v/>
      </c>
      <c r="AC905" s="16">
        <f>ROUND((T905+X905+Z905+AB905),0)</f>
        <v/>
      </c>
      <c r="AD905" s="16">
        <f>AG905</f>
        <v/>
      </c>
      <c r="AE905" s="16">
        <f>AI905</f>
        <v/>
      </c>
      <c r="AF905" s="16">
        <f>AC905+AD905+AE905</f>
        <v/>
      </c>
      <c r="AG905" s="16" t="n"/>
      <c r="AH905" s="17" t="n"/>
      <c r="AI905" s="17">
        <f>AH905*4</f>
        <v/>
      </c>
      <c r="AJ905" s="15">
        <f>AF905-AG905-AH905-AI905</f>
        <v/>
      </c>
      <c r="AK905" s="18" t="n">
        <v>898</v>
      </c>
      <c r="AL905" s="23" t="n"/>
    </row>
    <row r="906" ht="23.5" customHeight="1">
      <c r="A906" s="6" t="inlineStr">
        <is>
          <t>899</t>
        </is>
      </c>
      <c r="B906" s="24" t="n"/>
      <c r="C906" s="55" t="n"/>
      <c r="D906" s="19" t="n"/>
      <c r="E906" s="24" t="n"/>
      <c r="F906" s="25" t="n"/>
      <c r="G906" s="25" t="n"/>
      <c r="H906" s="25" t="n"/>
      <c r="I906" s="11" t="n"/>
      <c r="J906" s="57" t="n"/>
      <c r="K906" s="12" t="n"/>
      <c r="L906" s="22" t="n"/>
      <c r="M906" s="13" t="n"/>
      <c r="N906" s="14">
        <f>ROUND(I906*(SUM(J906:M906))*68%,0)</f>
        <v/>
      </c>
      <c r="O906" s="61" t="n"/>
      <c r="P906" s="59" t="n"/>
      <c r="Q906" s="59" t="n"/>
      <c r="R906" s="58" t="n"/>
      <c r="S906" s="15">
        <f>I906*J906</f>
        <v/>
      </c>
      <c r="T906" s="15">
        <f>SUM(S906:S906)*68%</f>
        <v/>
      </c>
      <c r="U906" s="15">
        <f>I906*K906*40%*O906</f>
        <v/>
      </c>
      <c r="V906" s="15">
        <f>IF(P906&gt;=6750,(I906*K906*40%),0)</f>
        <v/>
      </c>
      <c r="W906" s="15">
        <f>IF(P906&lt;6750,0,IF(Q906="",0,IF(OR(Q906="KURANG",Q906="SANGAT KURANG"),I906*K906*10%,I906*K906*20%)))</f>
        <v/>
      </c>
      <c r="X906" s="15">
        <f>SUM(U906:W906)*68%</f>
        <v/>
      </c>
      <c r="Y906" s="15">
        <f>I906*L906</f>
        <v/>
      </c>
      <c r="Z906" s="15">
        <f>Y906 * 68%</f>
        <v/>
      </c>
      <c r="AA906" s="15">
        <f>I906*M906</f>
        <v/>
      </c>
      <c r="AB906" s="15">
        <f>AA906*68%</f>
        <v/>
      </c>
      <c r="AC906" s="16">
        <f>ROUND((T906+X906+Z906+AB906),0)</f>
        <v/>
      </c>
      <c r="AD906" s="16">
        <f>AG906</f>
        <v/>
      </c>
      <c r="AE906" s="16">
        <f>AI906</f>
        <v/>
      </c>
      <c r="AF906" s="16">
        <f>AC906+AD906+AE906</f>
        <v/>
      </c>
      <c r="AG906" s="16" t="n"/>
      <c r="AH906" s="17" t="n"/>
      <c r="AI906" s="17">
        <f>AH906*4</f>
        <v/>
      </c>
      <c r="AJ906" s="15">
        <f>AF906-AG906-AH906-AI906</f>
        <v/>
      </c>
      <c r="AK906" s="18" t="n">
        <v>899</v>
      </c>
      <c r="AL906" s="40" t="n"/>
    </row>
    <row r="907" ht="23.5" customHeight="1">
      <c r="A907" s="6" t="inlineStr">
        <is>
          <t>900</t>
        </is>
      </c>
      <c r="B907" s="24" t="n"/>
      <c r="C907" s="55" t="n"/>
      <c r="D907" s="19" t="n"/>
      <c r="E907" s="24" t="n"/>
      <c r="F907" s="25" t="n"/>
      <c r="G907" s="25" t="n"/>
      <c r="H907" s="25" t="n"/>
      <c r="I907" s="11" t="n"/>
      <c r="J907" s="57" t="n"/>
      <c r="K907" s="12" t="n"/>
      <c r="L907" s="22" t="n"/>
      <c r="M907" s="13" t="n"/>
      <c r="N907" s="14">
        <f>ROUND(I907*(SUM(J907:M907))*68%,0)</f>
        <v/>
      </c>
      <c r="O907" s="61" t="n"/>
      <c r="P907" s="59" t="n"/>
      <c r="Q907" s="59" t="n"/>
      <c r="R907" s="58" t="n"/>
      <c r="S907" s="15">
        <f>I907*J907</f>
        <v/>
      </c>
      <c r="T907" s="15">
        <f>SUM(S907:S907)*68%</f>
        <v/>
      </c>
      <c r="U907" s="15">
        <f>I907*K907*40%*O907</f>
        <v/>
      </c>
      <c r="V907" s="15">
        <f>IF(P907&gt;=6750,(I907*K907*40%),0)</f>
        <v/>
      </c>
      <c r="W907" s="15">
        <f>IF(P907&lt;6750,0,IF(Q907="",0,IF(OR(Q907="KURANG",Q907="SANGAT KURANG"),I907*K907*10%,I907*K907*20%)))</f>
        <v/>
      </c>
      <c r="X907" s="15">
        <f>SUM(U907:W907)*68%</f>
        <v/>
      </c>
      <c r="Y907" s="15">
        <f>I907*L907</f>
        <v/>
      </c>
      <c r="Z907" s="15">
        <f>Y907 * 68%</f>
        <v/>
      </c>
      <c r="AA907" s="15">
        <f>I907*M907</f>
        <v/>
      </c>
      <c r="AB907" s="15">
        <f>AA907*68%</f>
        <v/>
      </c>
      <c r="AC907" s="16">
        <f>ROUND((T907+X907+Z907+AB907),0)</f>
        <v/>
      </c>
      <c r="AD907" s="16">
        <f>AG907</f>
        <v/>
      </c>
      <c r="AE907" s="16">
        <f>AI907</f>
        <v/>
      </c>
      <c r="AF907" s="16">
        <f>AC907+AD907+AE907</f>
        <v/>
      </c>
      <c r="AG907" s="16" t="n"/>
      <c r="AH907" s="17" t="n"/>
      <c r="AI907" s="17">
        <f>AH907*4</f>
        <v/>
      </c>
      <c r="AJ907" s="15">
        <f>AF907-AG907-AH907-AI907</f>
        <v/>
      </c>
      <c r="AK907" s="18" t="n">
        <v>900</v>
      </c>
      <c r="AL907" s="23" t="n"/>
    </row>
    <row r="908" ht="23.5" customHeight="1">
      <c r="A908" s="6" t="inlineStr">
        <is>
          <t>901</t>
        </is>
      </c>
      <c r="B908" s="24" t="n"/>
      <c r="C908" s="55" t="n"/>
      <c r="D908" s="19" t="n"/>
      <c r="E908" s="24" t="n"/>
      <c r="F908" s="25" t="n"/>
      <c r="G908" s="25" t="n"/>
      <c r="H908" s="25" t="n"/>
      <c r="I908" s="11" t="n"/>
      <c r="J908" s="57" t="n"/>
      <c r="K908" s="12" t="n"/>
      <c r="L908" s="22" t="n"/>
      <c r="M908" s="13" t="n"/>
      <c r="N908" s="14">
        <f>ROUND(I908*(SUM(J908:M908))*68%,0)</f>
        <v/>
      </c>
      <c r="O908" s="61" t="n"/>
      <c r="P908" s="59" t="n"/>
      <c r="Q908" s="59" t="n"/>
      <c r="R908" s="58" t="n"/>
      <c r="S908" s="15">
        <f>I908*J908</f>
        <v/>
      </c>
      <c r="T908" s="15">
        <f>SUM(S908:S908)*68%</f>
        <v/>
      </c>
      <c r="U908" s="15">
        <f>I908*K908*40%*O908</f>
        <v/>
      </c>
      <c r="V908" s="15">
        <f>IF(P908&gt;=6750,(I908*K908*40%),0)</f>
        <v/>
      </c>
      <c r="W908" s="15">
        <f>IF(P908&lt;6750,0,IF(Q908="",0,IF(OR(Q908="KURANG",Q908="SANGAT KURANG"),I908*K908*10%,I908*K908*20%)))</f>
        <v/>
      </c>
      <c r="X908" s="15">
        <f>SUM(U908:W908)*68%</f>
        <v/>
      </c>
      <c r="Y908" s="15">
        <f>I908*L908</f>
        <v/>
      </c>
      <c r="Z908" s="15">
        <f>Y908 * 68%</f>
        <v/>
      </c>
      <c r="AA908" s="15">
        <f>I908*M908</f>
        <v/>
      </c>
      <c r="AB908" s="15">
        <f>AA908*68%</f>
        <v/>
      </c>
      <c r="AC908" s="16">
        <f>ROUND((T908+X908+Z908+AB908),0)</f>
        <v/>
      </c>
      <c r="AD908" s="16">
        <f>AG908</f>
        <v/>
      </c>
      <c r="AE908" s="16">
        <f>AI908</f>
        <v/>
      </c>
      <c r="AF908" s="16">
        <f>AC908+AD908+AE908</f>
        <v/>
      </c>
      <c r="AG908" s="16" t="n"/>
      <c r="AH908" s="17" t="n"/>
      <c r="AI908" s="17">
        <f>AH908*4</f>
        <v/>
      </c>
      <c r="AJ908" s="15">
        <f>AF908-AG908-AH908-AI908</f>
        <v/>
      </c>
      <c r="AK908" s="18" t="n">
        <v>901</v>
      </c>
      <c r="AL908" s="23" t="n"/>
    </row>
    <row r="909" ht="23.5" customHeight="1">
      <c r="A909" s="6" t="inlineStr">
        <is>
          <t>902</t>
        </is>
      </c>
      <c r="B909" s="24" t="n"/>
      <c r="C909" s="55" t="n"/>
      <c r="D909" s="19" t="n"/>
      <c r="E909" s="24" t="n"/>
      <c r="F909" s="25" t="n"/>
      <c r="G909" s="25" t="n"/>
      <c r="H909" s="25" t="n"/>
      <c r="I909" s="11" t="n"/>
      <c r="J909" s="57" t="n"/>
      <c r="K909" s="12" t="n"/>
      <c r="L909" s="22" t="n"/>
      <c r="M909" s="13" t="n"/>
      <c r="N909" s="14">
        <f>ROUND(I909*(SUM(J909:M909))*68%,0)</f>
        <v/>
      </c>
      <c r="O909" s="61" t="n"/>
      <c r="P909" s="59" t="n"/>
      <c r="Q909" s="59" t="n"/>
      <c r="R909" s="58" t="n"/>
      <c r="S909" s="15">
        <f>I909*J909</f>
        <v/>
      </c>
      <c r="T909" s="15">
        <f>SUM(S909:S909)*68%</f>
        <v/>
      </c>
      <c r="U909" s="15">
        <f>I909*K909*40%*O909</f>
        <v/>
      </c>
      <c r="V909" s="15">
        <f>IF(P909&gt;=6750,(I909*K909*40%),0)</f>
        <v/>
      </c>
      <c r="W909" s="15">
        <f>IF(P909&lt;6750,0,IF(Q909="",0,IF(OR(Q909="KURANG",Q909="SANGAT KURANG"),I909*K909*10%,I909*K909*20%)))</f>
        <v/>
      </c>
      <c r="X909" s="15">
        <f>SUM(U909:W909)*68%</f>
        <v/>
      </c>
      <c r="Y909" s="15">
        <f>I909*L909</f>
        <v/>
      </c>
      <c r="Z909" s="15">
        <f>Y909 * 68%</f>
        <v/>
      </c>
      <c r="AA909" s="15">
        <f>I909*M909</f>
        <v/>
      </c>
      <c r="AB909" s="15">
        <f>AA909*68%</f>
        <v/>
      </c>
      <c r="AC909" s="16">
        <f>ROUND((T909+X909+Z909+AB909),0)</f>
        <v/>
      </c>
      <c r="AD909" s="16">
        <f>AG909</f>
        <v/>
      </c>
      <c r="AE909" s="16">
        <f>AI909</f>
        <v/>
      </c>
      <c r="AF909" s="16">
        <f>AC909+AD909+AE909</f>
        <v/>
      </c>
      <c r="AG909" s="16" t="n"/>
      <c r="AH909" s="17" t="n"/>
      <c r="AI909" s="17">
        <f>AH909*4</f>
        <v/>
      </c>
      <c r="AJ909" s="15">
        <f>AF909-AG909-AH909-AI909</f>
        <v/>
      </c>
      <c r="AK909" s="18" t="n">
        <v>902</v>
      </c>
      <c r="AL909" s="40" t="n"/>
    </row>
    <row r="910" ht="23.5" customHeight="1">
      <c r="A910" s="6" t="inlineStr">
        <is>
          <t>903</t>
        </is>
      </c>
      <c r="B910" s="24" t="n"/>
      <c r="C910" s="55" t="n"/>
      <c r="D910" s="19" t="n"/>
      <c r="E910" s="24" t="n"/>
      <c r="F910" s="25" t="n"/>
      <c r="G910" s="25" t="n"/>
      <c r="H910" s="25" t="n"/>
      <c r="I910" s="11" t="n"/>
      <c r="J910" s="57" t="n"/>
      <c r="K910" s="12" t="n"/>
      <c r="L910" s="22" t="n"/>
      <c r="M910" s="13" t="n"/>
      <c r="N910" s="14">
        <f>ROUND(I910*(SUM(J910:M910))*68%,0)</f>
        <v/>
      </c>
      <c r="O910" s="61" t="n"/>
      <c r="P910" s="59" t="n"/>
      <c r="Q910" s="59" t="n"/>
      <c r="R910" s="58" t="n"/>
      <c r="S910" s="15">
        <f>I910*J910</f>
        <v/>
      </c>
      <c r="T910" s="15">
        <f>SUM(S910:S910)*68%</f>
        <v/>
      </c>
      <c r="U910" s="15">
        <f>I910*K910*40%*O910</f>
        <v/>
      </c>
      <c r="V910" s="15">
        <f>IF(P910&gt;=6750,(I910*K910*40%),0)</f>
        <v/>
      </c>
      <c r="W910" s="15">
        <f>IF(P910&lt;6750,0,IF(Q910="",0,IF(OR(Q910="KURANG",Q910="SANGAT KURANG"),I910*K910*10%,I910*K910*20%)))</f>
        <v/>
      </c>
      <c r="X910" s="15">
        <f>SUM(U910:W910)*68%</f>
        <v/>
      </c>
      <c r="Y910" s="15">
        <f>I910*L910</f>
        <v/>
      </c>
      <c r="Z910" s="15">
        <f>Y910 * 68%</f>
        <v/>
      </c>
      <c r="AA910" s="15">
        <f>I910*M910</f>
        <v/>
      </c>
      <c r="AB910" s="15">
        <f>AA910*68%</f>
        <v/>
      </c>
      <c r="AC910" s="16">
        <f>ROUND((T910+X910+Z910+AB910),0)</f>
        <v/>
      </c>
      <c r="AD910" s="16">
        <f>AG910</f>
        <v/>
      </c>
      <c r="AE910" s="16">
        <f>AI910</f>
        <v/>
      </c>
      <c r="AF910" s="16">
        <f>AC910+AD910+AE910</f>
        <v/>
      </c>
      <c r="AG910" s="16" t="n"/>
      <c r="AH910" s="17" t="n"/>
      <c r="AI910" s="17">
        <f>AH910*4</f>
        <v/>
      </c>
      <c r="AJ910" s="15">
        <f>AF910-AG910-AH910-AI910</f>
        <v/>
      </c>
      <c r="AK910" s="18" t="n">
        <v>903</v>
      </c>
      <c r="AL910" s="23" t="n"/>
    </row>
    <row r="911" ht="23.5" customHeight="1">
      <c r="A911" s="6" t="inlineStr">
        <is>
          <t>904</t>
        </is>
      </c>
      <c r="B911" s="24" t="n"/>
      <c r="C911" s="55" t="n"/>
      <c r="D911" s="19" t="n"/>
      <c r="E911" s="24" t="n"/>
      <c r="F911" s="25" t="n"/>
      <c r="G911" s="25" t="n"/>
      <c r="H911" s="25" t="n"/>
      <c r="I911" s="11" t="n"/>
      <c r="J911" s="57" t="n"/>
      <c r="K911" s="12" t="n"/>
      <c r="L911" s="22" t="n"/>
      <c r="M911" s="13" t="n"/>
      <c r="N911" s="14">
        <f>ROUND(I911*(SUM(J911:M911))*68%,0)</f>
        <v/>
      </c>
      <c r="O911" s="61" t="n"/>
      <c r="P911" s="59" t="n"/>
      <c r="Q911" s="59" t="n"/>
      <c r="R911" s="58" t="n"/>
      <c r="S911" s="15">
        <f>I911*J911</f>
        <v/>
      </c>
      <c r="T911" s="15">
        <f>SUM(S911:S911)*68%</f>
        <v/>
      </c>
      <c r="U911" s="15">
        <f>I911*K911*40%*O911</f>
        <v/>
      </c>
      <c r="V911" s="15">
        <f>IF(P911&gt;=6750,(I911*K911*40%),0)</f>
        <v/>
      </c>
      <c r="W911" s="15">
        <f>IF(P911&lt;6750,0,IF(Q911="",0,IF(OR(Q911="KURANG",Q911="SANGAT KURANG"),I911*K911*10%,I911*K911*20%)))</f>
        <v/>
      </c>
      <c r="X911" s="15">
        <f>SUM(U911:W911)*68%</f>
        <v/>
      </c>
      <c r="Y911" s="15">
        <f>I911*L911</f>
        <v/>
      </c>
      <c r="Z911" s="15">
        <f>Y911 * 68%</f>
        <v/>
      </c>
      <c r="AA911" s="15">
        <f>I911*M911</f>
        <v/>
      </c>
      <c r="AB911" s="15">
        <f>AA911*68%</f>
        <v/>
      </c>
      <c r="AC911" s="16">
        <f>ROUND((T911+X911+Z911+AB911),0)</f>
        <v/>
      </c>
      <c r="AD911" s="16">
        <f>AG911</f>
        <v/>
      </c>
      <c r="AE911" s="16">
        <f>AI911</f>
        <v/>
      </c>
      <c r="AF911" s="16">
        <f>AC911+AD911+AE911</f>
        <v/>
      </c>
      <c r="AG911" s="16" t="n"/>
      <c r="AH911" s="17" t="n"/>
      <c r="AI911" s="17">
        <f>AH911*4</f>
        <v/>
      </c>
      <c r="AJ911" s="15">
        <f>AF911-AG911-AH911-AI911</f>
        <v/>
      </c>
      <c r="AK911" s="18" t="n">
        <v>904</v>
      </c>
      <c r="AL911" s="23" t="n"/>
    </row>
    <row r="912" ht="23.5" customHeight="1">
      <c r="A912" s="6" t="inlineStr">
        <is>
          <t>905</t>
        </is>
      </c>
      <c r="B912" s="28" t="n"/>
      <c r="C912" s="55" t="n"/>
      <c r="D912" s="19" t="n"/>
      <c r="E912" s="24" t="n"/>
      <c r="F912" s="25" t="n"/>
      <c r="G912" s="25" t="n"/>
      <c r="H912" s="25" t="n"/>
      <c r="I912" s="11" t="n"/>
      <c r="J912" s="57" t="n"/>
      <c r="K912" s="12" t="n"/>
      <c r="L912" s="22" t="n"/>
      <c r="M912" s="13" t="n"/>
      <c r="N912" s="14">
        <f>ROUND(I912*(SUM(J912:M912))*68%,0)</f>
        <v/>
      </c>
      <c r="O912" s="61" t="n"/>
      <c r="P912" s="59" t="n"/>
      <c r="Q912" s="59" t="n"/>
      <c r="R912" s="58" t="n"/>
      <c r="S912" s="15">
        <f>I912*J912</f>
        <v/>
      </c>
      <c r="T912" s="15">
        <f>SUM(S912:S912)*68%</f>
        <v/>
      </c>
      <c r="U912" s="15">
        <f>I912*K912*40%*O912</f>
        <v/>
      </c>
      <c r="V912" s="15">
        <f>IF(P912&gt;=6750,(I912*K912*40%),0)</f>
        <v/>
      </c>
      <c r="W912" s="15">
        <f>IF(P912&lt;6750,0,IF(Q912="",0,IF(OR(Q912="KURANG",Q912="SANGAT KURANG"),I912*K912*10%,I912*K912*20%)))</f>
        <v/>
      </c>
      <c r="X912" s="15">
        <f>SUM(U912:W912)*68%</f>
        <v/>
      </c>
      <c r="Y912" s="15">
        <f>I912*L912</f>
        <v/>
      </c>
      <c r="Z912" s="15">
        <f>Y912 * 68%</f>
        <v/>
      </c>
      <c r="AA912" s="15">
        <f>I912*M912</f>
        <v/>
      </c>
      <c r="AB912" s="15">
        <f>AA912*68%</f>
        <v/>
      </c>
      <c r="AC912" s="16">
        <f>ROUND((T912+X912+Z912+AB912),0)</f>
        <v/>
      </c>
      <c r="AD912" s="16">
        <f>AG912</f>
        <v/>
      </c>
      <c r="AE912" s="16">
        <f>AI912</f>
        <v/>
      </c>
      <c r="AF912" s="16">
        <f>AC912+AD912+AE912</f>
        <v/>
      </c>
      <c r="AG912" s="16" t="n"/>
      <c r="AH912" s="17" t="n"/>
      <c r="AI912" s="17">
        <f>AH912*4</f>
        <v/>
      </c>
      <c r="AJ912" s="15">
        <f>AF912-AG912-AH912-AI912</f>
        <v/>
      </c>
      <c r="AK912" s="18" t="n">
        <v>905</v>
      </c>
      <c r="AL912" s="40" t="n"/>
    </row>
    <row r="913" ht="23.5" customHeight="1">
      <c r="A913" s="6" t="inlineStr">
        <is>
          <t>906</t>
        </is>
      </c>
      <c r="B913" s="28" t="n"/>
      <c r="C913" s="55" t="n"/>
      <c r="D913" s="19" t="n"/>
      <c r="E913" s="24" t="n"/>
      <c r="F913" s="25" t="n"/>
      <c r="G913" s="25" t="n"/>
      <c r="H913" s="25" t="n"/>
      <c r="I913" s="11" t="n"/>
      <c r="J913" s="57" t="n"/>
      <c r="K913" s="12" t="n"/>
      <c r="L913" s="22" t="n"/>
      <c r="M913" s="13" t="n"/>
      <c r="N913" s="14">
        <f>ROUND(I913*(SUM(J913:M913))*68%,0)</f>
        <v/>
      </c>
      <c r="O913" s="61" t="n"/>
      <c r="P913" s="59" t="n"/>
      <c r="Q913" s="59" t="n"/>
      <c r="R913" s="58" t="n"/>
      <c r="S913" s="15">
        <f>I913*J913</f>
        <v/>
      </c>
      <c r="T913" s="15">
        <f>SUM(S913:S913)*68%</f>
        <v/>
      </c>
      <c r="U913" s="15">
        <f>I913*K913*40%*O913</f>
        <v/>
      </c>
      <c r="V913" s="15">
        <f>IF(P913&gt;=6750,(I913*K913*40%),0)</f>
        <v/>
      </c>
      <c r="W913" s="15">
        <f>IF(P913&lt;6750,0,IF(Q913="",0,IF(OR(Q913="KURANG",Q913="SANGAT KURANG"),I913*K913*10%,I913*K913*20%)))</f>
        <v/>
      </c>
      <c r="X913" s="15">
        <f>SUM(U913:W913)*68%</f>
        <v/>
      </c>
      <c r="Y913" s="15">
        <f>I913*L913</f>
        <v/>
      </c>
      <c r="Z913" s="15">
        <f>Y913 * 68%</f>
        <v/>
      </c>
      <c r="AA913" s="15">
        <f>I913*M913</f>
        <v/>
      </c>
      <c r="AB913" s="15">
        <f>AA913*68%</f>
        <v/>
      </c>
      <c r="AC913" s="16">
        <f>ROUND((T913+X913+Z913+AB913),0)</f>
        <v/>
      </c>
      <c r="AD913" s="16">
        <f>AG913</f>
        <v/>
      </c>
      <c r="AE913" s="16">
        <f>AI913</f>
        <v/>
      </c>
      <c r="AF913" s="16">
        <f>AC913+AD913+AE913</f>
        <v/>
      </c>
      <c r="AG913" s="16" t="n"/>
      <c r="AH913" s="17" t="n"/>
      <c r="AI913" s="17">
        <f>AH913*4</f>
        <v/>
      </c>
      <c r="AJ913" s="15">
        <f>AF913-AG913-AH913-AI913</f>
        <v/>
      </c>
      <c r="AK913" s="18" t="n">
        <v>906</v>
      </c>
      <c r="AL913" s="23" t="n"/>
    </row>
    <row r="914" ht="23.5" customHeight="1">
      <c r="A914" s="6" t="inlineStr">
        <is>
          <t>907</t>
        </is>
      </c>
      <c r="B914" s="24" t="n"/>
      <c r="C914" s="55" t="n"/>
      <c r="D914" s="19" t="n"/>
      <c r="E914" s="24" t="n"/>
      <c r="F914" s="25" t="n"/>
      <c r="G914" s="25" t="n"/>
      <c r="H914" s="25" t="n"/>
      <c r="I914" s="11" t="n"/>
      <c r="J914" s="57" t="n"/>
      <c r="K914" s="12" t="n"/>
      <c r="L914" s="22" t="n"/>
      <c r="M914" s="13" t="n"/>
      <c r="N914" s="14">
        <f>ROUND(I914*(SUM(J914:M914))*68%,0)</f>
        <v/>
      </c>
      <c r="O914" s="61" t="n"/>
      <c r="P914" s="59" t="n"/>
      <c r="Q914" s="59" t="n"/>
      <c r="R914" s="58" t="n"/>
      <c r="S914" s="15">
        <f>I914*J914</f>
        <v/>
      </c>
      <c r="T914" s="15">
        <f>SUM(S914:S914)*68%</f>
        <v/>
      </c>
      <c r="U914" s="15">
        <f>I914*K914*40%*O914</f>
        <v/>
      </c>
      <c r="V914" s="15">
        <f>IF(P914&gt;=6750,(I914*K914*40%),0)</f>
        <v/>
      </c>
      <c r="W914" s="15">
        <f>IF(P914&lt;6750,0,IF(Q914="",0,IF(OR(Q914="KURANG",Q914="SANGAT KURANG"),I914*K914*10%,I914*K914*20%)))</f>
        <v/>
      </c>
      <c r="X914" s="15">
        <f>SUM(U914:W914)*68%</f>
        <v/>
      </c>
      <c r="Y914" s="15">
        <f>I914*L914</f>
        <v/>
      </c>
      <c r="Z914" s="15">
        <f>Y914 * 68%</f>
        <v/>
      </c>
      <c r="AA914" s="15">
        <f>I914*M914</f>
        <v/>
      </c>
      <c r="AB914" s="15">
        <f>AA914*68%</f>
        <v/>
      </c>
      <c r="AC914" s="16">
        <f>ROUND((T914+X914+Z914+AB914),0)</f>
        <v/>
      </c>
      <c r="AD914" s="16">
        <f>AG914</f>
        <v/>
      </c>
      <c r="AE914" s="16">
        <f>AI914</f>
        <v/>
      </c>
      <c r="AF914" s="16">
        <f>AC914+AD914+AE914</f>
        <v/>
      </c>
      <c r="AG914" s="16" t="n"/>
      <c r="AH914" s="17" t="n"/>
      <c r="AI914" s="17">
        <f>AH914*4</f>
        <v/>
      </c>
      <c r="AJ914" s="15">
        <f>AF914-AG914-AH914-AI914</f>
        <v/>
      </c>
      <c r="AK914" s="18" t="n">
        <v>907</v>
      </c>
      <c r="AL914" s="23" t="n"/>
    </row>
    <row r="915" ht="23.5" customHeight="1">
      <c r="A915" s="6" t="inlineStr">
        <is>
          <t>908</t>
        </is>
      </c>
      <c r="B915" s="24" t="n"/>
      <c r="C915" s="55" t="n"/>
      <c r="D915" s="19" t="n"/>
      <c r="E915" s="24" t="n"/>
      <c r="F915" s="25" t="n"/>
      <c r="G915" s="25" t="n"/>
      <c r="H915" s="25" t="n"/>
      <c r="I915" s="11" t="n"/>
      <c r="J915" s="57" t="n"/>
      <c r="K915" s="12" t="n"/>
      <c r="L915" s="22" t="n"/>
      <c r="M915" s="13" t="n"/>
      <c r="N915" s="14">
        <f>ROUND(I915*(SUM(J915:M915))*68%,0)</f>
        <v/>
      </c>
      <c r="O915" s="61" t="n"/>
      <c r="P915" s="59" t="n"/>
      <c r="Q915" s="59" t="n"/>
      <c r="R915" s="58" t="n"/>
      <c r="S915" s="15">
        <f>I915*J915</f>
        <v/>
      </c>
      <c r="T915" s="15">
        <f>SUM(S915:S915)*68%</f>
        <v/>
      </c>
      <c r="U915" s="15">
        <f>I915*K915*40%*O915</f>
        <v/>
      </c>
      <c r="V915" s="15">
        <f>IF(P915&gt;=6750,(I915*K915*40%),0)</f>
        <v/>
      </c>
      <c r="W915" s="15">
        <f>IF(P915&lt;6750,0,IF(Q915="",0,IF(OR(Q915="KURANG",Q915="SANGAT KURANG"),I915*K915*10%,I915*K915*20%)))</f>
        <v/>
      </c>
      <c r="X915" s="15">
        <f>SUM(U915:W915)*68%</f>
        <v/>
      </c>
      <c r="Y915" s="15">
        <f>I915*L915</f>
        <v/>
      </c>
      <c r="Z915" s="15">
        <f>Y915 * 68%</f>
        <v/>
      </c>
      <c r="AA915" s="15">
        <f>I915*M915</f>
        <v/>
      </c>
      <c r="AB915" s="15">
        <f>AA915*68%</f>
        <v/>
      </c>
      <c r="AC915" s="16">
        <f>ROUND((T915+X915+Z915+AB915),0)</f>
        <v/>
      </c>
      <c r="AD915" s="16">
        <f>AG915</f>
        <v/>
      </c>
      <c r="AE915" s="16">
        <f>AI915</f>
        <v/>
      </c>
      <c r="AF915" s="16">
        <f>AC915+AD915+AE915</f>
        <v/>
      </c>
      <c r="AG915" s="16" t="n"/>
      <c r="AH915" s="17" t="n"/>
      <c r="AI915" s="17">
        <f>AH915*4</f>
        <v/>
      </c>
      <c r="AJ915" s="15">
        <f>AF915-AG915-AH915-AI915</f>
        <v/>
      </c>
      <c r="AK915" s="18" t="n">
        <v>908</v>
      </c>
      <c r="AL915" s="40" t="n"/>
    </row>
    <row r="916" ht="23.5" customHeight="1">
      <c r="A916" s="6" t="inlineStr">
        <is>
          <t>909</t>
        </is>
      </c>
      <c r="B916" s="24" t="n"/>
      <c r="C916" s="55" t="n"/>
      <c r="D916" s="19" t="n"/>
      <c r="E916" s="24" t="n"/>
      <c r="F916" s="25" t="n"/>
      <c r="G916" s="25" t="n"/>
      <c r="H916" s="25" t="n"/>
      <c r="I916" s="11" t="n"/>
      <c r="J916" s="57" t="n"/>
      <c r="K916" s="12" t="n"/>
      <c r="L916" s="22" t="n"/>
      <c r="M916" s="13" t="n"/>
      <c r="N916" s="14">
        <f>ROUND(I916*(SUM(J916:M916))*68%,0)</f>
        <v/>
      </c>
      <c r="O916" s="61" t="n"/>
      <c r="P916" s="59" t="n"/>
      <c r="Q916" s="59" t="n"/>
      <c r="R916" s="58" t="n"/>
      <c r="S916" s="15">
        <f>I916*J916</f>
        <v/>
      </c>
      <c r="T916" s="15">
        <f>SUM(S916:S916)*68%</f>
        <v/>
      </c>
      <c r="U916" s="15">
        <f>I916*K916*40%*O916</f>
        <v/>
      </c>
      <c r="V916" s="15">
        <f>IF(P916&gt;=6750,(I916*K916*40%),0)</f>
        <v/>
      </c>
      <c r="W916" s="15">
        <f>IF(P916&lt;6750,0,IF(Q916="",0,IF(OR(Q916="KURANG",Q916="SANGAT KURANG"),I916*K916*10%,I916*K916*20%)))</f>
        <v/>
      </c>
      <c r="X916" s="15">
        <f>SUM(U916:W916)*68%</f>
        <v/>
      </c>
      <c r="Y916" s="15">
        <f>I916*L916</f>
        <v/>
      </c>
      <c r="Z916" s="15">
        <f>Y916 * 68%</f>
        <v/>
      </c>
      <c r="AA916" s="15">
        <f>I916*M916</f>
        <v/>
      </c>
      <c r="AB916" s="15">
        <f>AA916*68%</f>
        <v/>
      </c>
      <c r="AC916" s="16">
        <f>ROUND((T916+X916+Z916+AB916),0)</f>
        <v/>
      </c>
      <c r="AD916" s="16">
        <f>AG916</f>
        <v/>
      </c>
      <c r="AE916" s="16">
        <f>AI916</f>
        <v/>
      </c>
      <c r="AF916" s="16">
        <f>AC916+AD916+AE916</f>
        <v/>
      </c>
      <c r="AG916" s="16" t="n"/>
      <c r="AH916" s="17" t="n"/>
      <c r="AI916" s="17">
        <f>AH916*4</f>
        <v/>
      </c>
      <c r="AJ916" s="15">
        <f>AF916-AG916-AH916-AI916</f>
        <v/>
      </c>
      <c r="AK916" s="18" t="n">
        <v>909</v>
      </c>
      <c r="AL916" s="23" t="n"/>
    </row>
    <row r="917" ht="23.5" customHeight="1">
      <c r="A917" s="6" t="inlineStr">
        <is>
          <t>910</t>
        </is>
      </c>
      <c r="B917" s="24" t="n"/>
      <c r="C917" s="55" t="n"/>
      <c r="D917" s="19" t="n"/>
      <c r="E917" s="24" t="n"/>
      <c r="F917" s="25" t="n"/>
      <c r="G917" s="25" t="n"/>
      <c r="H917" s="25" t="n"/>
      <c r="I917" s="11" t="n"/>
      <c r="J917" s="57" t="n"/>
      <c r="K917" s="12" t="n"/>
      <c r="L917" s="22" t="n"/>
      <c r="M917" s="13" t="n"/>
      <c r="N917" s="14">
        <f>ROUND(I917*(SUM(J917:M917))*68%,0)</f>
        <v/>
      </c>
      <c r="O917" s="61" t="n"/>
      <c r="P917" s="59" t="n"/>
      <c r="Q917" s="59" t="n"/>
      <c r="R917" s="58" t="n"/>
      <c r="S917" s="15">
        <f>I917*J917</f>
        <v/>
      </c>
      <c r="T917" s="15">
        <f>SUM(S917:S917)*68%</f>
        <v/>
      </c>
      <c r="U917" s="15">
        <f>I917*K917*40%*O917</f>
        <v/>
      </c>
      <c r="V917" s="15">
        <f>IF(P917&gt;=6750,(I917*K917*40%),0)</f>
        <v/>
      </c>
      <c r="W917" s="15">
        <f>IF(P917&lt;6750,0,IF(Q917="",0,IF(OR(Q917="KURANG",Q917="SANGAT KURANG"),I917*K917*10%,I917*K917*20%)))</f>
        <v/>
      </c>
      <c r="X917" s="15">
        <f>SUM(U917:W917)*68%</f>
        <v/>
      </c>
      <c r="Y917" s="15">
        <f>I917*L917</f>
        <v/>
      </c>
      <c r="Z917" s="15">
        <f>Y917 * 68%</f>
        <v/>
      </c>
      <c r="AA917" s="15">
        <f>I917*M917</f>
        <v/>
      </c>
      <c r="AB917" s="15">
        <f>AA917*68%</f>
        <v/>
      </c>
      <c r="AC917" s="16">
        <f>ROUND((T917+X917+Z917+AB917),0)</f>
        <v/>
      </c>
      <c r="AD917" s="16">
        <f>AG917</f>
        <v/>
      </c>
      <c r="AE917" s="16">
        <f>AI917</f>
        <v/>
      </c>
      <c r="AF917" s="16">
        <f>AC917+AD917+AE917</f>
        <v/>
      </c>
      <c r="AG917" s="16" t="n"/>
      <c r="AH917" s="17" t="n"/>
      <c r="AI917" s="17">
        <f>AH917*4</f>
        <v/>
      </c>
      <c r="AJ917" s="15">
        <f>AF917-AG917-AH917-AI917</f>
        <v/>
      </c>
      <c r="AK917" s="18" t="n">
        <v>910</v>
      </c>
      <c r="AL917" s="23" t="n"/>
    </row>
    <row r="918" ht="23.5" customHeight="1">
      <c r="A918" s="6" t="inlineStr">
        <is>
          <t>911</t>
        </is>
      </c>
      <c r="B918" s="24" t="n"/>
      <c r="C918" s="55" t="n"/>
      <c r="D918" s="19" t="n"/>
      <c r="E918" s="24" t="n"/>
      <c r="F918" s="25" t="n"/>
      <c r="G918" s="25" t="n"/>
      <c r="H918" s="25" t="n"/>
      <c r="I918" s="11" t="n"/>
      <c r="J918" s="57" t="n"/>
      <c r="K918" s="12" t="n"/>
      <c r="L918" s="22" t="n"/>
      <c r="M918" s="13" t="n"/>
      <c r="N918" s="14">
        <f>ROUND(I918*(SUM(J918:M918))*68%,0)</f>
        <v/>
      </c>
      <c r="O918" s="61" t="n"/>
      <c r="P918" s="59" t="n"/>
      <c r="Q918" s="59" t="n"/>
      <c r="R918" s="58" t="n"/>
      <c r="S918" s="15">
        <f>I918*J918</f>
        <v/>
      </c>
      <c r="T918" s="15">
        <f>SUM(S918:S918)*68%</f>
        <v/>
      </c>
      <c r="U918" s="15">
        <f>I918*K918*40%*O918</f>
        <v/>
      </c>
      <c r="V918" s="15">
        <f>IF(P918&gt;=6750,(I918*K918*40%),0)</f>
        <v/>
      </c>
      <c r="W918" s="15">
        <f>IF(P918&lt;6750,0,IF(Q918="",0,IF(OR(Q918="KURANG",Q918="SANGAT KURANG"),I918*K918*10%,I918*K918*20%)))</f>
        <v/>
      </c>
      <c r="X918" s="15">
        <f>SUM(U918:W918)*68%</f>
        <v/>
      </c>
      <c r="Y918" s="15">
        <f>I918*L918</f>
        <v/>
      </c>
      <c r="Z918" s="15">
        <f>Y918 * 68%</f>
        <v/>
      </c>
      <c r="AA918" s="15">
        <f>I918*M918</f>
        <v/>
      </c>
      <c r="AB918" s="15">
        <f>AA918*68%</f>
        <v/>
      </c>
      <c r="AC918" s="16">
        <f>ROUND((T918+X918+Z918+AB918),0)</f>
        <v/>
      </c>
      <c r="AD918" s="16">
        <f>AG918</f>
        <v/>
      </c>
      <c r="AE918" s="16">
        <f>AI918</f>
        <v/>
      </c>
      <c r="AF918" s="16">
        <f>AC918+AD918+AE918</f>
        <v/>
      </c>
      <c r="AG918" s="16" t="n"/>
      <c r="AH918" s="17" t="n"/>
      <c r="AI918" s="17">
        <f>AH918*4</f>
        <v/>
      </c>
      <c r="AJ918" s="15">
        <f>AF918-AG918-AH918-AI918</f>
        <v/>
      </c>
      <c r="AK918" s="18" t="n">
        <v>911</v>
      </c>
      <c r="AL918" s="40" t="n"/>
    </row>
    <row r="919" ht="23.5" customHeight="1">
      <c r="A919" s="6" t="inlineStr">
        <is>
          <t>912</t>
        </is>
      </c>
      <c r="B919" s="24" t="n"/>
      <c r="C919" s="55" t="n"/>
      <c r="D919" s="19" t="n"/>
      <c r="E919" s="24" t="n"/>
      <c r="F919" s="25" t="n"/>
      <c r="G919" s="25" t="n"/>
      <c r="H919" s="25" t="n"/>
      <c r="I919" s="11" t="n"/>
      <c r="J919" s="57" t="n"/>
      <c r="K919" s="12" t="n"/>
      <c r="L919" s="22" t="n"/>
      <c r="M919" s="13" t="n"/>
      <c r="N919" s="14">
        <f>ROUND(I919*(SUM(J919:M919))*68%,0)</f>
        <v/>
      </c>
      <c r="O919" s="61" t="n"/>
      <c r="P919" s="59" t="n"/>
      <c r="Q919" s="59" t="n"/>
      <c r="R919" s="58" t="n"/>
      <c r="S919" s="15">
        <f>I919*J919</f>
        <v/>
      </c>
      <c r="T919" s="15">
        <f>SUM(S919:S919)*68%</f>
        <v/>
      </c>
      <c r="U919" s="15">
        <f>I919*K919*40%*O919</f>
        <v/>
      </c>
      <c r="V919" s="15">
        <f>IF(P919&gt;=6750,(I919*K919*40%),0)</f>
        <v/>
      </c>
      <c r="W919" s="15">
        <f>IF(P919&lt;6750,0,IF(Q919="",0,IF(OR(Q919="KURANG",Q919="SANGAT KURANG"),I919*K919*10%,I919*K919*20%)))</f>
        <v/>
      </c>
      <c r="X919" s="15">
        <f>SUM(U919:W919)*68%</f>
        <v/>
      </c>
      <c r="Y919" s="15">
        <f>I919*L919</f>
        <v/>
      </c>
      <c r="Z919" s="15">
        <f>Y919 * 68%</f>
        <v/>
      </c>
      <c r="AA919" s="15">
        <f>I919*M919</f>
        <v/>
      </c>
      <c r="AB919" s="15">
        <f>AA919*68%</f>
        <v/>
      </c>
      <c r="AC919" s="16">
        <f>ROUND((T919+X919+Z919+AB919),0)</f>
        <v/>
      </c>
      <c r="AD919" s="16">
        <f>AG919</f>
        <v/>
      </c>
      <c r="AE919" s="16">
        <f>AI919</f>
        <v/>
      </c>
      <c r="AF919" s="16">
        <f>AC919+AD919+AE919</f>
        <v/>
      </c>
      <c r="AG919" s="16" t="n"/>
      <c r="AH919" s="17" t="n"/>
      <c r="AI919" s="17">
        <f>AH919*4</f>
        <v/>
      </c>
      <c r="AJ919" s="15">
        <f>AF919-AG919-AH919-AI919</f>
        <v/>
      </c>
      <c r="AK919" s="18" t="n">
        <v>912</v>
      </c>
      <c r="AL919" s="23" t="n"/>
    </row>
    <row r="920" ht="23.5" customHeight="1">
      <c r="A920" s="6" t="inlineStr">
        <is>
          <t>913</t>
        </is>
      </c>
      <c r="B920" s="24" t="n"/>
      <c r="C920" s="55" t="n"/>
      <c r="D920" s="19" t="n"/>
      <c r="E920" s="24" t="n"/>
      <c r="F920" s="25" t="n"/>
      <c r="G920" s="25" t="n"/>
      <c r="H920" s="25" t="n"/>
      <c r="I920" s="11" t="n"/>
      <c r="J920" s="57" t="n"/>
      <c r="K920" s="12" t="n"/>
      <c r="L920" s="22" t="n"/>
      <c r="M920" s="13" t="n"/>
      <c r="N920" s="14">
        <f>ROUND(I920*(SUM(J920:M920))*68%,0)</f>
        <v/>
      </c>
      <c r="O920" s="61" t="n"/>
      <c r="P920" s="59" t="n"/>
      <c r="Q920" s="59" t="n"/>
      <c r="R920" s="58" t="n"/>
      <c r="S920" s="15">
        <f>I920*J920</f>
        <v/>
      </c>
      <c r="T920" s="15">
        <f>SUM(S920:S920)*68%</f>
        <v/>
      </c>
      <c r="U920" s="15">
        <f>I920*K920*40%*O920</f>
        <v/>
      </c>
      <c r="V920" s="15">
        <f>IF(P920&gt;=6750,(I920*K920*40%),0)</f>
        <v/>
      </c>
      <c r="W920" s="15">
        <f>IF(P920&lt;6750,0,IF(Q920="",0,IF(OR(Q920="KURANG",Q920="SANGAT KURANG"),I920*K920*10%,I920*K920*20%)))</f>
        <v/>
      </c>
      <c r="X920" s="15">
        <f>SUM(U920:W920)*68%</f>
        <v/>
      </c>
      <c r="Y920" s="15">
        <f>I920*L920</f>
        <v/>
      </c>
      <c r="Z920" s="15">
        <f>Y920 * 68%</f>
        <v/>
      </c>
      <c r="AA920" s="15">
        <f>I920*M920</f>
        <v/>
      </c>
      <c r="AB920" s="15">
        <f>AA920*68%</f>
        <v/>
      </c>
      <c r="AC920" s="16">
        <f>ROUND((T920+X920+Z920+AB920),0)</f>
        <v/>
      </c>
      <c r="AD920" s="16">
        <f>AG920</f>
        <v/>
      </c>
      <c r="AE920" s="16">
        <f>AI920</f>
        <v/>
      </c>
      <c r="AF920" s="16">
        <f>AC920+AD920+AE920</f>
        <v/>
      </c>
      <c r="AG920" s="16" t="n"/>
      <c r="AH920" s="17" t="n"/>
      <c r="AI920" s="17">
        <f>AH920*4</f>
        <v/>
      </c>
      <c r="AJ920" s="15">
        <f>AF920-AG920-AH920-AI920</f>
        <v/>
      </c>
      <c r="AK920" s="18" t="n">
        <v>913</v>
      </c>
      <c r="AL920" s="23" t="n"/>
    </row>
    <row r="921" ht="23.5" customHeight="1">
      <c r="A921" s="6" t="inlineStr">
        <is>
          <t>914</t>
        </is>
      </c>
      <c r="B921" s="24" t="n"/>
      <c r="C921" s="55" t="n"/>
      <c r="D921" s="19" t="n"/>
      <c r="E921" s="24" t="n"/>
      <c r="F921" s="25" t="n"/>
      <c r="G921" s="25" t="n"/>
      <c r="H921" s="25" t="n"/>
      <c r="I921" s="11" t="n"/>
      <c r="J921" s="57" t="n"/>
      <c r="K921" s="12" t="n"/>
      <c r="L921" s="22" t="n"/>
      <c r="M921" s="13" t="n"/>
      <c r="N921" s="14">
        <f>ROUND(I921*(SUM(J921:M921))*68%,0)</f>
        <v/>
      </c>
      <c r="O921" s="61" t="n"/>
      <c r="P921" s="59" t="n"/>
      <c r="Q921" s="59" t="n"/>
      <c r="R921" s="58" t="n"/>
      <c r="S921" s="15">
        <f>I921*J921</f>
        <v/>
      </c>
      <c r="T921" s="15">
        <f>SUM(S921:S921)*68%</f>
        <v/>
      </c>
      <c r="U921" s="15">
        <f>I921*K921*40%*O921</f>
        <v/>
      </c>
      <c r="V921" s="15">
        <f>IF(P921&gt;=6750,(I921*K921*40%),0)</f>
        <v/>
      </c>
      <c r="W921" s="15">
        <f>IF(P921&lt;6750,0,IF(Q921="",0,IF(OR(Q921="KURANG",Q921="SANGAT KURANG"),I921*K921*10%,I921*K921*20%)))</f>
        <v/>
      </c>
      <c r="X921" s="15">
        <f>SUM(U921:W921)*68%</f>
        <v/>
      </c>
      <c r="Y921" s="15">
        <f>I921*L921</f>
        <v/>
      </c>
      <c r="Z921" s="15">
        <f>Y921 * 68%</f>
        <v/>
      </c>
      <c r="AA921" s="15">
        <f>I921*M921</f>
        <v/>
      </c>
      <c r="AB921" s="15">
        <f>AA921*68%</f>
        <v/>
      </c>
      <c r="AC921" s="16">
        <f>ROUND((T921+X921+Z921+AB921),0)</f>
        <v/>
      </c>
      <c r="AD921" s="16">
        <f>AG921</f>
        <v/>
      </c>
      <c r="AE921" s="16">
        <f>AI921</f>
        <v/>
      </c>
      <c r="AF921" s="16">
        <f>AC921+AD921+AE921</f>
        <v/>
      </c>
      <c r="AG921" s="16" t="n"/>
      <c r="AH921" s="17" t="n"/>
      <c r="AI921" s="17">
        <f>AH921*4</f>
        <v/>
      </c>
      <c r="AJ921" s="15">
        <f>AF921-AG921-AH921-AI921</f>
        <v/>
      </c>
      <c r="AK921" s="18" t="n">
        <v>914</v>
      </c>
      <c r="AL921" s="40" t="n"/>
    </row>
    <row r="922" ht="23.5" customHeight="1">
      <c r="A922" s="6" t="inlineStr">
        <is>
          <t>915</t>
        </is>
      </c>
      <c r="B922" s="24" t="n"/>
      <c r="C922" s="55" t="n"/>
      <c r="D922" s="19" t="n"/>
      <c r="E922" s="24" t="n"/>
      <c r="F922" s="25" t="n"/>
      <c r="G922" s="25" t="n"/>
      <c r="H922" s="25" t="n"/>
      <c r="I922" s="11" t="n"/>
      <c r="J922" s="57" t="n"/>
      <c r="K922" s="12" t="n"/>
      <c r="L922" s="22" t="n"/>
      <c r="M922" s="13" t="n"/>
      <c r="N922" s="14">
        <f>ROUND(I922*(SUM(J922:M922))*68%,0)</f>
        <v/>
      </c>
      <c r="O922" s="61" t="n"/>
      <c r="P922" s="59" t="n"/>
      <c r="Q922" s="59" t="n"/>
      <c r="R922" s="58" t="n"/>
      <c r="S922" s="15">
        <f>I922*J922</f>
        <v/>
      </c>
      <c r="T922" s="15">
        <f>SUM(S922:S922)*68%</f>
        <v/>
      </c>
      <c r="U922" s="15">
        <f>I922*K922*40%*O922</f>
        <v/>
      </c>
      <c r="V922" s="15">
        <f>IF(P922&gt;=6750,(I922*K922*40%),0)</f>
        <v/>
      </c>
      <c r="W922" s="15">
        <f>IF(P922&lt;6750,0,IF(Q922="",0,IF(OR(Q922="KURANG",Q922="SANGAT KURANG"),I922*K922*10%,I922*K922*20%)))</f>
        <v/>
      </c>
      <c r="X922" s="15">
        <f>SUM(U922:W922)*68%</f>
        <v/>
      </c>
      <c r="Y922" s="15">
        <f>I922*L922</f>
        <v/>
      </c>
      <c r="Z922" s="15">
        <f>Y922 * 68%</f>
        <v/>
      </c>
      <c r="AA922" s="15">
        <f>I922*M922</f>
        <v/>
      </c>
      <c r="AB922" s="15">
        <f>AA922*68%</f>
        <v/>
      </c>
      <c r="AC922" s="16">
        <f>ROUND((T922+X922+Z922+AB922),0)</f>
        <v/>
      </c>
      <c r="AD922" s="16">
        <f>AG922</f>
        <v/>
      </c>
      <c r="AE922" s="16">
        <f>AI922</f>
        <v/>
      </c>
      <c r="AF922" s="16">
        <f>AC922+AD922+AE922</f>
        <v/>
      </c>
      <c r="AG922" s="16" t="n"/>
      <c r="AH922" s="17" t="n"/>
      <c r="AI922" s="17">
        <f>AH922*4</f>
        <v/>
      </c>
      <c r="AJ922" s="15">
        <f>AF922-AG922-AH922-AI922</f>
        <v/>
      </c>
      <c r="AK922" s="18" t="n">
        <v>915</v>
      </c>
      <c r="AL922" s="23" t="n"/>
    </row>
    <row r="923" ht="23.5" customHeight="1">
      <c r="A923" s="6" t="inlineStr">
        <is>
          <t>916</t>
        </is>
      </c>
      <c r="B923" s="24" t="n"/>
      <c r="C923" s="55" t="n"/>
      <c r="D923" s="19" t="n"/>
      <c r="E923" s="24" t="n"/>
      <c r="F923" s="25" t="n"/>
      <c r="G923" s="25" t="n"/>
      <c r="H923" s="25" t="n"/>
      <c r="I923" s="11" t="n"/>
      <c r="J923" s="57" t="n"/>
      <c r="K923" s="12" t="n"/>
      <c r="L923" s="22" t="n"/>
      <c r="M923" s="13" t="n"/>
      <c r="N923" s="14">
        <f>ROUND(I923*(SUM(J923:M923))*68%,0)</f>
        <v/>
      </c>
      <c r="O923" s="61" t="n"/>
      <c r="P923" s="59" t="n"/>
      <c r="Q923" s="59" t="n"/>
      <c r="R923" s="58" t="n"/>
      <c r="S923" s="15">
        <f>I923*J923</f>
        <v/>
      </c>
      <c r="T923" s="15">
        <f>SUM(S923:S923)*68%</f>
        <v/>
      </c>
      <c r="U923" s="15">
        <f>I923*K923*40%*O923</f>
        <v/>
      </c>
      <c r="V923" s="15">
        <f>IF(P923&gt;=6750,(I923*K923*40%),0)</f>
        <v/>
      </c>
      <c r="W923" s="15">
        <f>IF(P923&lt;6750,0,IF(Q923="",0,IF(OR(Q923="KURANG",Q923="SANGAT KURANG"),I923*K923*10%,I923*K923*20%)))</f>
        <v/>
      </c>
      <c r="X923" s="15">
        <f>SUM(U923:W923)*68%</f>
        <v/>
      </c>
      <c r="Y923" s="15">
        <f>I923*L923</f>
        <v/>
      </c>
      <c r="Z923" s="15">
        <f>Y923 * 68%</f>
        <v/>
      </c>
      <c r="AA923" s="15">
        <f>I923*M923</f>
        <v/>
      </c>
      <c r="AB923" s="15">
        <f>AA923*68%</f>
        <v/>
      </c>
      <c r="AC923" s="16">
        <f>ROUND((T923+X923+Z923+AB923),0)</f>
        <v/>
      </c>
      <c r="AD923" s="16">
        <f>AG923</f>
        <v/>
      </c>
      <c r="AE923" s="16">
        <f>AI923</f>
        <v/>
      </c>
      <c r="AF923" s="16">
        <f>AC923+AD923+AE923</f>
        <v/>
      </c>
      <c r="AG923" s="16" t="n"/>
      <c r="AH923" s="17" t="n"/>
      <c r="AI923" s="17">
        <f>AH923*4</f>
        <v/>
      </c>
      <c r="AJ923" s="15">
        <f>AF923-AG923-AH923-AI923</f>
        <v/>
      </c>
      <c r="AK923" s="18" t="n">
        <v>916</v>
      </c>
      <c r="AL923" s="23" t="n"/>
    </row>
    <row r="924" ht="23.5" customHeight="1">
      <c r="A924" s="6" t="inlineStr">
        <is>
          <t>917</t>
        </is>
      </c>
      <c r="B924" s="24" t="n"/>
      <c r="C924" s="55" t="n"/>
      <c r="D924" s="19" t="n"/>
      <c r="E924" s="24" t="n"/>
      <c r="F924" s="25" t="n"/>
      <c r="G924" s="25" t="n"/>
      <c r="H924" s="25" t="n"/>
      <c r="I924" s="11" t="n"/>
      <c r="J924" s="57" t="n"/>
      <c r="K924" s="12" t="n"/>
      <c r="L924" s="22" t="n"/>
      <c r="M924" s="13" t="n"/>
      <c r="N924" s="14">
        <f>ROUND(I924*(SUM(J924:M924))*68%,0)</f>
        <v/>
      </c>
      <c r="O924" s="61" t="n"/>
      <c r="P924" s="59" t="n"/>
      <c r="Q924" s="59" t="n"/>
      <c r="R924" s="58" t="n"/>
      <c r="S924" s="15">
        <f>I924*J924</f>
        <v/>
      </c>
      <c r="T924" s="15">
        <f>SUM(S924:S924)*68%</f>
        <v/>
      </c>
      <c r="U924" s="15">
        <f>I924*K924*40%*O924</f>
        <v/>
      </c>
      <c r="V924" s="15">
        <f>IF(P924&gt;=6750,(I924*K924*40%),0)</f>
        <v/>
      </c>
      <c r="W924" s="15">
        <f>IF(P924&lt;6750,0,IF(Q924="",0,IF(OR(Q924="KURANG",Q924="SANGAT KURANG"),I924*K924*10%,I924*K924*20%)))</f>
        <v/>
      </c>
      <c r="X924" s="15">
        <f>SUM(U924:W924)*68%</f>
        <v/>
      </c>
      <c r="Y924" s="15">
        <f>I924*L924</f>
        <v/>
      </c>
      <c r="Z924" s="15">
        <f>Y924 * 68%</f>
        <v/>
      </c>
      <c r="AA924" s="15">
        <f>I924*M924</f>
        <v/>
      </c>
      <c r="AB924" s="15">
        <f>AA924*68%</f>
        <v/>
      </c>
      <c r="AC924" s="16">
        <f>ROUND((T924+X924+Z924+AB924),0)</f>
        <v/>
      </c>
      <c r="AD924" s="16">
        <f>AG924</f>
        <v/>
      </c>
      <c r="AE924" s="16">
        <f>AI924</f>
        <v/>
      </c>
      <c r="AF924" s="16">
        <f>AC924+AD924+AE924</f>
        <v/>
      </c>
      <c r="AG924" s="16" t="n"/>
      <c r="AH924" s="17" t="n"/>
      <c r="AI924" s="17">
        <f>AH924*4</f>
        <v/>
      </c>
      <c r="AJ924" s="15">
        <f>AF924-AG924-AH924-AI924</f>
        <v/>
      </c>
      <c r="AK924" s="18" t="n">
        <v>917</v>
      </c>
      <c r="AL924" s="40" t="n"/>
    </row>
    <row r="925" ht="23.5" customHeight="1">
      <c r="A925" s="6" t="inlineStr">
        <is>
          <t>918</t>
        </is>
      </c>
      <c r="B925" s="24" t="n"/>
      <c r="C925" s="55" t="n"/>
      <c r="D925" s="19" t="n"/>
      <c r="E925" s="24" t="n"/>
      <c r="F925" s="25" t="n"/>
      <c r="G925" s="25" t="n"/>
      <c r="H925" s="25" t="n"/>
      <c r="I925" s="11" t="n"/>
      <c r="J925" s="57" t="n"/>
      <c r="K925" s="12" t="n"/>
      <c r="L925" s="22" t="n"/>
      <c r="M925" s="13" t="n"/>
      <c r="N925" s="14">
        <f>ROUND(I925*(SUM(J925:M925))*68%,0)</f>
        <v/>
      </c>
      <c r="O925" s="61" t="n"/>
      <c r="P925" s="59" t="n"/>
      <c r="Q925" s="59" t="n"/>
      <c r="R925" s="58" t="n"/>
      <c r="S925" s="15">
        <f>I925*J925</f>
        <v/>
      </c>
      <c r="T925" s="15">
        <f>SUM(S925:S925)*68%</f>
        <v/>
      </c>
      <c r="U925" s="15">
        <f>I925*K925*40%*O925</f>
        <v/>
      </c>
      <c r="V925" s="15">
        <f>IF(P925&gt;=6750,(I925*K925*40%),0)</f>
        <v/>
      </c>
      <c r="W925" s="15">
        <f>IF(P925&lt;6750,0,IF(Q925="",0,IF(OR(Q925="KURANG",Q925="SANGAT KURANG"),I925*K925*10%,I925*K925*20%)))</f>
        <v/>
      </c>
      <c r="X925" s="15">
        <f>SUM(U925:W925)*68%</f>
        <v/>
      </c>
      <c r="Y925" s="15">
        <f>I925*L925</f>
        <v/>
      </c>
      <c r="Z925" s="15">
        <f>Y925 * 68%</f>
        <v/>
      </c>
      <c r="AA925" s="15">
        <f>I925*M925</f>
        <v/>
      </c>
      <c r="AB925" s="15">
        <f>AA925*68%</f>
        <v/>
      </c>
      <c r="AC925" s="16">
        <f>ROUND((T925+X925+Z925+AB925),0)</f>
        <v/>
      </c>
      <c r="AD925" s="16">
        <f>AG925</f>
        <v/>
      </c>
      <c r="AE925" s="16">
        <f>AI925</f>
        <v/>
      </c>
      <c r="AF925" s="16">
        <f>AC925+AD925+AE925</f>
        <v/>
      </c>
      <c r="AG925" s="16" t="n"/>
      <c r="AH925" s="17" t="n"/>
      <c r="AI925" s="17">
        <f>AH925*4</f>
        <v/>
      </c>
      <c r="AJ925" s="15">
        <f>AF925-AG925-AH925-AI925</f>
        <v/>
      </c>
      <c r="AK925" s="18" t="n">
        <v>918</v>
      </c>
      <c r="AL925" s="23" t="n"/>
    </row>
    <row r="926" ht="23.5" customHeight="1">
      <c r="A926" s="6" t="inlineStr">
        <is>
          <t>919</t>
        </is>
      </c>
      <c r="B926" s="24" t="n"/>
      <c r="C926" s="55" t="n"/>
      <c r="D926" s="19" t="n"/>
      <c r="E926" s="24" t="n"/>
      <c r="F926" s="25" t="n"/>
      <c r="G926" s="25" t="n"/>
      <c r="H926" s="25" t="n"/>
      <c r="I926" s="11" t="n"/>
      <c r="J926" s="57" t="n"/>
      <c r="K926" s="12" t="n"/>
      <c r="L926" s="22" t="n"/>
      <c r="M926" s="13" t="n"/>
      <c r="N926" s="14">
        <f>ROUND(I926*(SUM(J926:M926))*68%,0)</f>
        <v/>
      </c>
      <c r="O926" s="61" t="n"/>
      <c r="P926" s="59" t="n"/>
      <c r="Q926" s="59" t="n"/>
      <c r="R926" s="58" t="n"/>
      <c r="S926" s="15">
        <f>I926*J926</f>
        <v/>
      </c>
      <c r="T926" s="15">
        <f>SUM(S926:S926)*68%</f>
        <v/>
      </c>
      <c r="U926" s="15">
        <f>I926*K926*40%*O926</f>
        <v/>
      </c>
      <c r="V926" s="15">
        <f>IF(P926&gt;=6750,(I926*K926*40%),0)</f>
        <v/>
      </c>
      <c r="W926" s="15">
        <f>IF(P926&lt;6750,0,IF(Q926="",0,IF(OR(Q926="KURANG",Q926="SANGAT KURANG"),I926*K926*10%,I926*K926*20%)))</f>
        <v/>
      </c>
      <c r="X926" s="15">
        <f>SUM(U926:W926)*68%</f>
        <v/>
      </c>
      <c r="Y926" s="15">
        <f>I926*L926</f>
        <v/>
      </c>
      <c r="Z926" s="15">
        <f>Y926 * 68%</f>
        <v/>
      </c>
      <c r="AA926" s="15">
        <f>I926*M926</f>
        <v/>
      </c>
      <c r="AB926" s="15">
        <f>AA926*68%</f>
        <v/>
      </c>
      <c r="AC926" s="16">
        <f>ROUND((T926+X926+Z926+AB926),0)</f>
        <v/>
      </c>
      <c r="AD926" s="16">
        <f>AG926</f>
        <v/>
      </c>
      <c r="AE926" s="16">
        <f>AI926</f>
        <v/>
      </c>
      <c r="AF926" s="16">
        <f>AC926+AD926+AE926</f>
        <v/>
      </c>
      <c r="AG926" s="16" t="n"/>
      <c r="AH926" s="17" t="n"/>
      <c r="AI926" s="17">
        <f>AH926*4</f>
        <v/>
      </c>
      <c r="AJ926" s="15">
        <f>AF926-AG926-AH926-AI926</f>
        <v/>
      </c>
      <c r="AK926" s="18" t="n">
        <v>919</v>
      </c>
      <c r="AL926" s="23" t="n"/>
    </row>
    <row r="927" ht="23.5" customHeight="1">
      <c r="A927" s="6" t="inlineStr">
        <is>
          <t>920</t>
        </is>
      </c>
      <c r="B927" s="24" t="n"/>
      <c r="C927" s="55" t="n"/>
      <c r="D927" s="19" t="n"/>
      <c r="E927" s="24" t="n"/>
      <c r="F927" s="25" t="n"/>
      <c r="G927" s="25" t="n"/>
      <c r="H927" s="25" t="n"/>
      <c r="I927" s="11" t="n"/>
      <c r="J927" s="57" t="n"/>
      <c r="K927" s="12" t="n"/>
      <c r="L927" s="22" t="n"/>
      <c r="M927" s="13" t="n"/>
      <c r="N927" s="14">
        <f>ROUND(I927*(SUM(J927:M927))*68%,0)</f>
        <v/>
      </c>
      <c r="O927" s="61" t="n"/>
      <c r="P927" s="59" t="n"/>
      <c r="Q927" s="59" t="n"/>
      <c r="R927" s="58" t="n"/>
      <c r="S927" s="15">
        <f>I927*J927</f>
        <v/>
      </c>
      <c r="T927" s="15">
        <f>SUM(S927:S927)*68%</f>
        <v/>
      </c>
      <c r="U927" s="15">
        <f>I927*K927*40%*O927</f>
        <v/>
      </c>
      <c r="V927" s="15">
        <f>IF(P927&gt;=6750,(I927*K927*40%),0)</f>
        <v/>
      </c>
      <c r="W927" s="15">
        <f>IF(P927&lt;6750,0,IF(Q927="",0,IF(OR(Q927="KURANG",Q927="SANGAT KURANG"),I927*K927*10%,I927*K927*20%)))</f>
        <v/>
      </c>
      <c r="X927" s="15">
        <f>SUM(U927:W927)*68%</f>
        <v/>
      </c>
      <c r="Y927" s="15">
        <f>I927*L927</f>
        <v/>
      </c>
      <c r="Z927" s="15">
        <f>Y927 * 68%</f>
        <v/>
      </c>
      <c r="AA927" s="15">
        <f>I927*M927</f>
        <v/>
      </c>
      <c r="AB927" s="15">
        <f>AA927*68%</f>
        <v/>
      </c>
      <c r="AC927" s="16">
        <f>ROUND((T927+X927+Z927+AB927),0)</f>
        <v/>
      </c>
      <c r="AD927" s="16">
        <f>AG927</f>
        <v/>
      </c>
      <c r="AE927" s="16">
        <f>AI927</f>
        <v/>
      </c>
      <c r="AF927" s="16">
        <f>AC927+AD927+AE927</f>
        <v/>
      </c>
      <c r="AG927" s="16" t="n"/>
      <c r="AH927" s="17" t="n"/>
      <c r="AI927" s="17">
        <f>AH927*4</f>
        <v/>
      </c>
      <c r="AJ927" s="15">
        <f>AF927-AG927-AH927-AI927</f>
        <v/>
      </c>
      <c r="AK927" s="18" t="n">
        <v>920</v>
      </c>
      <c r="AL927" s="40" t="n"/>
    </row>
    <row r="928" ht="23.5" customHeight="1">
      <c r="A928" s="6" t="inlineStr">
        <is>
          <t>921</t>
        </is>
      </c>
      <c r="B928" s="24" t="n"/>
      <c r="C928" s="55" t="n"/>
      <c r="D928" s="19" t="n"/>
      <c r="E928" s="24" t="n"/>
      <c r="F928" s="25" t="n"/>
      <c r="G928" s="25" t="n"/>
      <c r="H928" s="25" t="n"/>
      <c r="I928" s="11" t="n"/>
      <c r="J928" s="57" t="n"/>
      <c r="K928" s="12" t="n"/>
      <c r="L928" s="22" t="n"/>
      <c r="M928" s="13" t="n"/>
      <c r="N928" s="14">
        <f>ROUND(I928*(SUM(J928:M928))*68%,0)</f>
        <v/>
      </c>
      <c r="O928" s="61" t="n"/>
      <c r="P928" s="59" t="n"/>
      <c r="Q928" s="59" t="n"/>
      <c r="R928" s="58" t="n"/>
      <c r="S928" s="15">
        <f>I928*J928</f>
        <v/>
      </c>
      <c r="T928" s="15">
        <f>SUM(S928:S928)*68%</f>
        <v/>
      </c>
      <c r="U928" s="15">
        <f>I928*K928*40%*O928</f>
        <v/>
      </c>
      <c r="V928" s="15">
        <f>IF(P928&gt;=6750,(I928*K928*40%),0)</f>
        <v/>
      </c>
      <c r="W928" s="15">
        <f>IF(P928&lt;6750,0,IF(Q928="",0,IF(OR(Q928="KURANG",Q928="SANGAT KURANG"),I928*K928*10%,I928*K928*20%)))</f>
        <v/>
      </c>
      <c r="X928" s="15">
        <f>SUM(U928:W928)*68%</f>
        <v/>
      </c>
      <c r="Y928" s="15">
        <f>I928*L928</f>
        <v/>
      </c>
      <c r="Z928" s="15">
        <f>Y928 * 68%</f>
        <v/>
      </c>
      <c r="AA928" s="15">
        <f>I928*M928</f>
        <v/>
      </c>
      <c r="AB928" s="15">
        <f>AA928*68%</f>
        <v/>
      </c>
      <c r="AC928" s="16">
        <f>ROUND((T928+X928+Z928+AB928),0)</f>
        <v/>
      </c>
      <c r="AD928" s="16">
        <f>AG928</f>
        <v/>
      </c>
      <c r="AE928" s="16">
        <f>AI928</f>
        <v/>
      </c>
      <c r="AF928" s="16">
        <f>AC928+AD928+AE928</f>
        <v/>
      </c>
      <c r="AG928" s="16" t="n"/>
      <c r="AH928" s="17" t="n"/>
      <c r="AI928" s="17">
        <f>AH928*4</f>
        <v/>
      </c>
      <c r="AJ928" s="15">
        <f>AF928-AG928-AH928-AI928</f>
        <v/>
      </c>
      <c r="AK928" s="18" t="n">
        <v>921</v>
      </c>
      <c r="AL928" s="23" t="n"/>
    </row>
    <row r="929" ht="23.5" customHeight="1">
      <c r="A929" s="6" t="inlineStr">
        <is>
          <t>922</t>
        </is>
      </c>
      <c r="B929" s="24" t="n"/>
      <c r="C929" s="55" t="n"/>
      <c r="D929" s="19" t="n"/>
      <c r="E929" s="24" t="n"/>
      <c r="F929" s="25" t="n"/>
      <c r="G929" s="25" t="n"/>
      <c r="H929" s="25" t="n"/>
      <c r="I929" s="11" t="n"/>
      <c r="J929" s="57" t="n"/>
      <c r="K929" s="12" t="n"/>
      <c r="L929" s="22" t="n"/>
      <c r="M929" s="13" t="n"/>
      <c r="N929" s="14">
        <f>ROUND(I929*(SUM(J929:M929))*68%,0)</f>
        <v/>
      </c>
      <c r="O929" s="61" t="n"/>
      <c r="P929" s="59" t="n"/>
      <c r="Q929" s="59" t="n"/>
      <c r="R929" s="58" t="n"/>
      <c r="S929" s="15">
        <f>I929*J929</f>
        <v/>
      </c>
      <c r="T929" s="15">
        <f>SUM(S929:S929)*68%</f>
        <v/>
      </c>
      <c r="U929" s="15">
        <f>I929*K929*40%*O929</f>
        <v/>
      </c>
      <c r="V929" s="15">
        <f>IF(P929&gt;=6750,(I929*K929*40%),0)</f>
        <v/>
      </c>
      <c r="W929" s="15">
        <f>IF(P929&lt;6750,0,IF(Q929="",0,IF(OR(Q929="KURANG",Q929="SANGAT KURANG"),I929*K929*10%,I929*K929*20%)))</f>
        <v/>
      </c>
      <c r="X929" s="15">
        <f>SUM(U929:W929)*68%</f>
        <v/>
      </c>
      <c r="Y929" s="15">
        <f>I929*L929</f>
        <v/>
      </c>
      <c r="Z929" s="15">
        <f>Y929 * 68%</f>
        <v/>
      </c>
      <c r="AA929" s="15">
        <f>I929*M929</f>
        <v/>
      </c>
      <c r="AB929" s="15">
        <f>AA929*68%</f>
        <v/>
      </c>
      <c r="AC929" s="16">
        <f>ROUND((T929+X929+Z929+AB929),0)</f>
        <v/>
      </c>
      <c r="AD929" s="16">
        <f>AG929</f>
        <v/>
      </c>
      <c r="AE929" s="16">
        <f>AI929</f>
        <v/>
      </c>
      <c r="AF929" s="16">
        <f>AC929+AD929+AE929</f>
        <v/>
      </c>
      <c r="AG929" s="16" t="n"/>
      <c r="AH929" s="17" t="n"/>
      <c r="AI929" s="17">
        <f>AH929*4</f>
        <v/>
      </c>
      <c r="AJ929" s="15">
        <f>AF929-AG929-AH929-AI929</f>
        <v/>
      </c>
      <c r="AK929" s="18" t="n">
        <v>922</v>
      </c>
      <c r="AL929" s="23" t="n"/>
    </row>
    <row r="930" ht="23.5" customHeight="1">
      <c r="A930" s="6" t="inlineStr">
        <is>
          <t>923</t>
        </is>
      </c>
      <c r="B930" s="24" t="n"/>
      <c r="C930" s="55" t="n"/>
      <c r="D930" s="19" t="n"/>
      <c r="E930" s="24" t="n"/>
      <c r="F930" s="25" t="n"/>
      <c r="G930" s="25" t="n"/>
      <c r="H930" s="25" t="n"/>
      <c r="I930" s="11" t="n"/>
      <c r="J930" s="57" t="n"/>
      <c r="K930" s="12" t="n"/>
      <c r="L930" s="22" t="n"/>
      <c r="M930" s="13" t="n"/>
      <c r="N930" s="14">
        <f>ROUND(I930*(SUM(J930:M930))*68%,0)</f>
        <v/>
      </c>
      <c r="O930" s="61" t="n"/>
      <c r="P930" s="59" t="n"/>
      <c r="Q930" s="59" t="n"/>
      <c r="R930" s="58" t="n"/>
      <c r="S930" s="15">
        <f>I930*J930</f>
        <v/>
      </c>
      <c r="T930" s="15">
        <f>SUM(S930:S930)*68%</f>
        <v/>
      </c>
      <c r="U930" s="15">
        <f>I930*K930*40%*O930</f>
        <v/>
      </c>
      <c r="V930" s="15">
        <f>IF(P930&gt;=6750,(I930*K930*40%),0)</f>
        <v/>
      </c>
      <c r="W930" s="15">
        <f>IF(P930&lt;6750,0,IF(Q930="",0,IF(OR(Q930="KURANG",Q930="SANGAT KURANG"),I930*K930*10%,I930*K930*20%)))</f>
        <v/>
      </c>
      <c r="X930" s="15">
        <f>SUM(U930:W930)*68%</f>
        <v/>
      </c>
      <c r="Y930" s="15">
        <f>I930*L930</f>
        <v/>
      </c>
      <c r="Z930" s="15">
        <f>Y930 * 68%</f>
        <v/>
      </c>
      <c r="AA930" s="15">
        <f>I930*M930</f>
        <v/>
      </c>
      <c r="AB930" s="15">
        <f>AA930*68%</f>
        <v/>
      </c>
      <c r="AC930" s="16">
        <f>ROUND((T930+X930+Z930+AB930),0)</f>
        <v/>
      </c>
      <c r="AD930" s="16">
        <f>AG930</f>
        <v/>
      </c>
      <c r="AE930" s="16">
        <f>AI930</f>
        <v/>
      </c>
      <c r="AF930" s="16">
        <f>AC930+AD930+AE930</f>
        <v/>
      </c>
      <c r="AG930" s="16" t="n"/>
      <c r="AH930" s="17" t="n"/>
      <c r="AI930" s="17">
        <f>AH930*4</f>
        <v/>
      </c>
      <c r="AJ930" s="15">
        <f>AF930-AG930-AH930-AI930</f>
        <v/>
      </c>
      <c r="AK930" s="18" t="n">
        <v>923</v>
      </c>
      <c r="AL930" s="40" t="n"/>
    </row>
    <row r="931" ht="23.5" customHeight="1">
      <c r="A931" s="6" t="inlineStr">
        <is>
          <t>924</t>
        </is>
      </c>
      <c r="B931" s="28" t="n"/>
      <c r="C931" s="55" t="n"/>
      <c r="D931" s="19" t="n"/>
      <c r="E931" s="24" t="n"/>
      <c r="F931" s="25" t="n"/>
      <c r="G931" s="25" t="n"/>
      <c r="H931" s="25" t="n"/>
      <c r="I931" s="11" t="n"/>
      <c r="J931" s="57" t="n"/>
      <c r="K931" s="12" t="n"/>
      <c r="L931" s="22" t="n"/>
      <c r="M931" s="13" t="n"/>
      <c r="N931" s="14">
        <f>ROUND(I931*(SUM(J931:M931))*68%,0)</f>
        <v/>
      </c>
      <c r="O931" s="61" t="n"/>
      <c r="P931" s="59" t="n"/>
      <c r="Q931" s="59" t="n"/>
      <c r="R931" s="58" t="n"/>
      <c r="S931" s="15">
        <f>I931*J931</f>
        <v/>
      </c>
      <c r="T931" s="15">
        <f>SUM(S931:S931)*68%</f>
        <v/>
      </c>
      <c r="U931" s="15">
        <f>I931*K931*40%*O931</f>
        <v/>
      </c>
      <c r="V931" s="15">
        <f>IF(P931&gt;=6750,(I931*K931*40%),0)</f>
        <v/>
      </c>
      <c r="W931" s="15">
        <f>IF(P931&lt;6750,0,IF(Q931="",0,IF(OR(Q931="KURANG",Q931="SANGAT KURANG"),I931*K931*10%,I931*K931*20%)))</f>
        <v/>
      </c>
      <c r="X931" s="15">
        <f>SUM(U931:W931)*68%</f>
        <v/>
      </c>
      <c r="Y931" s="15">
        <f>I931*L931</f>
        <v/>
      </c>
      <c r="Z931" s="15">
        <f>Y931 * 68%</f>
        <v/>
      </c>
      <c r="AA931" s="15">
        <f>I931*M931</f>
        <v/>
      </c>
      <c r="AB931" s="15">
        <f>AA931*68%</f>
        <v/>
      </c>
      <c r="AC931" s="16">
        <f>ROUND((T931+X931+Z931+AB931),0)</f>
        <v/>
      </c>
      <c r="AD931" s="16">
        <f>AG931</f>
        <v/>
      </c>
      <c r="AE931" s="16">
        <f>AI931</f>
        <v/>
      </c>
      <c r="AF931" s="16">
        <f>AC931+AD931+AE931</f>
        <v/>
      </c>
      <c r="AG931" s="16" t="n"/>
      <c r="AH931" s="17" t="n"/>
      <c r="AI931" s="17">
        <f>AH931*4</f>
        <v/>
      </c>
      <c r="AJ931" s="15">
        <f>AF931-AG931-AH931-AI931</f>
        <v/>
      </c>
      <c r="AK931" s="18" t="n">
        <v>924</v>
      </c>
      <c r="AL931" s="23" t="n"/>
    </row>
    <row r="932" ht="23.5" customHeight="1">
      <c r="A932" s="6" t="inlineStr">
        <is>
          <t>925</t>
        </is>
      </c>
      <c r="B932" s="28" t="n"/>
      <c r="C932" s="55" t="n"/>
      <c r="D932" s="19" t="n"/>
      <c r="E932" s="24" t="n"/>
      <c r="F932" s="25" t="n"/>
      <c r="G932" s="25" t="n"/>
      <c r="H932" s="25" t="n"/>
      <c r="I932" s="11" t="n"/>
      <c r="J932" s="57" t="n"/>
      <c r="K932" s="12" t="n"/>
      <c r="L932" s="22" t="n"/>
      <c r="M932" s="13" t="n"/>
      <c r="N932" s="14">
        <f>ROUND(I932*(SUM(J932:M932))*68%,0)</f>
        <v/>
      </c>
      <c r="O932" s="61" t="n"/>
      <c r="P932" s="59" t="n"/>
      <c r="Q932" s="59" t="n"/>
      <c r="R932" s="58" t="n"/>
      <c r="S932" s="15">
        <f>I932*J932</f>
        <v/>
      </c>
      <c r="T932" s="15">
        <f>SUM(S932:S932)*68%</f>
        <v/>
      </c>
      <c r="U932" s="15">
        <f>I932*K932*40%*O932</f>
        <v/>
      </c>
      <c r="V932" s="15">
        <f>IF(P932&gt;=6750,(I932*K932*40%),0)</f>
        <v/>
      </c>
      <c r="W932" s="15">
        <f>IF(P932&lt;6750,0,IF(Q932="",0,IF(OR(Q932="KURANG",Q932="SANGAT KURANG"),I932*K932*10%,I932*K932*20%)))</f>
        <v/>
      </c>
      <c r="X932" s="15">
        <f>SUM(U932:W932)*68%</f>
        <v/>
      </c>
      <c r="Y932" s="15">
        <f>I932*L932</f>
        <v/>
      </c>
      <c r="Z932" s="15">
        <f>Y932 * 68%</f>
        <v/>
      </c>
      <c r="AA932" s="15">
        <f>I932*M932</f>
        <v/>
      </c>
      <c r="AB932" s="15">
        <f>AA932*68%</f>
        <v/>
      </c>
      <c r="AC932" s="16">
        <f>ROUND((T932+X932+Z932+AB932),0)</f>
        <v/>
      </c>
      <c r="AD932" s="16">
        <f>AG932</f>
        <v/>
      </c>
      <c r="AE932" s="16">
        <f>AI932</f>
        <v/>
      </c>
      <c r="AF932" s="16">
        <f>AC932+AD932+AE932</f>
        <v/>
      </c>
      <c r="AG932" s="16" t="n"/>
      <c r="AH932" s="17" t="n"/>
      <c r="AI932" s="17">
        <f>AH932*4</f>
        <v/>
      </c>
      <c r="AJ932" s="15">
        <f>AF932-AG932-AH932-AI932</f>
        <v/>
      </c>
      <c r="AK932" s="18" t="n">
        <v>925</v>
      </c>
      <c r="AL932" s="23" t="n"/>
    </row>
    <row r="933" ht="23.5" customHeight="1">
      <c r="A933" s="6" t="inlineStr">
        <is>
          <t>926</t>
        </is>
      </c>
      <c r="B933" s="24" t="n"/>
      <c r="C933" s="55" t="n"/>
      <c r="D933" s="19" t="n"/>
      <c r="E933" s="24" t="n"/>
      <c r="F933" s="25" t="n"/>
      <c r="G933" s="25" t="n"/>
      <c r="H933" s="25" t="n"/>
      <c r="I933" s="11" t="n"/>
      <c r="J933" s="57" t="n"/>
      <c r="K933" s="12" t="n"/>
      <c r="L933" s="22" t="n"/>
      <c r="M933" s="13" t="n"/>
      <c r="N933" s="14">
        <f>ROUND(I933*(SUM(J933:M933))*68%,0)</f>
        <v/>
      </c>
      <c r="O933" s="61" t="n"/>
      <c r="P933" s="59" t="n"/>
      <c r="Q933" s="59" t="n"/>
      <c r="R933" s="58" t="n"/>
      <c r="S933" s="15">
        <f>I933*J933</f>
        <v/>
      </c>
      <c r="T933" s="15">
        <f>SUM(S933:S933)*68%</f>
        <v/>
      </c>
      <c r="U933" s="15">
        <f>I933*K933*40%*O933</f>
        <v/>
      </c>
      <c r="V933" s="15">
        <f>IF(P933&gt;=6750,(I933*K933*40%),0)</f>
        <v/>
      </c>
      <c r="W933" s="15">
        <f>IF(P933&lt;6750,0,IF(Q933="",0,IF(OR(Q933="KURANG",Q933="SANGAT KURANG"),I933*K933*10%,I933*K933*20%)))</f>
        <v/>
      </c>
      <c r="X933" s="15">
        <f>SUM(U933:W933)*68%</f>
        <v/>
      </c>
      <c r="Y933" s="15">
        <f>I933*L933</f>
        <v/>
      </c>
      <c r="Z933" s="15">
        <f>Y933 * 68%</f>
        <v/>
      </c>
      <c r="AA933" s="15">
        <f>I933*M933</f>
        <v/>
      </c>
      <c r="AB933" s="15">
        <f>AA933*68%</f>
        <v/>
      </c>
      <c r="AC933" s="16">
        <f>ROUND((T933+X933+Z933+AB933),0)</f>
        <v/>
      </c>
      <c r="AD933" s="16">
        <f>AG933</f>
        <v/>
      </c>
      <c r="AE933" s="16">
        <f>AI933</f>
        <v/>
      </c>
      <c r="AF933" s="16">
        <f>AC933+AD933+AE933</f>
        <v/>
      </c>
      <c r="AG933" s="16" t="n"/>
      <c r="AH933" s="17" t="n"/>
      <c r="AI933" s="17">
        <f>AH933*4</f>
        <v/>
      </c>
      <c r="AJ933" s="15">
        <f>AF933-AG933-AH933-AI933</f>
        <v/>
      </c>
      <c r="AK933" s="18" t="n">
        <v>926</v>
      </c>
      <c r="AL933" s="40" t="n"/>
    </row>
    <row r="934" ht="23.5" customHeight="1">
      <c r="A934" s="6" t="inlineStr">
        <is>
          <t>927</t>
        </is>
      </c>
      <c r="B934" s="24" t="n"/>
      <c r="C934" s="55" t="n"/>
      <c r="D934" s="19" t="n"/>
      <c r="E934" s="24" t="n"/>
      <c r="F934" s="25" t="n"/>
      <c r="G934" s="25" t="n"/>
      <c r="H934" s="25" t="n"/>
      <c r="I934" s="11" t="n"/>
      <c r="J934" s="57" t="n"/>
      <c r="K934" s="12" t="n"/>
      <c r="L934" s="22" t="n"/>
      <c r="M934" s="13" t="n"/>
      <c r="N934" s="14">
        <f>ROUND(I934*(SUM(J934:M934))*68%,0)</f>
        <v/>
      </c>
      <c r="O934" s="61" t="n"/>
      <c r="P934" s="59" t="n"/>
      <c r="Q934" s="59" t="n"/>
      <c r="R934" s="58" t="n"/>
      <c r="S934" s="15">
        <f>I934*J934</f>
        <v/>
      </c>
      <c r="T934" s="15">
        <f>SUM(S934:S934)*68%</f>
        <v/>
      </c>
      <c r="U934" s="15">
        <f>I934*K934*40%*O934</f>
        <v/>
      </c>
      <c r="V934" s="15">
        <f>IF(P934&gt;=6750,(I934*K934*40%),0)</f>
        <v/>
      </c>
      <c r="W934" s="15">
        <f>IF(P934&lt;6750,0,IF(Q934="",0,IF(OR(Q934="KURANG",Q934="SANGAT KURANG"),I934*K934*10%,I934*K934*20%)))</f>
        <v/>
      </c>
      <c r="X934" s="15">
        <f>SUM(U934:W934)*68%</f>
        <v/>
      </c>
      <c r="Y934" s="15">
        <f>I934*L934</f>
        <v/>
      </c>
      <c r="Z934" s="15">
        <f>Y934 * 68%</f>
        <v/>
      </c>
      <c r="AA934" s="15">
        <f>I934*M934</f>
        <v/>
      </c>
      <c r="AB934" s="15">
        <f>AA934*68%</f>
        <v/>
      </c>
      <c r="AC934" s="16">
        <f>ROUND((T934+X934+Z934+AB934),0)</f>
        <v/>
      </c>
      <c r="AD934" s="16">
        <f>AG934</f>
        <v/>
      </c>
      <c r="AE934" s="16">
        <f>AI934</f>
        <v/>
      </c>
      <c r="AF934" s="16">
        <f>AC934+AD934+AE934</f>
        <v/>
      </c>
      <c r="AG934" s="16" t="n"/>
      <c r="AH934" s="17" t="n"/>
      <c r="AI934" s="17">
        <f>AH934*4</f>
        <v/>
      </c>
      <c r="AJ934" s="15">
        <f>AF934-AG934-AH934-AI934</f>
        <v/>
      </c>
      <c r="AK934" s="18" t="n">
        <v>927</v>
      </c>
      <c r="AL934" s="23" t="n"/>
    </row>
    <row r="935" ht="23.5" customHeight="1">
      <c r="A935" s="6" t="inlineStr">
        <is>
          <t>928</t>
        </is>
      </c>
      <c r="B935" s="24" t="n"/>
      <c r="C935" s="55" t="n"/>
      <c r="D935" s="19" t="n"/>
      <c r="E935" s="24" t="n"/>
      <c r="F935" s="25" t="n"/>
      <c r="G935" s="25" t="n"/>
      <c r="H935" s="25" t="n"/>
      <c r="I935" s="11" t="n"/>
      <c r="J935" s="57" t="n"/>
      <c r="K935" s="12" t="n"/>
      <c r="L935" s="22" t="n"/>
      <c r="M935" s="13" t="n"/>
      <c r="N935" s="14">
        <f>ROUND(I935*(SUM(J935:M935))*68%,0)</f>
        <v/>
      </c>
      <c r="O935" s="61" t="n"/>
      <c r="P935" s="59" t="n"/>
      <c r="Q935" s="59" t="n"/>
      <c r="R935" s="58" t="n"/>
      <c r="S935" s="15">
        <f>I935*J935</f>
        <v/>
      </c>
      <c r="T935" s="15">
        <f>SUM(S935:S935)*68%</f>
        <v/>
      </c>
      <c r="U935" s="15">
        <f>I935*K935*40%*O935</f>
        <v/>
      </c>
      <c r="V935" s="15">
        <f>IF(P935&gt;=6750,(I935*K935*40%),0)</f>
        <v/>
      </c>
      <c r="W935" s="15">
        <f>IF(P935&lt;6750,0,IF(Q935="",0,IF(OR(Q935="KURANG",Q935="SANGAT KURANG"),I935*K935*10%,I935*K935*20%)))</f>
        <v/>
      </c>
      <c r="X935" s="15">
        <f>SUM(U935:W935)*68%</f>
        <v/>
      </c>
      <c r="Y935" s="15">
        <f>I935*L935</f>
        <v/>
      </c>
      <c r="Z935" s="15">
        <f>Y935 * 68%</f>
        <v/>
      </c>
      <c r="AA935" s="15">
        <f>I935*M935</f>
        <v/>
      </c>
      <c r="AB935" s="15">
        <f>AA935*68%</f>
        <v/>
      </c>
      <c r="AC935" s="16">
        <f>ROUND((T935+X935+Z935+AB935),0)</f>
        <v/>
      </c>
      <c r="AD935" s="16">
        <f>AG935</f>
        <v/>
      </c>
      <c r="AE935" s="16">
        <f>AI935</f>
        <v/>
      </c>
      <c r="AF935" s="16">
        <f>AC935+AD935+AE935</f>
        <v/>
      </c>
      <c r="AG935" s="16" t="n"/>
      <c r="AH935" s="17" t="n"/>
      <c r="AI935" s="17">
        <f>AH935*4</f>
        <v/>
      </c>
      <c r="AJ935" s="15">
        <f>AF935-AG935-AH935-AI935</f>
        <v/>
      </c>
      <c r="AK935" s="18" t="n">
        <v>928</v>
      </c>
      <c r="AL935" s="23" t="n"/>
    </row>
    <row r="936" ht="23.5" customHeight="1">
      <c r="A936" s="6" t="inlineStr">
        <is>
          <t>929</t>
        </is>
      </c>
      <c r="B936" s="24" t="n"/>
      <c r="C936" s="55" t="n"/>
      <c r="D936" s="19" t="n"/>
      <c r="E936" s="24" t="n"/>
      <c r="F936" s="25" t="n"/>
      <c r="G936" s="25" t="n"/>
      <c r="H936" s="25" t="n"/>
      <c r="I936" s="11" t="n"/>
      <c r="J936" s="57" t="n"/>
      <c r="K936" s="12" t="n"/>
      <c r="L936" s="22" t="n"/>
      <c r="M936" s="13" t="n"/>
      <c r="N936" s="14">
        <f>ROUND(I936*(SUM(J936:M936))*68%,0)</f>
        <v/>
      </c>
      <c r="O936" s="61" t="n"/>
      <c r="P936" s="59" t="n"/>
      <c r="Q936" s="59" t="n"/>
      <c r="R936" s="58" t="n"/>
      <c r="S936" s="15">
        <f>I936*J936</f>
        <v/>
      </c>
      <c r="T936" s="15">
        <f>SUM(S936:S936)*68%</f>
        <v/>
      </c>
      <c r="U936" s="15">
        <f>I936*K936*40%*O936</f>
        <v/>
      </c>
      <c r="V936" s="15">
        <f>IF(P936&gt;=6750,(I936*K936*40%),0)</f>
        <v/>
      </c>
      <c r="W936" s="15">
        <f>IF(P936&lt;6750,0,IF(Q936="",0,IF(OR(Q936="KURANG",Q936="SANGAT KURANG"),I936*K936*10%,I936*K936*20%)))</f>
        <v/>
      </c>
      <c r="X936" s="15">
        <f>SUM(U936:W936)*68%</f>
        <v/>
      </c>
      <c r="Y936" s="15">
        <f>I936*L936</f>
        <v/>
      </c>
      <c r="Z936" s="15">
        <f>Y936 * 68%</f>
        <v/>
      </c>
      <c r="AA936" s="15">
        <f>I936*M936</f>
        <v/>
      </c>
      <c r="AB936" s="15">
        <f>AA936*68%</f>
        <v/>
      </c>
      <c r="AC936" s="16">
        <f>ROUND((T936+X936+Z936+AB936),0)</f>
        <v/>
      </c>
      <c r="AD936" s="16">
        <f>AG936</f>
        <v/>
      </c>
      <c r="AE936" s="16">
        <f>AI936</f>
        <v/>
      </c>
      <c r="AF936" s="16">
        <f>AC936+AD936+AE936</f>
        <v/>
      </c>
      <c r="AG936" s="16" t="n"/>
      <c r="AH936" s="17" t="n"/>
      <c r="AI936" s="17">
        <f>AH936*4</f>
        <v/>
      </c>
      <c r="AJ936" s="15">
        <f>AF936-AG936-AH936-AI936</f>
        <v/>
      </c>
      <c r="AK936" s="18" t="n">
        <v>929</v>
      </c>
      <c r="AL936" s="40" t="n"/>
    </row>
    <row r="937" ht="23.5" customHeight="1">
      <c r="A937" s="6" t="inlineStr">
        <is>
          <t>930</t>
        </is>
      </c>
      <c r="B937" s="24" t="n"/>
      <c r="C937" s="55" t="n"/>
      <c r="D937" s="19" t="n"/>
      <c r="E937" s="24" t="n"/>
      <c r="F937" s="25" t="n"/>
      <c r="G937" s="25" t="n"/>
      <c r="H937" s="25" t="n"/>
      <c r="I937" s="11" t="n"/>
      <c r="J937" s="57" t="n"/>
      <c r="K937" s="12" t="n"/>
      <c r="L937" s="22" t="n"/>
      <c r="M937" s="13" t="n"/>
      <c r="N937" s="14">
        <f>ROUND(I937*(SUM(J937:M937))*68%,0)</f>
        <v/>
      </c>
      <c r="O937" s="61" t="n"/>
      <c r="P937" s="59" t="n"/>
      <c r="Q937" s="59" t="n"/>
      <c r="R937" s="58" t="n"/>
      <c r="S937" s="15">
        <f>I937*J937</f>
        <v/>
      </c>
      <c r="T937" s="15">
        <f>SUM(S937:S937)*68%</f>
        <v/>
      </c>
      <c r="U937" s="15">
        <f>I937*K937*40%*O937</f>
        <v/>
      </c>
      <c r="V937" s="15">
        <f>IF(P937&gt;=6750,(I937*K937*40%),0)</f>
        <v/>
      </c>
      <c r="W937" s="15">
        <f>IF(P937&lt;6750,0,IF(Q937="",0,IF(OR(Q937="KURANG",Q937="SANGAT KURANG"),I937*K937*10%,I937*K937*20%)))</f>
        <v/>
      </c>
      <c r="X937" s="15">
        <f>SUM(U937:W937)*68%</f>
        <v/>
      </c>
      <c r="Y937" s="15">
        <f>I937*L937</f>
        <v/>
      </c>
      <c r="Z937" s="15">
        <f>Y937 * 68%</f>
        <v/>
      </c>
      <c r="AA937" s="15">
        <f>I937*M937</f>
        <v/>
      </c>
      <c r="AB937" s="15">
        <f>AA937*68%</f>
        <v/>
      </c>
      <c r="AC937" s="16">
        <f>ROUND((T937+X937+Z937+AB937),0)</f>
        <v/>
      </c>
      <c r="AD937" s="16">
        <f>AG937</f>
        <v/>
      </c>
      <c r="AE937" s="16">
        <f>AI937</f>
        <v/>
      </c>
      <c r="AF937" s="16">
        <f>AC937+AD937+AE937</f>
        <v/>
      </c>
      <c r="AG937" s="16" t="n"/>
      <c r="AH937" s="17" t="n"/>
      <c r="AI937" s="17">
        <f>AH937*4</f>
        <v/>
      </c>
      <c r="AJ937" s="15">
        <f>AF937-AG937-AH937-AI937</f>
        <v/>
      </c>
      <c r="AK937" s="18" t="n">
        <v>930</v>
      </c>
      <c r="AL937" s="23" t="n"/>
    </row>
    <row r="938" ht="23.5" customHeight="1">
      <c r="A938" s="6" t="inlineStr">
        <is>
          <t>931</t>
        </is>
      </c>
      <c r="B938" s="24" t="n"/>
      <c r="C938" s="55" t="n"/>
      <c r="D938" s="19" t="n"/>
      <c r="E938" s="24" t="n"/>
      <c r="F938" s="25" t="n"/>
      <c r="G938" s="25" t="n"/>
      <c r="H938" s="25" t="n"/>
      <c r="I938" s="11" t="n"/>
      <c r="J938" s="57" t="n"/>
      <c r="K938" s="12" t="n"/>
      <c r="L938" s="22" t="n"/>
      <c r="M938" s="13" t="n"/>
      <c r="N938" s="14">
        <f>ROUND(I938*(SUM(J938:M938))*68%,0)</f>
        <v/>
      </c>
      <c r="O938" s="61" t="n"/>
      <c r="P938" s="59" t="n"/>
      <c r="Q938" s="59" t="n"/>
      <c r="R938" s="58" t="n"/>
      <c r="S938" s="15">
        <f>I938*J938</f>
        <v/>
      </c>
      <c r="T938" s="15">
        <f>SUM(S938:S938)*68%</f>
        <v/>
      </c>
      <c r="U938" s="15">
        <f>I938*K938*40%*O938</f>
        <v/>
      </c>
      <c r="V938" s="15">
        <f>IF(P938&gt;=6750,(I938*K938*40%),0)</f>
        <v/>
      </c>
      <c r="W938" s="15">
        <f>IF(P938&lt;6750,0,IF(Q938="",0,IF(OR(Q938="KURANG",Q938="SANGAT KURANG"),I938*K938*10%,I938*K938*20%)))</f>
        <v/>
      </c>
      <c r="X938" s="15">
        <f>SUM(U938:W938)*68%</f>
        <v/>
      </c>
      <c r="Y938" s="15">
        <f>I938*L938</f>
        <v/>
      </c>
      <c r="Z938" s="15">
        <f>Y938 * 68%</f>
        <v/>
      </c>
      <c r="AA938" s="15">
        <f>I938*M938</f>
        <v/>
      </c>
      <c r="AB938" s="15">
        <f>AA938*68%</f>
        <v/>
      </c>
      <c r="AC938" s="16">
        <f>ROUND((T938+X938+Z938+AB938),0)</f>
        <v/>
      </c>
      <c r="AD938" s="16">
        <f>AG938</f>
        <v/>
      </c>
      <c r="AE938" s="16">
        <f>AI938</f>
        <v/>
      </c>
      <c r="AF938" s="16">
        <f>AC938+AD938+AE938</f>
        <v/>
      </c>
      <c r="AG938" s="16" t="n"/>
      <c r="AH938" s="17" t="n"/>
      <c r="AI938" s="17">
        <f>AH938*4</f>
        <v/>
      </c>
      <c r="AJ938" s="15">
        <f>AF938-AG938-AH938-AI938</f>
        <v/>
      </c>
      <c r="AK938" s="18" t="n">
        <v>931</v>
      </c>
      <c r="AL938" s="23" t="n"/>
    </row>
    <row r="939" ht="23.5" customHeight="1">
      <c r="A939" s="6" t="inlineStr">
        <is>
          <t>932</t>
        </is>
      </c>
      <c r="B939" s="28" t="n"/>
      <c r="C939" s="55" t="n"/>
      <c r="D939" s="19" t="n"/>
      <c r="E939" s="24" t="n"/>
      <c r="F939" s="25" t="n"/>
      <c r="G939" s="25" t="n"/>
      <c r="H939" s="25" t="n"/>
      <c r="I939" s="11" t="n"/>
      <c r="J939" s="57" t="n"/>
      <c r="K939" s="12" t="n"/>
      <c r="L939" s="22" t="n"/>
      <c r="M939" s="13" t="n"/>
      <c r="N939" s="14">
        <f>ROUND(I939*(SUM(J939:M939))*68%,0)</f>
        <v/>
      </c>
      <c r="O939" s="61" t="n"/>
      <c r="P939" s="59" t="n"/>
      <c r="Q939" s="59" t="n"/>
      <c r="R939" s="58" t="n"/>
      <c r="S939" s="15">
        <f>I939*J939</f>
        <v/>
      </c>
      <c r="T939" s="15">
        <f>SUM(S939:S939)*68%</f>
        <v/>
      </c>
      <c r="U939" s="15">
        <f>I939*K939*40%*O939</f>
        <v/>
      </c>
      <c r="V939" s="15">
        <f>IF(P939&gt;=6750,(I939*K939*40%),0)</f>
        <v/>
      </c>
      <c r="W939" s="15">
        <f>IF(P939&lt;6750,0,IF(Q939="",0,IF(OR(Q939="KURANG",Q939="SANGAT KURANG"),I939*K939*10%,I939*K939*20%)))</f>
        <v/>
      </c>
      <c r="X939" s="15">
        <f>SUM(U939:W939)*68%</f>
        <v/>
      </c>
      <c r="Y939" s="15">
        <f>I939*L939</f>
        <v/>
      </c>
      <c r="Z939" s="15">
        <f>Y939 * 68%</f>
        <v/>
      </c>
      <c r="AA939" s="15">
        <f>I939*M939</f>
        <v/>
      </c>
      <c r="AB939" s="15">
        <f>AA939*68%</f>
        <v/>
      </c>
      <c r="AC939" s="16">
        <f>ROUND((T939+X939+Z939+AB939),0)</f>
        <v/>
      </c>
      <c r="AD939" s="16">
        <f>AG939</f>
        <v/>
      </c>
      <c r="AE939" s="16">
        <f>AI939</f>
        <v/>
      </c>
      <c r="AF939" s="16">
        <f>AC939+AD939+AE939</f>
        <v/>
      </c>
      <c r="AG939" s="16" t="n"/>
      <c r="AH939" s="17" t="n"/>
      <c r="AI939" s="17">
        <f>AH939*4</f>
        <v/>
      </c>
      <c r="AJ939" s="15">
        <f>AF939-AG939-AH939-AI939</f>
        <v/>
      </c>
      <c r="AK939" s="18" t="n">
        <v>932</v>
      </c>
      <c r="AL939" s="40" t="n"/>
    </row>
    <row r="940" ht="23.5" customHeight="1">
      <c r="A940" s="6" t="inlineStr">
        <is>
          <t>933</t>
        </is>
      </c>
      <c r="B940" s="28" t="n"/>
      <c r="C940" s="55" t="n"/>
      <c r="D940" s="19" t="n"/>
      <c r="E940" s="24" t="n"/>
      <c r="F940" s="25" t="n"/>
      <c r="G940" s="25" t="n"/>
      <c r="H940" s="25" t="n"/>
      <c r="I940" s="11" t="n"/>
      <c r="J940" s="57" t="n"/>
      <c r="K940" s="12" t="n"/>
      <c r="L940" s="22" t="n"/>
      <c r="M940" s="13" t="n"/>
      <c r="N940" s="14">
        <f>ROUND(I940*(SUM(J940:M940))*68%,0)</f>
        <v/>
      </c>
      <c r="O940" s="61" t="n"/>
      <c r="P940" s="59" t="n"/>
      <c r="Q940" s="59" t="n"/>
      <c r="R940" s="58" t="n"/>
      <c r="S940" s="15">
        <f>I940*J940</f>
        <v/>
      </c>
      <c r="T940" s="15">
        <f>SUM(S940:S940)*68%</f>
        <v/>
      </c>
      <c r="U940" s="15">
        <f>I940*K940*40%*O940</f>
        <v/>
      </c>
      <c r="V940" s="15">
        <f>IF(P940&gt;=6750,(I940*K940*40%),0)</f>
        <v/>
      </c>
      <c r="W940" s="15">
        <f>IF(P940&lt;6750,0,IF(Q940="",0,IF(OR(Q940="KURANG",Q940="SANGAT KURANG"),I940*K940*10%,I940*K940*20%)))</f>
        <v/>
      </c>
      <c r="X940" s="15">
        <f>SUM(U940:W940)*68%</f>
        <v/>
      </c>
      <c r="Y940" s="15">
        <f>I940*L940</f>
        <v/>
      </c>
      <c r="Z940" s="15">
        <f>Y940 * 68%</f>
        <v/>
      </c>
      <c r="AA940" s="15">
        <f>I940*M940</f>
        <v/>
      </c>
      <c r="AB940" s="15">
        <f>AA940*68%</f>
        <v/>
      </c>
      <c r="AC940" s="16">
        <f>ROUND((T940+X940+Z940+AB940),0)</f>
        <v/>
      </c>
      <c r="AD940" s="16">
        <f>AG940</f>
        <v/>
      </c>
      <c r="AE940" s="16">
        <f>AI940</f>
        <v/>
      </c>
      <c r="AF940" s="16">
        <f>AC940+AD940+AE940</f>
        <v/>
      </c>
      <c r="AG940" s="16" t="n"/>
      <c r="AH940" s="17" t="n"/>
      <c r="AI940" s="17">
        <f>AH940*4</f>
        <v/>
      </c>
      <c r="AJ940" s="15">
        <f>AF940-AG940-AH940-AI940</f>
        <v/>
      </c>
      <c r="AK940" s="18" t="n">
        <v>933</v>
      </c>
      <c r="AL940" s="23" t="n"/>
    </row>
    <row r="941" ht="23.5" customHeight="1">
      <c r="A941" s="6" t="inlineStr">
        <is>
          <t>934</t>
        </is>
      </c>
      <c r="B941" s="24" t="n"/>
      <c r="C941" s="55" t="n"/>
      <c r="D941" s="19" t="n"/>
      <c r="E941" s="24" t="n"/>
      <c r="F941" s="25" t="n"/>
      <c r="G941" s="25" t="n"/>
      <c r="H941" s="25" t="n"/>
      <c r="I941" s="11" t="n"/>
      <c r="J941" s="57" t="n"/>
      <c r="K941" s="12" t="n"/>
      <c r="L941" s="22" t="n"/>
      <c r="M941" s="13" t="n"/>
      <c r="N941" s="14">
        <f>ROUND(I941*(SUM(J941:M941))*68%,0)</f>
        <v/>
      </c>
      <c r="O941" s="61" t="n"/>
      <c r="P941" s="59" t="n"/>
      <c r="Q941" s="59" t="n"/>
      <c r="R941" s="58" t="n"/>
      <c r="S941" s="15">
        <f>I941*J941</f>
        <v/>
      </c>
      <c r="T941" s="15">
        <f>SUM(S941:S941)*68%</f>
        <v/>
      </c>
      <c r="U941" s="15">
        <f>I941*K941*40%*O941</f>
        <v/>
      </c>
      <c r="V941" s="15">
        <f>IF(P941&gt;=6750,(I941*K941*40%),0)</f>
        <v/>
      </c>
      <c r="W941" s="15">
        <f>IF(P941&lt;6750,0,IF(Q941="",0,IF(OR(Q941="KURANG",Q941="SANGAT KURANG"),I941*K941*10%,I941*K941*20%)))</f>
        <v/>
      </c>
      <c r="X941" s="15">
        <f>SUM(U941:W941)*68%</f>
        <v/>
      </c>
      <c r="Y941" s="15">
        <f>I941*L941</f>
        <v/>
      </c>
      <c r="Z941" s="15">
        <f>Y941 * 68%</f>
        <v/>
      </c>
      <c r="AA941" s="15">
        <f>I941*M941</f>
        <v/>
      </c>
      <c r="AB941" s="15">
        <f>AA941*68%</f>
        <v/>
      </c>
      <c r="AC941" s="16">
        <f>ROUND((T941+X941+Z941+AB941),0)</f>
        <v/>
      </c>
      <c r="AD941" s="16">
        <f>AG941</f>
        <v/>
      </c>
      <c r="AE941" s="16">
        <f>AI941</f>
        <v/>
      </c>
      <c r="AF941" s="16">
        <f>AC941+AD941+AE941</f>
        <v/>
      </c>
      <c r="AG941" s="16" t="n"/>
      <c r="AH941" s="17" t="n"/>
      <c r="AI941" s="17">
        <f>AH941*4</f>
        <v/>
      </c>
      <c r="AJ941" s="15">
        <f>AF941-AG941-AH941-AI941</f>
        <v/>
      </c>
      <c r="AK941" s="18" t="n">
        <v>934</v>
      </c>
      <c r="AL941" s="23" t="n"/>
    </row>
    <row r="942" ht="23.5" customHeight="1">
      <c r="A942" s="6" t="inlineStr">
        <is>
          <t>935</t>
        </is>
      </c>
      <c r="B942" s="24" t="n"/>
      <c r="C942" s="55" t="n"/>
      <c r="D942" s="19" t="n"/>
      <c r="E942" s="24" t="n"/>
      <c r="F942" s="25" t="n"/>
      <c r="G942" s="25" t="n"/>
      <c r="H942" s="25" t="n"/>
      <c r="I942" s="11" t="n"/>
      <c r="J942" s="57" t="n"/>
      <c r="K942" s="12" t="n"/>
      <c r="L942" s="22" t="n"/>
      <c r="M942" s="13" t="n"/>
      <c r="N942" s="14">
        <f>ROUND(I942*(SUM(J942:M942))*68%,0)</f>
        <v/>
      </c>
      <c r="O942" s="61" t="n"/>
      <c r="P942" s="59" t="n"/>
      <c r="Q942" s="59" t="n"/>
      <c r="R942" s="58" t="n"/>
      <c r="S942" s="15">
        <f>I942*J942</f>
        <v/>
      </c>
      <c r="T942" s="15">
        <f>SUM(S942:S942)*68%</f>
        <v/>
      </c>
      <c r="U942" s="15">
        <f>I942*K942*40%*O942</f>
        <v/>
      </c>
      <c r="V942" s="15">
        <f>IF(P942&gt;=6750,(I942*K942*40%),0)</f>
        <v/>
      </c>
      <c r="W942" s="15">
        <f>IF(P942&lt;6750,0,IF(Q942="",0,IF(OR(Q942="KURANG",Q942="SANGAT KURANG"),I942*K942*10%,I942*K942*20%)))</f>
        <v/>
      </c>
      <c r="X942" s="15">
        <f>SUM(U942:W942)*68%</f>
        <v/>
      </c>
      <c r="Y942" s="15">
        <f>I942*L942</f>
        <v/>
      </c>
      <c r="Z942" s="15">
        <f>Y942 * 68%</f>
        <v/>
      </c>
      <c r="AA942" s="15">
        <f>I942*M942</f>
        <v/>
      </c>
      <c r="AB942" s="15">
        <f>AA942*68%</f>
        <v/>
      </c>
      <c r="AC942" s="16">
        <f>ROUND((T942+X942+Z942+AB942),0)</f>
        <v/>
      </c>
      <c r="AD942" s="16">
        <f>AG942</f>
        <v/>
      </c>
      <c r="AE942" s="16">
        <f>AI942</f>
        <v/>
      </c>
      <c r="AF942" s="16">
        <f>AC942+AD942+AE942</f>
        <v/>
      </c>
      <c r="AG942" s="16" t="n"/>
      <c r="AH942" s="17" t="n"/>
      <c r="AI942" s="17">
        <f>AH942*4</f>
        <v/>
      </c>
      <c r="AJ942" s="15">
        <f>AF942-AG942-AH942-AI942</f>
        <v/>
      </c>
      <c r="AK942" s="18" t="n">
        <v>935</v>
      </c>
      <c r="AL942" s="40" t="n"/>
    </row>
    <row r="943" ht="23.5" customHeight="1">
      <c r="A943" s="6" t="inlineStr">
        <is>
          <t>936</t>
        </is>
      </c>
      <c r="B943" s="24" t="n"/>
      <c r="C943" s="55" t="n"/>
      <c r="D943" s="19" t="n"/>
      <c r="E943" s="24" t="n"/>
      <c r="F943" s="25" t="n"/>
      <c r="G943" s="25" t="n"/>
      <c r="H943" s="25" t="n"/>
      <c r="I943" s="11" t="n"/>
      <c r="J943" s="57" t="n"/>
      <c r="K943" s="12" t="n"/>
      <c r="L943" s="22" t="n"/>
      <c r="M943" s="13" t="n"/>
      <c r="N943" s="14">
        <f>ROUND(I943*(SUM(J943:M943))*68%,0)</f>
        <v/>
      </c>
      <c r="O943" s="61" t="n"/>
      <c r="P943" s="59" t="n"/>
      <c r="Q943" s="59" t="n"/>
      <c r="R943" s="58" t="n"/>
      <c r="S943" s="15">
        <f>I943*J943</f>
        <v/>
      </c>
      <c r="T943" s="15">
        <f>SUM(S943:S943)*68%</f>
        <v/>
      </c>
      <c r="U943" s="15">
        <f>I943*K943*40%*O943</f>
        <v/>
      </c>
      <c r="V943" s="15">
        <f>IF(P943&gt;=6750,(I943*K943*40%),0)</f>
        <v/>
      </c>
      <c r="W943" s="15">
        <f>IF(P943&lt;6750,0,IF(Q943="",0,IF(OR(Q943="KURANG",Q943="SANGAT KURANG"),I943*K943*10%,I943*K943*20%)))</f>
        <v/>
      </c>
      <c r="X943" s="15">
        <f>SUM(U943:W943)*68%</f>
        <v/>
      </c>
      <c r="Y943" s="15">
        <f>I943*L943</f>
        <v/>
      </c>
      <c r="Z943" s="15">
        <f>Y943 * 68%</f>
        <v/>
      </c>
      <c r="AA943" s="15">
        <f>I943*M943</f>
        <v/>
      </c>
      <c r="AB943" s="15">
        <f>AA943*68%</f>
        <v/>
      </c>
      <c r="AC943" s="16">
        <f>ROUND((T943+X943+Z943+AB943),0)</f>
        <v/>
      </c>
      <c r="AD943" s="16">
        <f>AG943</f>
        <v/>
      </c>
      <c r="AE943" s="16">
        <f>AI943</f>
        <v/>
      </c>
      <c r="AF943" s="16">
        <f>AC943+AD943+AE943</f>
        <v/>
      </c>
      <c r="AG943" s="16" t="n"/>
      <c r="AH943" s="17" t="n"/>
      <c r="AI943" s="17">
        <f>AH943*4</f>
        <v/>
      </c>
      <c r="AJ943" s="15">
        <f>AF943-AG943-AH943-AI943</f>
        <v/>
      </c>
      <c r="AK943" s="18" t="n">
        <v>936</v>
      </c>
      <c r="AL943" s="23" t="n"/>
    </row>
    <row r="944" ht="23.5" customHeight="1">
      <c r="A944" s="6" t="inlineStr">
        <is>
          <t>937</t>
        </is>
      </c>
      <c r="B944" s="24" t="n"/>
      <c r="C944" s="55" t="n"/>
      <c r="D944" s="19" t="n"/>
      <c r="E944" s="24" t="n"/>
      <c r="F944" s="25" t="n"/>
      <c r="G944" s="25" t="n"/>
      <c r="H944" s="25" t="n"/>
      <c r="I944" s="11" t="n"/>
      <c r="J944" s="57" t="n"/>
      <c r="K944" s="12" t="n"/>
      <c r="L944" s="22" t="n"/>
      <c r="M944" s="13" t="n"/>
      <c r="N944" s="14">
        <f>ROUND(I944*(SUM(J944:M944))*68%,0)</f>
        <v/>
      </c>
      <c r="O944" s="61" t="n"/>
      <c r="P944" s="59" t="n"/>
      <c r="Q944" s="59" t="n"/>
      <c r="R944" s="58" t="n"/>
      <c r="S944" s="15">
        <f>I944*J944</f>
        <v/>
      </c>
      <c r="T944" s="15">
        <f>SUM(S944:S944)*68%</f>
        <v/>
      </c>
      <c r="U944" s="15">
        <f>I944*K944*40%*O944</f>
        <v/>
      </c>
      <c r="V944" s="15">
        <f>IF(P944&gt;=6750,(I944*K944*40%),0)</f>
        <v/>
      </c>
      <c r="W944" s="15">
        <f>IF(P944&lt;6750,0,IF(Q944="",0,IF(OR(Q944="KURANG",Q944="SANGAT KURANG"),I944*K944*10%,I944*K944*20%)))</f>
        <v/>
      </c>
      <c r="X944" s="15">
        <f>SUM(U944:W944)*68%</f>
        <v/>
      </c>
      <c r="Y944" s="15">
        <f>I944*L944</f>
        <v/>
      </c>
      <c r="Z944" s="15">
        <f>Y944 * 68%</f>
        <v/>
      </c>
      <c r="AA944" s="15">
        <f>I944*M944</f>
        <v/>
      </c>
      <c r="AB944" s="15">
        <f>AA944*68%</f>
        <v/>
      </c>
      <c r="AC944" s="16">
        <f>ROUND((T944+X944+Z944+AB944),0)</f>
        <v/>
      </c>
      <c r="AD944" s="16">
        <f>AG944</f>
        <v/>
      </c>
      <c r="AE944" s="16">
        <f>AI944</f>
        <v/>
      </c>
      <c r="AF944" s="16">
        <f>AC944+AD944+AE944</f>
        <v/>
      </c>
      <c r="AG944" s="16" t="n"/>
      <c r="AH944" s="17" t="n"/>
      <c r="AI944" s="17">
        <f>AH944*4</f>
        <v/>
      </c>
      <c r="AJ944" s="15">
        <f>AF944-AG944-AH944-AI944</f>
        <v/>
      </c>
      <c r="AK944" s="18" t="n">
        <v>937</v>
      </c>
      <c r="AL944" s="23" t="n"/>
    </row>
    <row r="945" ht="23.5" customHeight="1">
      <c r="A945" s="6" t="inlineStr">
        <is>
          <t>938</t>
        </is>
      </c>
      <c r="B945" s="24" t="n"/>
      <c r="C945" s="55" t="n"/>
      <c r="D945" s="19" t="n"/>
      <c r="E945" s="24" t="n"/>
      <c r="F945" s="25" t="n"/>
      <c r="G945" s="25" t="n"/>
      <c r="H945" s="25" t="n"/>
      <c r="I945" s="11" t="n"/>
      <c r="J945" s="57" t="n"/>
      <c r="K945" s="12" t="n"/>
      <c r="L945" s="22" t="n"/>
      <c r="M945" s="13" t="n"/>
      <c r="N945" s="14">
        <f>ROUND(I945*(SUM(J945:M945))*68%,0)</f>
        <v/>
      </c>
      <c r="O945" s="61" t="n"/>
      <c r="P945" s="59" t="n"/>
      <c r="Q945" s="59" t="n"/>
      <c r="R945" s="58" t="n"/>
      <c r="S945" s="15">
        <f>I945*J945</f>
        <v/>
      </c>
      <c r="T945" s="15">
        <f>SUM(S945:S945)*68%</f>
        <v/>
      </c>
      <c r="U945" s="15">
        <f>I945*K945*40%*O945</f>
        <v/>
      </c>
      <c r="V945" s="15">
        <f>IF(P945&gt;=6750,(I945*K945*40%),0)</f>
        <v/>
      </c>
      <c r="W945" s="15">
        <f>IF(P945&lt;6750,0,IF(Q945="",0,IF(OR(Q945="KURANG",Q945="SANGAT KURANG"),I945*K945*10%,I945*K945*20%)))</f>
        <v/>
      </c>
      <c r="X945" s="15">
        <f>SUM(U945:W945)*68%</f>
        <v/>
      </c>
      <c r="Y945" s="15">
        <f>I945*L945</f>
        <v/>
      </c>
      <c r="Z945" s="15">
        <f>Y945 * 68%</f>
        <v/>
      </c>
      <c r="AA945" s="15">
        <f>I945*M945</f>
        <v/>
      </c>
      <c r="AB945" s="15">
        <f>AA945*68%</f>
        <v/>
      </c>
      <c r="AC945" s="16">
        <f>ROUND((T945+X945+Z945+AB945),0)</f>
        <v/>
      </c>
      <c r="AD945" s="16">
        <f>AG945</f>
        <v/>
      </c>
      <c r="AE945" s="16">
        <f>AI945</f>
        <v/>
      </c>
      <c r="AF945" s="16">
        <f>AC945+AD945+AE945</f>
        <v/>
      </c>
      <c r="AG945" s="16" t="n"/>
      <c r="AH945" s="17" t="n"/>
      <c r="AI945" s="17">
        <f>AH945*4</f>
        <v/>
      </c>
      <c r="AJ945" s="15">
        <f>AF945-AG945-AH945-AI945</f>
        <v/>
      </c>
      <c r="AK945" s="18" t="n">
        <v>938</v>
      </c>
      <c r="AL945" s="40" t="n"/>
    </row>
    <row r="946" ht="23.5" customHeight="1">
      <c r="A946" s="6" t="inlineStr">
        <is>
          <t>939</t>
        </is>
      </c>
      <c r="B946" s="24" t="n"/>
      <c r="C946" s="55" t="n"/>
      <c r="D946" s="19" t="n"/>
      <c r="E946" s="24" t="n"/>
      <c r="F946" s="25" t="n"/>
      <c r="G946" s="25" t="n"/>
      <c r="H946" s="25" t="n"/>
      <c r="I946" s="11" t="n"/>
      <c r="J946" s="57" t="n"/>
      <c r="K946" s="12" t="n"/>
      <c r="L946" s="22" t="n"/>
      <c r="M946" s="13" t="n"/>
      <c r="N946" s="14">
        <f>ROUND(I946*(SUM(J946:M946))*68%,0)</f>
        <v/>
      </c>
      <c r="O946" s="61" t="n"/>
      <c r="P946" s="59" t="n"/>
      <c r="Q946" s="59" t="n"/>
      <c r="R946" s="58" t="n"/>
      <c r="S946" s="15">
        <f>I946*J946</f>
        <v/>
      </c>
      <c r="T946" s="15">
        <f>SUM(S946:S946)*68%</f>
        <v/>
      </c>
      <c r="U946" s="15">
        <f>I946*K946*40%*O946</f>
        <v/>
      </c>
      <c r="V946" s="15">
        <f>IF(P946&gt;=6750,(I946*K946*40%),0)</f>
        <v/>
      </c>
      <c r="W946" s="15">
        <f>IF(P946&lt;6750,0,IF(Q946="",0,IF(OR(Q946="KURANG",Q946="SANGAT KURANG"),I946*K946*10%,I946*K946*20%)))</f>
        <v/>
      </c>
      <c r="X946" s="15">
        <f>SUM(U946:W946)*68%</f>
        <v/>
      </c>
      <c r="Y946" s="15">
        <f>I946*L946</f>
        <v/>
      </c>
      <c r="Z946" s="15">
        <f>Y946 * 68%</f>
        <v/>
      </c>
      <c r="AA946" s="15">
        <f>I946*M946</f>
        <v/>
      </c>
      <c r="AB946" s="15">
        <f>AA946*68%</f>
        <v/>
      </c>
      <c r="AC946" s="16">
        <f>ROUND((T946+X946+Z946+AB946),0)</f>
        <v/>
      </c>
      <c r="AD946" s="16">
        <f>AG946</f>
        <v/>
      </c>
      <c r="AE946" s="16">
        <f>AI946</f>
        <v/>
      </c>
      <c r="AF946" s="16">
        <f>AC946+AD946+AE946</f>
        <v/>
      </c>
      <c r="AG946" s="16" t="n"/>
      <c r="AH946" s="17" t="n"/>
      <c r="AI946" s="17">
        <f>AH946*4</f>
        <v/>
      </c>
      <c r="AJ946" s="15">
        <f>AF946-AG946-AH946-AI946</f>
        <v/>
      </c>
      <c r="AK946" s="18" t="n">
        <v>939</v>
      </c>
      <c r="AL946" s="23" t="n"/>
    </row>
    <row r="947" ht="23.5" customHeight="1">
      <c r="A947" s="6" t="inlineStr">
        <is>
          <t>940</t>
        </is>
      </c>
      <c r="B947" s="24" t="n"/>
      <c r="C947" s="55" t="n"/>
      <c r="D947" s="19" t="n"/>
      <c r="E947" s="24" t="n"/>
      <c r="F947" s="25" t="n"/>
      <c r="G947" s="25" t="n"/>
      <c r="H947" s="25" t="n"/>
      <c r="I947" s="11" t="n"/>
      <c r="J947" s="57" t="n"/>
      <c r="K947" s="12" t="n"/>
      <c r="L947" s="22" t="n"/>
      <c r="M947" s="13" t="n"/>
      <c r="N947" s="14">
        <f>ROUND(I947*(SUM(J947:M947))*68%,0)</f>
        <v/>
      </c>
      <c r="O947" s="61" t="n"/>
      <c r="P947" s="59" t="n"/>
      <c r="Q947" s="59" t="n"/>
      <c r="R947" s="58" t="n"/>
      <c r="S947" s="15">
        <f>I947*J947</f>
        <v/>
      </c>
      <c r="T947" s="15">
        <f>SUM(S947:S947)*68%</f>
        <v/>
      </c>
      <c r="U947" s="15">
        <f>I947*K947*40%*O947</f>
        <v/>
      </c>
      <c r="V947" s="15">
        <f>IF(P947&gt;=6750,(I947*K947*40%),0)</f>
        <v/>
      </c>
      <c r="W947" s="15">
        <f>IF(P947&lt;6750,0,IF(Q947="",0,IF(OR(Q947="KURANG",Q947="SANGAT KURANG"),I947*K947*10%,I947*K947*20%)))</f>
        <v/>
      </c>
      <c r="X947" s="15">
        <f>SUM(U947:W947)*68%</f>
        <v/>
      </c>
      <c r="Y947" s="15">
        <f>I947*L947</f>
        <v/>
      </c>
      <c r="Z947" s="15">
        <f>Y947 * 68%</f>
        <v/>
      </c>
      <c r="AA947" s="15">
        <f>I947*M947</f>
        <v/>
      </c>
      <c r="AB947" s="15">
        <f>AA947*68%</f>
        <v/>
      </c>
      <c r="AC947" s="16">
        <f>ROUND((T947+X947+Z947+AB947),0)</f>
        <v/>
      </c>
      <c r="AD947" s="16">
        <f>AG947</f>
        <v/>
      </c>
      <c r="AE947" s="16">
        <f>AI947</f>
        <v/>
      </c>
      <c r="AF947" s="16">
        <f>AC947+AD947+AE947</f>
        <v/>
      </c>
      <c r="AG947" s="16" t="n"/>
      <c r="AH947" s="17" t="n"/>
      <c r="AI947" s="17">
        <f>AH947*4</f>
        <v/>
      </c>
      <c r="AJ947" s="15">
        <f>AF947-AG947-AH947-AI947</f>
        <v/>
      </c>
      <c r="AK947" s="18" t="n">
        <v>940</v>
      </c>
      <c r="AL947" s="23" t="n"/>
    </row>
    <row r="948" ht="23.5" customHeight="1">
      <c r="A948" s="6" t="inlineStr">
        <is>
          <t>941</t>
        </is>
      </c>
      <c r="B948" s="24" t="n"/>
      <c r="C948" s="55" t="n"/>
      <c r="D948" s="19" t="n"/>
      <c r="E948" s="24" t="n"/>
      <c r="F948" s="25" t="n"/>
      <c r="G948" s="25" t="n"/>
      <c r="H948" s="25" t="n"/>
      <c r="I948" s="11" t="n"/>
      <c r="J948" s="57" t="n"/>
      <c r="K948" s="12" t="n"/>
      <c r="L948" s="22" t="n"/>
      <c r="M948" s="13" t="n"/>
      <c r="N948" s="14">
        <f>ROUND(I948*(SUM(J948:M948))*68%,0)</f>
        <v/>
      </c>
      <c r="O948" s="61" t="n"/>
      <c r="P948" s="59" t="n"/>
      <c r="Q948" s="59" t="n"/>
      <c r="R948" s="58" t="n"/>
      <c r="S948" s="15">
        <f>I948*J948</f>
        <v/>
      </c>
      <c r="T948" s="15">
        <f>SUM(S948:S948)*68%</f>
        <v/>
      </c>
      <c r="U948" s="15">
        <f>I948*K948*40%*O948</f>
        <v/>
      </c>
      <c r="V948" s="15">
        <f>IF(P948&gt;=6750,(I948*K948*40%),0)</f>
        <v/>
      </c>
      <c r="W948" s="15">
        <f>IF(P948&lt;6750,0,IF(Q948="",0,IF(OR(Q948="KURANG",Q948="SANGAT KURANG"),I948*K948*10%,I948*K948*20%)))</f>
        <v/>
      </c>
      <c r="X948" s="15">
        <f>SUM(U948:W948)*68%</f>
        <v/>
      </c>
      <c r="Y948" s="15">
        <f>I948*L948</f>
        <v/>
      </c>
      <c r="Z948" s="15">
        <f>Y948 * 68%</f>
        <v/>
      </c>
      <c r="AA948" s="15">
        <f>I948*M948</f>
        <v/>
      </c>
      <c r="AB948" s="15">
        <f>AA948*68%</f>
        <v/>
      </c>
      <c r="AC948" s="16">
        <f>ROUND((T948+X948+Z948+AB948),0)</f>
        <v/>
      </c>
      <c r="AD948" s="16">
        <f>AG948</f>
        <v/>
      </c>
      <c r="AE948" s="16">
        <f>AI948</f>
        <v/>
      </c>
      <c r="AF948" s="16">
        <f>AC948+AD948+AE948</f>
        <v/>
      </c>
      <c r="AG948" s="16" t="n"/>
      <c r="AH948" s="17" t="n"/>
      <c r="AI948" s="17">
        <f>AH948*4</f>
        <v/>
      </c>
      <c r="AJ948" s="15">
        <f>AF948-AG948-AH948-AI948</f>
        <v/>
      </c>
      <c r="AK948" s="18" t="n">
        <v>941</v>
      </c>
      <c r="AL948" s="40" t="n"/>
    </row>
    <row r="949" ht="23.5" customHeight="1">
      <c r="A949" s="6" t="inlineStr">
        <is>
          <t>942</t>
        </is>
      </c>
      <c r="B949" s="24" t="n"/>
      <c r="C949" s="55" t="n"/>
      <c r="D949" s="19" t="n"/>
      <c r="E949" s="24" t="n"/>
      <c r="F949" s="25" t="n"/>
      <c r="G949" s="25" t="n"/>
      <c r="H949" s="25" t="n"/>
      <c r="I949" s="11" t="n"/>
      <c r="J949" s="57" t="n"/>
      <c r="K949" s="12" t="n"/>
      <c r="L949" s="22" t="n"/>
      <c r="M949" s="13" t="n"/>
      <c r="N949" s="14">
        <f>ROUND(I949*(SUM(J949:M949))*68%,0)</f>
        <v/>
      </c>
      <c r="O949" s="61" t="n"/>
      <c r="P949" s="59" t="n"/>
      <c r="Q949" s="59" t="n"/>
      <c r="R949" s="58" t="n"/>
      <c r="S949" s="15">
        <f>I949*J949</f>
        <v/>
      </c>
      <c r="T949" s="15">
        <f>SUM(S949:S949)*68%</f>
        <v/>
      </c>
      <c r="U949" s="15">
        <f>I949*K949*40%*O949</f>
        <v/>
      </c>
      <c r="V949" s="15">
        <f>IF(P949&gt;=6750,(I949*K949*40%),0)</f>
        <v/>
      </c>
      <c r="W949" s="15">
        <f>IF(P949&lt;6750,0,IF(Q949="",0,IF(OR(Q949="KURANG",Q949="SANGAT KURANG"),I949*K949*10%,I949*K949*20%)))</f>
        <v/>
      </c>
      <c r="X949" s="15">
        <f>SUM(U949:W949)*68%</f>
        <v/>
      </c>
      <c r="Y949" s="15">
        <f>I949*L949</f>
        <v/>
      </c>
      <c r="Z949" s="15">
        <f>Y949 * 68%</f>
        <v/>
      </c>
      <c r="AA949" s="15">
        <f>I949*M949</f>
        <v/>
      </c>
      <c r="AB949" s="15">
        <f>AA949*68%</f>
        <v/>
      </c>
      <c r="AC949" s="16">
        <f>ROUND((T949+X949+Z949+AB949),0)</f>
        <v/>
      </c>
      <c r="AD949" s="16">
        <f>AG949</f>
        <v/>
      </c>
      <c r="AE949" s="16">
        <f>AI949</f>
        <v/>
      </c>
      <c r="AF949" s="16">
        <f>AC949+AD949+AE949</f>
        <v/>
      </c>
      <c r="AG949" s="16" t="n"/>
      <c r="AH949" s="17" t="n"/>
      <c r="AI949" s="17">
        <f>AH949*4</f>
        <v/>
      </c>
      <c r="AJ949" s="15">
        <f>AF949-AG949-AH949-AI949</f>
        <v/>
      </c>
      <c r="AK949" s="18" t="n">
        <v>942</v>
      </c>
      <c r="AL949" s="23" t="n"/>
    </row>
    <row r="950" ht="23.5" customHeight="1">
      <c r="A950" s="6" t="inlineStr">
        <is>
          <t>943</t>
        </is>
      </c>
      <c r="B950" s="24" t="n"/>
      <c r="C950" s="55" t="n"/>
      <c r="D950" s="19" t="n"/>
      <c r="E950" s="24" t="n"/>
      <c r="F950" s="25" t="n"/>
      <c r="G950" s="25" t="n"/>
      <c r="H950" s="25" t="n"/>
      <c r="I950" s="11" t="n"/>
      <c r="J950" s="57" t="n"/>
      <c r="K950" s="12" t="n"/>
      <c r="L950" s="22" t="n"/>
      <c r="M950" s="13" t="n"/>
      <c r="N950" s="14">
        <f>ROUND(I950*(SUM(J950:M950))*68%,0)</f>
        <v/>
      </c>
      <c r="O950" s="61" t="n"/>
      <c r="P950" s="59" t="n"/>
      <c r="Q950" s="59" t="n"/>
      <c r="R950" s="58" t="n"/>
      <c r="S950" s="15">
        <f>I950*J950</f>
        <v/>
      </c>
      <c r="T950" s="15">
        <f>SUM(S950:S950)*68%</f>
        <v/>
      </c>
      <c r="U950" s="15">
        <f>I950*K950*40%*O950</f>
        <v/>
      </c>
      <c r="V950" s="15">
        <f>IF(P950&gt;=6750,(I950*K950*40%),0)</f>
        <v/>
      </c>
      <c r="W950" s="15">
        <f>IF(P950&lt;6750,0,IF(Q950="",0,IF(OR(Q950="KURANG",Q950="SANGAT KURANG"),I950*K950*10%,I950*K950*20%)))</f>
        <v/>
      </c>
      <c r="X950" s="15">
        <f>SUM(U950:W950)*68%</f>
        <v/>
      </c>
      <c r="Y950" s="15">
        <f>I950*L950</f>
        <v/>
      </c>
      <c r="Z950" s="15">
        <f>Y950 * 68%</f>
        <v/>
      </c>
      <c r="AA950" s="15">
        <f>I950*M950</f>
        <v/>
      </c>
      <c r="AB950" s="15">
        <f>AA950*68%</f>
        <v/>
      </c>
      <c r="AC950" s="16">
        <f>ROUND((T950+X950+Z950+AB950),0)</f>
        <v/>
      </c>
      <c r="AD950" s="16">
        <f>AG950</f>
        <v/>
      </c>
      <c r="AE950" s="16">
        <f>AI950</f>
        <v/>
      </c>
      <c r="AF950" s="16">
        <f>AC950+AD950+AE950</f>
        <v/>
      </c>
      <c r="AG950" s="16" t="n"/>
      <c r="AH950" s="17" t="n"/>
      <c r="AI950" s="17">
        <f>AH950*4</f>
        <v/>
      </c>
      <c r="AJ950" s="15">
        <f>AF950-AG950-AH950-AI950</f>
        <v/>
      </c>
      <c r="AK950" s="18" t="n">
        <v>943</v>
      </c>
      <c r="AL950" s="23" t="n"/>
    </row>
    <row r="951" ht="23.5" customHeight="1">
      <c r="A951" s="6" t="inlineStr">
        <is>
          <t>944</t>
        </is>
      </c>
      <c r="B951" s="24" t="n"/>
      <c r="C951" s="55" t="n"/>
      <c r="D951" s="19" t="n"/>
      <c r="E951" s="24" t="n"/>
      <c r="F951" s="25" t="n"/>
      <c r="G951" s="25" t="n"/>
      <c r="H951" s="25" t="n"/>
      <c r="I951" s="11" t="n"/>
      <c r="J951" s="57" t="n"/>
      <c r="K951" s="12" t="n"/>
      <c r="L951" s="22" t="n"/>
      <c r="M951" s="13" t="n"/>
      <c r="N951" s="14">
        <f>ROUND(I951*(SUM(J951:M951))*68%,0)</f>
        <v/>
      </c>
      <c r="O951" s="61" t="n"/>
      <c r="P951" s="59" t="n"/>
      <c r="Q951" s="59" t="n"/>
      <c r="R951" s="58" t="n"/>
      <c r="S951" s="15">
        <f>I951*J951</f>
        <v/>
      </c>
      <c r="T951" s="15">
        <f>SUM(S951:S951)*68%</f>
        <v/>
      </c>
      <c r="U951" s="15">
        <f>I951*K951*40%*O951</f>
        <v/>
      </c>
      <c r="V951" s="15">
        <f>IF(P951&gt;=6750,(I951*K951*40%),0)</f>
        <v/>
      </c>
      <c r="W951" s="15">
        <f>IF(P951&lt;6750,0,IF(Q951="",0,IF(OR(Q951="KURANG",Q951="SANGAT KURANG"),I951*K951*10%,I951*K951*20%)))</f>
        <v/>
      </c>
      <c r="X951" s="15">
        <f>SUM(U951:W951)*68%</f>
        <v/>
      </c>
      <c r="Y951" s="15">
        <f>I951*L951</f>
        <v/>
      </c>
      <c r="Z951" s="15">
        <f>Y951 * 68%</f>
        <v/>
      </c>
      <c r="AA951" s="15">
        <f>I951*M951</f>
        <v/>
      </c>
      <c r="AB951" s="15">
        <f>AA951*68%</f>
        <v/>
      </c>
      <c r="AC951" s="16">
        <f>ROUND((T951+X951+Z951+AB951),0)</f>
        <v/>
      </c>
      <c r="AD951" s="16">
        <f>AG951</f>
        <v/>
      </c>
      <c r="AE951" s="16">
        <f>AI951</f>
        <v/>
      </c>
      <c r="AF951" s="16">
        <f>AC951+AD951+AE951</f>
        <v/>
      </c>
      <c r="AG951" s="16" t="n"/>
      <c r="AH951" s="17" t="n"/>
      <c r="AI951" s="17">
        <f>AH951*4</f>
        <v/>
      </c>
      <c r="AJ951" s="15">
        <f>AF951-AG951-AH951-AI951</f>
        <v/>
      </c>
      <c r="AK951" s="18" t="n">
        <v>944</v>
      </c>
      <c r="AL951" s="40" t="n"/>
    </row>
    <row r="952">
      <c r="B952" s="34" t="n"/>
      <c r="C952" s="34" t="n"/>
      <c r="D952" s="34" t="n"/>
      <c r="E952" s="34" t="n"/>
      <c r="F952" s="34" t="n"/>
      <c r="G952" s="34" t="n"/>
      <c r="H952" s="34" t="n"/>
      <c r="I952" s="34" t="n"/>
      <c r="K952" s="35" t="n"/>
      <c r="L952" s="36" t="n"/>
      <c r="M952" s="36" t="n"/>
      <c r="N952" s="14">
        <f>I952*(SUM(K952:M952))</f>
        <v/>
      </c>
      <c r="O952" s="37" t="n"/>
      <c r="P952" s="38" t="n"/>
      <c r="Q952" s="38" t="n"/>
      <c r="R952" s="38" t="n"/>
      <c r="S952" s="39" t="n"/>
      <c r="T952" s="38">
        <f>SUM(T8:T951)</f>
        <v/>
      </c>
      <c r="U952" s="39" t="n"/>
      <c r="V952" s="39" t="n"/>
      <c r="W952" s="39" t="n"/>
      <c r="X952" s="38">
        <f>SUM(X8:X951)</f>
        <v/>
      </c>
      <c r="Y952" s="39" t="n"/>
      <c r="Z952" s="38">
        <f>SUM(Z8:Z951)</f>
        <v/>
      </c>
      <c r="AA952" s="39" t="n"/>
      <c r="AB952" s="38">
        <f>SUM(AB8:AB951)</f>
        <v/>
      </c>
      <c r="AC952" s="38">
        <f>SUM(AC8:AC951)</f>
        <v/>
      </c>
      <c r="AD952" s="38">
        <f>SUM(AD8:AD951)</f>
        <v/>
      </c>
      <c r="AE952" s="38">
        <f>SUM(AE8:AE951)</f>
        <v/>
      </c>
      <c r="AF952" s="38">
        <f>SUM(AF8:AF951)</f>
        <v/>
      </c>
      <c r="AG952" s="38">
        <f>SUM(AG8:AG951)</f>
        <v/>
      </c>
      <c r="AH952" s="38">
        <f>SUM(AH8:AH951)</f>
        <v/>
      </c>
      <c r="AI952" s="38">
        <f>SUM(AI8:AI951)</f>
        <v/>
      </c>
      <c r="AJ952" s="38">
        <f>SUM(AJ8:AJ951)</f>
        <v/>
      </c>
    </row>
    <row r="953">
      <c r="B953" s="34" t="n"/>
      <c r="C953" s="34" t="n"/>
      <c r="D953" s="34" t="n"/>
      <c r="E953" s="34" t="n"/>
      <c r="F953" s="34" t="n"/>
      <c r="G953" s="34" t="n"/>
      <c r="H953" s="34" t="n"/>
      <c r="I953" s="34" t="n"/>
      <c r="K953" s="41" t="n"/>
      <c r="L953" s="34" t="n"/>
      <c r="M953" s="34" t="n"/>
    </row>
    <row r="954">
      <c r="B954" s="144" t="inlineStr">
        <is>
          <t>Mengetahui</t>
        </is>
      </c>
      <c r="D954" s="34" t="n"/>
      <c r="E954" s="34" t="n"/>
      <c r="F954" s="34" t="n"/>
      <c r="G954" s="34" t="n"/>
      <c r="H954" s="34" t="n"/>
      <c r="I954" s="34" t="n"/>
      <c r="K954" s="41" t="n"/>
      <c r="L954" s="34" t="n"/>
      <c r="M954" s="34" t="n"/>
    </row>
    <row r="955" ht="14.5" customHeight="1">
      <c r="B955" s="42" t="inlineStr">
        <is>
          <t>Pengguna Anggaran,</t>
        </is>
      </c>
      <c r="C955" s="42" t="n"/>
      <c r="D955" s="34" t="n"/>
      <c r="E955" s="34" t="n"/>
      <c r="F955" s="34" t="n"/>
      <c r="G955" s="34" t="n"/>
      <c r="H955" s="34" t="n"/>
      <c r="I955" s="34" t="n"/>
      <c r="K955" s="34" t="n"/>
      <c r="L955" s="34" t="n"/>
      <c r="M955" s="34" t="n"/>
      <c r="AA955" s="34" t="n"/>
      <c r="AB955" s="34" t="n"/>
    </row>
    <row r="956">
      <c r="B956" s="43" t="n"/>
      <c r="C956" s="43" t="n"/>
      <c r="D956" s="34" t="n"/>
      <c r="E956" s="34" t="n"/>
      <c r="F956" s="34" t="n"/>
      <c r="G956" s="34" t="n"/>
      <c r="H956" s="34" t="n"/>
      <c r="I956" s="34" t="n"/>
      <c r="K956" s="34" t="n"/>
      <c r="L956" s="34" t="n"/>
      <c r="M956" s="34" t="n"/>
      <c r="AA956" s="34" t="n"/>
      <c r="AB956" s="34" t="n"/>
    </row>
    <row r="957">
      <c r="B957" s="43" t="n"/>
      <c r="C957" s="43" t="n"/>
      <c r="D957" s="34" t="n"/>
      <c r="E957" s="34" t="n"/>
      <c r="F957" s="34" t="n"/>
      <c r="G957" s="34" t="n"/>
      <c r="H957" s="34" t="n"/>
      <c r="I957" s="34" t="n"/>
      <c r="K957" s="34" t="n"/>
      <c r="L957" s="34" t="n"/>
      <c r="M957" s="34" t="n"/>
      <c r="AA957" s="34" t="n"/>
      <c r="AB957" s="34" t="n"/>
    </row>
    <row r="958">
      <c r="B958" s="44" t="n"/>
      <c r="C958" s="44" t="n"/>
      <c r="AB958" s="34" t="n"/>
    </row>
    <row r="959">
      <c r="B959" s="44" t="n"/>
      <c r="C959" s="44" t="n"/>
      <c r="S959" s="46" t="n"/>
      <c r="T959" s="47" t="n"/>
      <c r="U959" s="47" t="n"/>
    </row>
    <row r="960">
      <c r="B960" s="145" t="inlineStr">
        <is>
          <t>…</t>
        </is>
      </c>
      <c r="S960" s="143" t="n"/>
    </row>
    <row r="961">
      <c r="B961" s="48" t="inlineStr">
        <is>
          <t>NIP. …</t>
        </is>
      </c>
      <c r="C961" s="48" t="n"/>
      <c r="S961" s="143" t="n"/>
    </row>
    <row r="962">
      <c r="X962" s="34" t="n"/>
      <c r="Y962" s="34" t="n"/>
      <c r="Z962" s="34" t="n"/>
      <c r="AA962" s="34" t="n"/>
      <c r="AB962" s="34" t="n"/>
    </row>
    <row r="963">
      <c r="V963" s="34" t="n"/>
      <c r="W963" s="34" t="n"/>
      <c r="X963" s="34" t="n"/>
      <c r="Y963" s="34" t="n"/>
      <c r="Z963" s="34" t="n"/>
      <c r="AA963" s="34" t="n"/>
      <c r="AB963" s="34" t="n"/>
    </row>
    <row r="964">
      <c r="V964" s="34" t="n"/>
      <c r="W964" s="34" t="n"/>
      <c r="X964" s="34" t="n"/>
      <c r="Y964" s="34" t="n"/>
      <c r="Z964" s="34" t="n"/>
      <c r="AA964" s="34" t="n"/>
      <c r="AB964" s="34" t="n"/>
    </row>
    <row r="965">
      <c r="V965" s="34" t="n"/>
      <c r="W965" s="34" t="n"/>
      <c r="X965" s="34" t="n"/>
      <c r="Y965" s="34" t="n"/>
      <c r="Z965" s="34" t="n"/>
      <c r="AA965" s="34" t="n"/>
      <c r="AB965" s="34" t="n"/>
    </row>
    <row r="966">
      <c r="V966" s="34" t="n"/>
      <c r="W966" s="34" t="n"/>
      <c r="X966" s="34" t="n"/>
      <c r="Y966" s="34" t="n"/>
      <c r="Z966" s="34" t="n"/>
      <c r="AA966" s="34" t="n"/>
      <c r="AB966" s="34" t="n"/>
    </row>
    <row r="967">
      <c r="V967" s="34" t="n"/>
      <c r="W967" s="34" t="n"/>
      <c r="X967" s="34" t="n"/>
      <c r="Y967" s="34" t="n"/>
      <c r="Z967" s="34" t="n"/>
      <c r="AA967" s="34" t="n"/>
      <c r="AB967" s="34" t="n"/>
    </row>
    <row r="968">
      <c r="V968" s="34" t="n"/>
      <c r="W968" s="34" t="n"/>
      <c r="X968" s="34" t="n"/>
      <c r="Y968" s="34" t="n"/>
      <c r="Z968" s="34" t="n"/>
      <c r="AA968" s="34" t="n"/>
      <c r="AB968" s="34" t="n"/>
    </row>
    <row r="969">
      <c r="T969" s="50" t="n"/>
      <c r="V969" s="34" t="n"/>
      <c r="W969" s="34" t="n"/>
      <c r="X969" s="50" t="n"/>
      <c r="Y969" s="34" t="n"/>
      <c r="Z969" s="50" t="n"/>
      <c r="AA969" s="34" t="n"/>
      <c r="AB969" s="50" t="n"/>
    </row>
    <row r="970">
      <c r="T970" s="51" t="n"/>
      <c r="U970" s="51" t="n"/>
      <c r="V970" s="83" t="n"/>
      <c r="W970" s="83" t="n"/>
      <c r="X970" s="83" t="n"/>
      <c r="Y970" s="83" t="n"/>
      <c r="Z970" s="83" t="n"/>
      <c r="AA970" s="83" t="n"/>
      <c r="AB970" s="83" t="n"/>
    </row>
    <row r="971">
      <c r="T971" s="51" t="n"/>
      <c r="U971" s="51" t="n"/>
      <c r="V971" s="83" t="n"/>
      <c r="W971" s="83" t="n"/>
      <c r="X971" s="51" t="n"/>
      <c r="Y971" s="83" t="n"/>
      <c r="Z971" s="51" t="n"/>
      <c r="AA971" s="83" t="n"/>
      <c r="AB971" s="51" t="n"/>
    </row>
    <row r="972">
      <c r="T972" s="51" t="n"/>
      <c r="U972" s="52" t="n"/>
      <c r="V972" s="53" t="n"/>
      <c r="W972" s="53" t="n"/>
      <c r="X972" s="51" t="n"/>
      <c r="Y972" s="53" t="n"/>
      <c r="Z972" s="51" t="n"/>
      <c r="AA972" s="53" t="n"/>
      <c r="AB972" s="51" t="n"/>
    </row>
    <row r="973">
      <c r="T973" s="52" t="n"/>
      <c r="U973" s="52" t="n"/>
      <c r="V973" s="53" t="n"/>
      <c r="W973" s="53" t="n"/>
      <c r="X973" s="53" t="n"/>
      <c r="Y973" s="53" t="n"/>
      <c r="Z973" s="53" t="n"/>
      <c r="AA973" s="53" t="n"/>
      <c r="AB973" s="53" t="n"/>
    </row>
    <row r="974">
      <c r="T974" s="52" t="n"/>
      <c r="U974" s="52" t="n"/>
      <c r="V974" s="53" t="n"/>
      <c r="W974" s="53" t="n"/>
      <c r="X974" s="53" t="n"/>
      <c r="Y974" s="53" t="n"/>
      <c r="Z974" s="53" t="n"/>
      <c r="AA974" s="53" t="n"/>
      <c r="AB974" s="53" t="n"/>
    </row>
    <row r="975">
      <c r="V975" s="34" t="n"/>
      <c r="W975" s="34" t="n"/>
      <c r="X975" s="34" t="n"/>
      <c r="Y975" s="34" t="n"/>
      <c r="Z975" s="34" t="n"/>
      <c r="AA975" s="34" t="n"/>
      <c r="AB975" s="34" t="n"/>
    </row>
    <row r="976">
      <c r="V976" s="34" t="n"/>
      <c r="W976" s="34" t="n"/>
      <c r="X976" s="34" t="n"/>
      <c r="Y976" s="34" t="n"/>
      <c r="Z976" s="34" t="n"/>
      <c r="AA976" s="34" t="n"/>
      <c r="AB976" s="34" t="n"/>
    </row>
    <row r="977">
      <c r="V977" s="34" t="n"/>
      <c r="W977" s="34" t="n"/>
      <c r="X977" s="34" t="n"/>
      <c r="Y977" s="34" t="n"/>
      <c r="Z977" s="34" t="n"/>
      <c r="AA977" s="34" t="n"/>
      <c r="AB977" s="34" t="n"/>
    </row>
    <row r="978">
      <c r="V978" s="34" t="n"/>
      <c r="W978" s="34" t="n"/>
      <c r="X978" s="34" t="n"/>
      <c r="Y978" s="34" t="n"/>
      <c r="Z978" s="34" t="n"/>
      <c r="AA978" s="34" t="n"/>
      <c r="AB978" s="34" t="n"/>
    </row>
    <row r="979">
      <c r="V979" s="34" t="n"/>
      <c r="W979" s="34" t="n"/>
      <c r="X979" s="34" t="n"/>
      <c r="Y979" s="34" t="n"/>
      <c r="Z979" s="34" t="n"/>
      <c r="AA979" s="34" t="n"/>
      <c r="AB979" s="34" t="n"/>
    </row>
    <row r="980">
      <c r="V980" s="34" t="n"/>
      <c r="W980" s="34" t="n"/>
      <c r="X980" s="34" t="n"/>
      <c r="Y980" s="34" t="n"/>
      <c r="Z980" s="34" t="n"/>
      <c r="AA980" s="34" t="n"/>
      <c r="AB980" s="34" t="n"/>
    </row>
    <row r="981">
      <c r="V981" s="34" t="n"/>
      <c r="W981" s="34" t="n"/>
      <c r="X981" s="34" t="n"/>
      <c r="Y981" s="34" t="n"/>
      <c r="Z981" s="34" t="n"/>
      <c r="AA981" s="34" t="n"/>
      <c r="AB981" s="34" t="n"/>
    </row>
    <row r="982">
      <c r="V982" s="34" t="n"/>
      <c r="W982" s="34" t="n"/>
      <c r="X982" s="34" t="n"/>
      <c r="Y982" s="34" t="n"/>
      <c r="Z982" s="34" t="n"/>
      <c r="AA982" s="34" t="n"/>
      <c r="AB982" s="34" t="n"/>
    </row>
    <row r="983">
      <c r="V983" s="34" t="n"/>
      <c r="W983" s="34" t="n"/>
      <c r="X983" s="34" t="n"/>
      <c r="Y983" s="34" t="n"/>
      <c r="Z983" s="34" t="n"/>
      <c r="AA983" s="34" t="n"/>
      <c r="AB983" s="34" t="n"/>
    </row>
    <row r="984">
      <c r="V984" s="34" t="n"/>
      <c r="W984" s="34" t="n"/>
      <c r="X984" s="34" t="n"/>
      <c r="Y984" s="34" t="n"/>
      <c r="Z984" s="34" t="n"/>
      <c r="AA984" s="34" t="n"/>
      <c r="AB984" s="34" t="n"/>
    </row>
    <row r="985">
      <c r="V985" s="34" t="n"/>
      <c r="W985" s="34" t="n"/>
      <c r="X985" s="34" t="n"/>
      <c r="Y985" s="34" t="n"/>
      <c r="Z985" s="34" t="n"/>
      <c r="AA985" s="34" t="n"/>
      <c r="AB985" s="34" t="n"/>
    </row>
    <row r="986">
      <c r="V986" s="34" t="n"/>
      <c r="W986" s="34" t="n"/>
      <c r="X986" s="34" t="n"/>
      <c r="Y986" s="34" t="n"/>
      <c r="Z986" s="34" t="n"/>
      <c r="AA986" s="34" t="n"/>
      <c r="AB986" s="34" t="n"/>
    </row>
    <row r="987">
      <c r="V987" s="34" t="n"/>
      <c r="W987" s="34" t="n"/>
      <c r="X987" s="34" t="n"/>
      <c r="Y987" s="34" t="n"/>
      <c r="Z987" s="34" t="n"/>
      <c r="AA987" s="34" t="n"/>
      <c r="AB987" s="34" t="n"/>
    </row>
    <row r="988">
      <c r="V988" s="34" t="n"/>
      <c r="W988" s="34" t="n"/>
      <c r="X988" s="34" t="n"/>
      <c r="Y988" s="34" t="n"/>
      <c r="Z988" s="34" t="n"/>
      <c r="AA988" s="34" t="n"/>
      <c r="AB988" s="34" t="n"/>
    </row>
  </sheetData>
  <mergeCells count="44">
    <mergeCell ref="I5:I7"/>
    <mergeCell ref="AF5:AF7"/>
    <mergeCell ref="O5:Q5"/>
    <mergeCell ref="B960:C960"/>
    <mergeCell ref="D5:D7"/>
    <mergeCell ref="B954:C954"/>
    <mergeCell ref="S960:W960"/>
    <mergeCell ref="AA6:AA7"/>
    <mergeCell ref="A5:A7"/>
    <mergeCell ref="G5:G7"/>
    <mergeCell ref="P6:P7"/>
    <mergeCell ref="AJ5:AJ7"/>
    <mergeCell ref="J6:J7"/>
    <mergeCell ref="B5:B7"/>
    <mergeCell ref="X6:X7"/>
    <mergeCell ref="AE5:AE7"/>
    <mergeCell ref="R5:R7"/>
    <mergeCell ref="A1:AI1"/>
    <mergeCell ref="M6:M7"/>
    <mergeCell ref="AG5:AG7"/>
    <mergeCell ref="Q6:Q7"/>
    <mergeCell ref="AI5:AI7"/>
    <mergeCell ref="H5:H7"/>
    <mergeCell ref="J5:M5"/>
    <mergeCell ref="Y6:Y7"/>
    <mergeCell ref="AD5:AD7"/>
    <mergeCell ref="S961:W961"/>
    <mergeCell ref="AK5:AL7"/>
    <mergeCell ref="A3:AI3"/>
    <mergeCell ref="AC6:AC7"/>
    <mergeCell ref="L6:L7"/>
    <mergeCell ref="C5:C7"/>
    <mergeCell ref="T6:T7"/>
    <mergeCell ref="E5:E7"/>
    <mergeCell ref="AH5:AH7"/>
    <mergeCell ref="F5:F7"/>
    <mergeCell ref="Z6:Z7"/>
    <mergeCell ref="U6:W6"/>
    <mergeCell ref="A2:AI2"/>
    <mergeCell ref="AB6:AB7"/>
    <mergeCell ref="N5:N7"/>
    <mergeCell ref="S5:AC5"/>
    <mergeCell ref="K6:K7"/>
    <mergeCell ref="O6:O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54"/>
  <sheetViews>
    <sheetView topLeftCell="S1" workbookViewId="0">
      <selection activeCell="AC8" sqref="AC8:AC15"/>
    </sheetView>
  </sheetViews>
  <sheetFormatPr baseColWidth="10" defaultColWidth="8.83203125" defaultRowHeight="16"/>
  <cols>
    <col width="4.5" customWidth="1" style="3" min="1" max="1"/>
    <col width="32.6640625" customWidth="1" min="2" max="2"/>
    <col width="26.33203125" customWidth="1" min="3" max="3"/>
    <col width="30" customWidth="1" min="4" max="4"/>
    <col width="45.6640625" customWidth="1" min="5" max="5"/>
    <col width="10" customWidth="1" min="6" max="6"/>
    <col width="6.5" customWidth="1" min="7" max="7"/>
    <col width="3.83203125" bestFit="1" customWidth="1" min="8" max="8"/>
    <col width="12.5" customWidth="1" min="9" max="9"/>
    <col hidden="1" width="8.5" customWidth="1" min="10" max="13"/>
    <col width="14.1640625" customWidth="1" min="14" max="14"/>
    <col width="9.5" customWidth="1" style="45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2.5" customWidth="1" min="27" max="27"/>
    <col width="13.5" customWidth="1" min="28" max="28"/>
    <col width="13" customWidth="1" min="29" max="29"/>
    <col width="13.5" customWidth="1" min="30" max="30"/>
    <col width="13" customWidth="1" min="31" max="33"/>
    <col width="11.5" customWidth="1" min="34" max="35"/>
    <col width="13" customWidth="1" min="36" max="36"/>
    <col width="3.5" customWidth="1" min="37" max="37"/>
    <col width="17" customWidth="1" min="38" max="38"/>
    <col width="7.33203125" customWidth="1" min="39" max="39"/>
  </cols>
  <sheetData>
    <row r="1" ht="28" customHeight="1">
      <c r="A1" s="146" t="inlineStr">
        <is>
          <t>DAFTAR TANDA TERIMA PEMBAYARAN TPP ASN (PLT/PLH/PJ)</t>
        </is>
      </c>
      <c r="AM1" s="146" t="n"/>
    </row>
    <row r="2" ht="28" customHeight="1">
      <c r="A2" s="146" t="n"/>
      <c r="AM2" s="146" t="n"/>
    </row>
    <row r="3" ht="28" customHeight="1">
      <c r="A3" s="147" t="n"/>
      <c r="AM3" s="70" t="n"/>
    </row>
    <row r="4"/>
    <row r="5" ht="16" customHeight="1">
      <c r="A5" s="117" t="inlineStr">
        <is>
          <t>NO</t>
        </is>
      </c>
      <c r="B5" s="117" t="inlineStr">
        <is>
          <t>NAMA</t>
        </is>
      </c>
      <c r="C5" s="135" t="inlineStr">
        <is>
          <t>NIP</t>
        </is>
      </c>
      <c r="D5" s="136" t="inlineStr">
        <is>
          <t>PANGKAT/
GOLONGAN</t>
        </is>
      </c>
      <c r="E5" s="117" t="inlineStr">
        <is>
          <t>JABATAN</t>
        </is>
      </c>
      <c r="F5" s="116" t="inlineStr">
        <is>
          <t>JENIS JABATAN</t>
        </is>
      </c>
      <c r="G5" s="117" t="inlineStr">
        <is>
          <t>KELAS</t>
        </is>
      </c>
      <c r="H5" s="161" t="inlineStr">
        <is>
          <t>KET</t>
        </is>
      </c>
      <c r="I5" s="121" t="inlineStr">
        <is>
          <t>Basic TPP</t>
        </is>
      </c>
      <c r="J5" s="162" t="inlineStr">
        <is>
          <t>Persentase</t>
        </is>
      </c>
      <c r="K5" s="163" t="n"/>
      <c r="L5" s="163" t="n"/>
      <c r="M5" s="164" t="n"/>
      <c r="N5" s="125" t="inlineStr">
        <is>
          <t>Pagu TPP ASN</t>
        </is>
      </c>
      <c r="O5" s="165" t="inlineStr">
        <is>
          <t>Disiplin dan Produktivitas</t>
        </is>
      </c>
      <c r="P5" s="163" t="n"/>
      <c r="Q5" s="164" t="n"/>
      <c r="R5" s="129" t="n"/>
      <c r="S5" s="148" t="n"/>
      <c r="T5" s="167" t="n"/>
      <c r="U5" s="167" t="n"/>
      <c r="V5" s="167" t="n"/>
      <c r="W5" s="167" t="n"/>
      <c r="X5" s="167" t="n"/>
      <c r="Y5" s="167" t="n"/>
      <c r="Z5" s="167" t="n"/>
      <c r="AA5" s="167" t="n"/>
      <c r="AB5" s="167" t="n"/>
      <c r="AC5" s="168" t="n"/>
      <c r="AD5" s="169" t="inlineStr">
        <is>
          <t>Tunjangan PPH 21 (TER)</t>
        </is>
      </c>
      <c r="AE5" s="169" t="inlineStr">
        <is>
          <t>Tunjangan BPJS 4%</t>
        </is>
      </c>
      <c r="AF5" s="170" t="inlineStr">
        <is>
          <t>Jumlah Pembayaran</t>
        </is>
      </c>
      <c r="AG5" s="171" t="inlineStr">
        <is>
          <t>PPH 21 (TER)</t>
        </is>
      </c>
      <c r="AH5" s="171" t="inlineStr">
        <is>
          <t>BPJS 1%</t>
        </is>
      </c>
      <c r="AI5" s="111" t="inlineStr">
        <is>
          <t>BPJS 4%</t>
        </is>
      </c>
      <c r="AJ5" s="114" t="inlineStr">
        <is>
          <t>TPP DITERIMA/
TRANSFER</t>
        </is>
      </c>
      <c r="AK5" s="181" t="inlineStr">
        <is>
          <t>TANDA TANGAN</t>
        </is>
      </c>
      <c r="AL5" s="182" t="n"/>
      <c r="AM5" s="71" t="n"/>
    </row>
    <row r="6" ht="14.5" customHeight="1">
      <c r="A6" s="173" t="n"/>
      <c r="B6" s="173" t="n"/>
      <c r="C6" s="174" t="n"/>
      <c r="D6" s="174" t="n"/>
      <c r="E6" s="173" t="n"/>
      <c r="F6" s="173" t="n"/>
      <c r="G6" s="173" t="n"/>
      <c r="H6" s="174" t="n"/>
      <c r="I6" s="173" t="n"/>
      <c r="J6" s="125" t="inlineStr">
        <is>
          <t>Beban Kerja</t>
        </is>
      </c>
      <c r="K6" s="125" t="inlineStr">
        <is>
          <t>Prestasi Kerja</t>
        </is>
      </c>
      <c r="L6" s="125" t="inlineStr">
        <is>
          <t>Kondisi Kerja</t>
        </is>
      </c>
      <c r="M6" s="125" t="inlineStr">
        <is>
          <t>Kelangkaan Profesi</t>
        </is>
      </c>
      <c r="N6" s="174" t="n"/>
      <c r="O6" s="130" t="inlineStr">
        <is>
          <t>Absensi</t>
        </is>
      </c>
      <c r="P6" s="130" t="inlineStr">
        <is>
          <t>Aktivitas (menit)</t>
        </is>
      </c>
      <c r="Q6" s="130" t="inlineStr">
        <is>
          <t>Penilaian Kinerja</t>
        </is>
      </c>
      <c r="R6" s="72" t="inlineStr">
        <is>
          <t>PPH21</t>
        </is>
      </c>
      <c r="S6" s="110" t="n"/>
      <c r="T6" s="114" t="inlineStr">
        <is>
          <t>Jumlah Beban Kerja</t>
        </is>
      </c>
      <c r="U6" s="149" t="inlineStr">
        <is>
          <t>Prestasi Kerja</t>
        </is>
      </c>
      <c r="V6" s="167" t="n"/>
      <c r="W6" s="168" t="n"/>
      <c r="X6" s="138" t="inlineStr">
        <is>
          <t>Jumlah Prestasi Kerja</t>
        </is>
      </c>
      <c r="Y6" s="150" t="inlineStr">
        <is>
          <t>Kondisi Kerja</t>
        </is>
      </c>
      <c r="Z6" s="150" t="inlineStr">
        <is>
          <t>Jumlah Kondisi Kerja</t>
        </is>
      </c>
      <c r="AA6" s="151" t="inlineStr">
        <is>
          <t>Kelangkaan Profesi</t>
        </is>
      </c>
      <c r="AB6" s="151" t="inlineStr">
        <is>
          <t>Jumlah Kelangaan Profesi</t>
        </is>
      </c>
      <c r="AC6" s="137" t="inlineStr">
        <is>
          <t xml:space="preserve">Jumlah </t>
        </is>
      </c>
      <c r="AD6" s="174" t="n"/>
      <c r="AE6" s="174" t="n"/>
      <c r="AF6" s="174" t="n"/>
      <c r="AG6" s="174" t="n"/>
      <c r="AH6" s="174" t="n"/>
      <c r="AI6" s="174" t="n"/>
      <c r="AJ6" s="173" t="n"/>
      <c r="AK6" s="183" t="n"/>
      <c r="AL6" s="184" t="n"/>
      <c r="AM6" s="71" t="n"/>
    </row>
    <row r="7" ht="34" customHeight="1">
      <c r="A7" s="177" t="n"/>
      <c r="B7" s="177" t="n"/>
      <c r="C7" s="174" t="n"/>
      <c r="D7" s="174" t="n"/>
      <c r="E7" s="177" t="n"/>
      <c r="F7" s="177" t="n"/>
      <c r="G7" s="177" t="n"/>
      <c r="H7" s="178" t="n"/>
      <c r="I7" s="177" t="n"/>
      <c r="J7" s="174" t="n"/>
      <c r="K7" s="174" t="n"/>
      <c r="L7" s="174" t="n"/>
      <c r="M7" s="174" t="n"/>
      <c r="N7" s="174" t="n"/>
      <c r="O7" s="174" t="n"/>
      <c r="P7" s="174" t="n"/>
      <c r="Q7" s="174" t="n"/>
      <c r="R7" s="131" t="inlineStr">
        <is>
          <t>%</t>
        </is>
      </c>
      <c r="S7" s="5" t="inlineStr">
        <is>
          <t>beban kerja</t>
        </is>
      </c>
      <c r="T7" s="177" t="n"/>
      <c r="U7" s="138" t="inlineStr">
        <is>
          <t>Absensi (40%)</t>
        </is>
      </c>
      <c r="V7" s="138" t="inlineStr">
        <is>
          <t>Aktivitas (40%)</t>
        </is>
      </c>
      <c r="W7" s="138" t="inlineStr">
        <is>
          <t>Kinerja (20%)</t>
        </is>
      </c>
      <c r="X7" s="177" t="n"/>
      <c r="Y7" s="177" t="n"/>
      <c r="Z7" s="177" t="n"/>
      <c r="AA7" s="177" t="n"/>
      <c r="AB7" s="177" t="n"/>
      <c r="AC7" s="177" t="n"/>
      <c r="AD7" s="178" t="n"/>
      <c r="AE7" s="178" t="n"/>
      <c r="AF7" s="178" t="n"/>
      <c r="AG7" s="178" t="n"/>
      <c r="AH7" s="178" t="n"/>
      <c r="AI7" s="174" t="n"/>
      <c r="AJ7" s="177" t="n"/>
      <c r="AK7" s="183" t="n"/>
      <c r="AL7" s="184" t="n"/>
      <c r="AM7" s="71" t="n"/>
    </row>
    <row r="8" ht="23.5" customHeight="1">
      <c r="A8" s="6" t="inlineStr">
        <is>
          <t>1</t>
        </is>
      </c>
      <c r="B8" s="7" t="n"/>
      <c r="C8" s="8" t="n"/>
      <c r="D8" s="9" t="n"/>
      <c r="E8" s="26" t="n"/>
      <c r="F8" s="20" t="n"/>
      <c r="G8" s="10" t="n"/>
      <c r="H8" s="8" t="n"/>
      <c r="I8" s="11" t="n"/>
      <c r="J8" s="73" t="n"/>
      <c r="K8" s="12" t="n"/>
      <c r="L8" s="13" t="n"/>
      <c r="M8" s="13" t="n"/>
      <c r="N8" s="14">
        <f>I8*(SUM(J8:M8))</f>
        <v/>
      </c>
      <c r="O8" s="61" t="n"/>
      <c r="P8" s="59" t="n"/>
      <c r="Q8" s="59" t="n"/>
      <c r="R8" s="58" t="n"/>
      <c r="S8" s="15">
        <f>I8*J8</f>
        <v/>
      </c>
      <c r="T8" s="15">
        <f>ROUND(SUM(S8:S8)*20%,)</f>
        <v/>
      </c>
      <c r="U8" s="15">
        <f>I8*K8*40%*O8</f>
        <v/>
      </c>
      <c r="V8" s="15">
        <f>IF(P8&gt;=6750,(I8*K8*40%),0)</f>
        <v/>
      </c>
      <c r="W8" s="15">
        <f>IF(P8&lt;6750,0,IF(Q8="",0,IF(OR(Q8="KURANG",Q8="SANGAT KURANG"),I8*K8*10%,I8*K8*20%)))</f>
        <v/>
      </c>
      <c r="X8" s="15">
        <f>SUM(U8:W8)*20%</f>
        <v/>
      </c>
      <c r="Y8" s="15">
        <f>I8*L8</f>
        <v/>
      </c>
      <c r="Z8" s="15">
        <f>Y8*20%</f>
        <v/>
      </c>
      <c r="AA8" s="15">
        <f>I8*M8</f>
        <v/>
      </c>
      <c r="AB8" s="15">
        <f>AA8*20%</f>
        <v/>
      </c>
      <c r="AC8" s="16">
        <f>ROUND((T8+X8+Z8+AB8),0)</f>
        <v/>
      </c>
      <c r="AD8" s="16">
        <f>AG8</f>
        <v/>
      </c>
      <c r="AE8" s="16">
        <f>AI8</f>
        <v/>
      </c>
      <c r="AF8" s="16">
        <f>AC8+AD8+AE8</f>
        <v/>
      </c>
      <c r="AG8" s="16" t="n"/>
      <c r="AH8" s="17" t="n"/>
      <c r="AI8" s="17">
        <f>AH8*4</f>
        <v/>
      </c>
      <c r="AJ8" s="15">
        <f>AF8-AG8-AH8-AI8</f>
        <v/>
      </c>
      <c r="AK8" s="18" t="n">
        <v>1</v>
      </c>
      <c r="AL8" s="74" t="n"/>
      <c r="AM8" s="71" t="n"/>
    </row>
    <row r="9" ht="23.5" customHeight="1">
      <c r="A9" s="6" t="n">
        <v>2</v>
      </c>
      <c r="B9" s="75" t="n"/>
      <c r="C9" s="8" t="n"/>
      <c r="D9" s="9" t="n"/>
      <c r="E9" s="26" t="n"/>
      <c r="F9" s="25" t="n"/>
      <c r="G9" s="20" t="n"/>
      <c r="H9" s="21" t="n"/>
      <c r="I9" s="11" t="n"/>
      <c r="J9" s="73" t="n"/>
      <c r="K9" s="12" t="n"/>
      <c r="L9" s="13" t="n"/>
      <c r="M9" s="22" t="n"/>
      <c r="N9" s="14">
        <f>I9*(SUM(J9:M9))</f>
        <v/>
      </c>
      <c r="O9" s="61" t="n"/>
      <c r="P9" s="59" t="n"/>
      <c r="Q9" s="59" t="n"/>
      <c r="R9" s="58" t="n"/>
      <c r="S9" s="15">
        <f>I9*J9</f>
        <v/>
      </c>
      <c r="T9" s="15">
        <f>ROUND(SUM(S9:S9)*20%,)</f>
        <v/>
      </c>
      <c r="U9" s="14">
        <f>I9*K9*40%*O9</f>
        <v/>
      </c>
      <c r="V9" s="14">
        <f>IF(P9&gt;=6750,(I9*K9*40%),0)</f>
        <v/>
      </c>
      <c r="W9" s="15">
        <f>IF(P9&lt;6750,0,IF(Q9="",0,IF(OR(Q9="KURANG",Q9="SANGAT KURANG"),I9*K9*10%,I9*K9*20%)))</f>
        <v/>
      </c>
      <c r="X9" s="15">
        <f>SUM(U9:W9)*20%</f>
        <v/>
      </c>
      <c r="Y9" s="14">
        <f>I9*L9</f>
        <v/>
      </c>
      <c r="Z9" s="15">
        <f>Y9*20%</f>
        <v/>
      </c>
      <c r="AA9" s="14">
        <f>I9*M9</f>
        <v/>
      </c>
      <c r="AB9" s="15">
        <f>AA9*20%</f>
        <v/>
      </c>
      <c r="AC9" s="16">
        <f>ROUND((T9+X9+Z9+AB9),0)</f>
        <v/>
      </c>
      <c r="AD9" s="16">
        <f>AG9</f>
        <v/>
      </c>
      <c r="AE9" s="16">
        <f>AI9</f>
        <v/>
      </c>
      <c r="AF9" s="16">
        <f>AC9+AD9+AE9</f>
        <v/>
      </c>
      <c r="AG9" s="16" t="n"/>
      <c r="AH9" s="76" t="n"/>
      <c r="AI9" s="17">
        <f>AH9*4</f>
        <v/>
      </c>
      <c r="AJ9" s="15">
        <f>AF9-AG9-AH9-AI9</f>
        <v/>
      </c>
      <c r="AK9" s="18" t="n">
        <v>2</v>
      </c>
      <c r="AL9" s="23" t="n"/>
      <c r="AM9" s="71" t="n"/>
    </row>
    <row r="10" ht="23.5" customHeight="1">
      <c r="A10" s="6" t="n">
        <v>3</v>
      </c>
      <c r="B10" s="75" t="n"/>
      <c r="C10" s="8" t="n"/>
      <c r="D10" s="19" t="n"/>
      <c r="E10" s="26" t="n"/>
      <c r="F10" s="20" t="n"/>
      <c r="G10" s="20" t="n"/>
      <c r="H10" s="21" t="n"/>
      <c r="I10" s="11" t="n"/>
      <c r="J10" s="73" t="n"/>
      <c r="K10" s="12" t="n"/>
      <c r="L10" s="13" t="n"/>
      <c r="M10" s="22" t="n"/>
      <c r="N10" s="77">
        <f>I10*(SUM(J10:M10))*20%</f>
        <v/>
      </c>
      <c r="O10" s="61" t="n"/>
      <c r="P10" s="59" t="n"/>
      <c r="Q10" s="59" t="n"/>
      <c r="R10" s="58" t="n"/>
      <c r="S10" s="15">
        <f>I10*J10</f>
        <v/>
      </c>
      <c r="T10" s="15">
        <f>ROUND(SUM(S10:S10)*20%,)</f>
        <v/>
      </c>
      <c r="U10" s="15">
        <f>I10*K10*40%*O10</f>
        <v/>
      </c>
      <c r="V10" s="15">
        <f>IF(P10&gt;=6750,(I10*K10*40%),0)</f>
        <v/>
      </c>
      <c r="W10" s="15">
        <f>IF(P10&lt;6750,0,IF(Q10="",0,IF(OR(Q10="KURANG",Q10="SANGAT KURANG"),I10*K10*10%,I10*K10*20%)))</f>
        <v/>
      </c>
      <c r="X10" s="15">
        <f>SUM(U10:W10)*20%</f>
        <v/>
      </c>
      <c r="Y10" s="15">
        <f>I10*L10</f>
        <v/>
      </c>
      <c r="Z10" s="15">
        <f>Y10*20%</f>
        <v/>
      </c>
      <c r="AA10" s="15">
        <f>I10*M10</f>
        <v/>
      </c>
      <c r="AB10" s="15">
        <f>AA10*20%</f>
        <v/>
      </c>
      <c r="AC10" s="16">
        <f>ROUND((T10+X10+Z10+AB10),0)</f>
        <v/>
      </c>
      <c r="AD10" s="16">
        <f>AG10</f>
        <v/>
      </c>
      <c r="AE10" s="16">
        <f>AI10</f>
        <v/>
      </c>
      <c r="AF10" s="16">
        <f>AC10+AD10+AE10</f>
        <v/>
      </c>
      <c r="AG10" s="78" t="n"/>
      <c r="AH10" s="76" t="n"/>
      <c r="AI10" s="17">
        <f>AH10*4</f>
        <v/>
      </c>
      <c r="AJ10" s="15">
        <f>AF10-AG10-AH10-AI10</f>
        <v/>
      </c>
      <c r="AK10" s="18" t="n">
        <v>3</v>
      </c>
      <c r="AL10" s="23" t="n"/>
      <c r="AM10" s="71" t="n"/>
    </row>
    <row r="11" ht="23.5" customHeight="1">
      <c r="A11" s="6" t="n">
        <v>4</v>
      </c>
      <c r="B11" s="75" t="n"/>
      <c r="C11" s="8" t="n"/>
      <c r="D11" s="19" t="n"/>
      <c r="E11" s="26" t="n"/>
      <c r="F11" s="25" t="n"/>
      <c r="G11" s="20" t="n"/>
      <c r="H11" s="21" t="n"/>
      <c r="I11" s="11" t="n"/>
      <c r="J11" s="73" t="n"/>
      <c r="K11" s="12" t="n"/>
      <c r="L11" s="13" t="n"/>
      <c r="M11" s="22" t="n"/>
      <c r="N11" s="77">
        <f>I11*(SUM(J11:M11))*20%</f>
        <v/>
      </c>
      <c r="O11" s="61" t="n"/>
      <c r="P11" s="59" t="n"/>
      <c r="Q11" s="59" t="n"/>
      <c r="R11" s="58" t="n"/>
      <c r="S11" s="15">
        <f>I11*J11</f>
        <v/>
      </c>
      <c r="T11" s="15">
        <f>ROUND(SUM(S11:S11)*20%,)</f>
        <v/>
      </c>
      <c r="U11" s="15">
        <f>I11*K11*40%*O11</f>
        <v/>
      </c>
      <c r="V11" s="15">
        <f>IF(P11&gt;=6750,(I11*K11*40%),0)</f>
        <v/>
      </c>
      <c r="W11" s="15">
        <f>IF(P11&lt;6750,0,IF(Q11="",0,IF(OR(Q11="KURANG",Q11="SANGAT KURANG"),I11*K11*10%,I11*K11*20%)))</f>
        <v/>
      </c>
      <c r="X11" s="15">
        <f>SUM(U11:W11)*20%</f>
        <v/>
      </c>
      <c r="Y11" s="15">
        <f>I11*L11</f>
        <v/>
      </c>
      <c r="Z11" s="15">
        <f>Y11*20%</f>
        <v/>
      </c>
      <c r="AA11" s="15">
        <f>I11*M11</f>
        <v/>
      </c>
      <c r="AB11" s="15">
        <f>AA11*20%</f>
        <v/>
      </c>
      <c r="AC11" s="16">
        <f>ROUND((T11+X11+Z11+AB11),0)</f>
        <v/>
      </c>
      <c r="AD11" s="16">
        <f>AG11</f>
        <v/>
      </c>
      <c r="AE11" s="16">
        <f>AI11</f>
        <v/>
      </c>
      <c r="AF11" s="16">
        <f>AC11+AD11+AE11</f>
        <v/>
      </c>
      <c r="AG11" s="78" t="n"/>
      <c r="AH11" s="76" t="n"/>
      <c r="AI11" s="17">
        <f>AH11*4</f>
        <v/>
      </c>
      <c r="AJ11" s="15">
        <f>AF11-AG11-AH11-AI11</f>
        <v/>
      </c>
      <c r="AK11" s="18" t="n">
        <v>4</v>
      </c>
      <c r="AL11" s="23" t="n"/>
      <c r="AM11" s="71" t="n"/>
    </row>
    <row r="12" ht="23.5" customHeight="1">
      <c r="A12" s="6" t="n">
        <v>3</v>
      </c>
      <c r="B12" s="75" t="n"/>
      <c r="C12" s="8" t="n"/>
      <c r="D12" s="19" t="n"/>
      <c r="E12" s="26" t="n"/>
      <c r="F12" s="20" t="n"/>
      <c r="G12" s="20" t="n"/>
      <c r="H12" s="21" t="n"/>
      <c r="I12" s="11" t="n"/>
      <c r="J12" s="73" t="n"/>
      <c r="K12" s="12" t="n"/>
      <c r="L12" s="13" t="n"/>
      <c r="M12" s="22" t="n"/>
      <c r="N12" s="77">
        <f>I12*(SUM(J12:M12))*20%</f>
        <v/>
      </c>
      <c r="O12" s="61" t="n"/>
      <c r="P12" s="59" t="n"/>
      <c r="Q12" s="59" t="n"/>
      <c r="R12" s="58" t="n"/>
      <c r="S12" s="15">
        <f>I12*J12</f>
        <v/>
      </c>
      <c r="T12" s="15">
        <f>ROUND(SUM(S12:S12)*20%,)</f>
        <v/>
      </c>
      <c r="U12" s="15">
        <f>I12*K12*40%*O12</f>
        <v/>
      </c>
      <c r="V12" s="15">
        <f>IF(P12&gt;=6750,(I12*K12*40%),0)</f>
        <v/>
      </c>
      <c r="W12" s="15">
        <f>IF(P12&lt;6750,0,IF(Q12="",0,IF(OR(Q12="KURANG",Q12="SANGAT KURANG"),I12*K12*10%,I12*K12*20%)))</f>
        <v/>
      </c>
      <c r="X12" s="15">
        <f>SUM(U12:W12)*20%</f>
        <v/>
      </c>
      <c r="Y12" s="15">
        <f>I12*L12</f>
        <v/>
      </c>
      <c r="Z12" s="15">
        <f>Y12*20%</f>
        <v/>
      </c>
      <c r="AA12" s="15">
        <f>I12*M12</f>
        <v/>
      </c>
      <c r="AB12" s="15">
        <f>AA12*20%</f>
        <v/>
      </c>
      <c r="AC12" s="16">
        <f>ROUND((T12+X12+Z12+AB12),0)</f>
        <v/>
      </c>
      <c r="AD12" s="16">
        <f>AG12</f>
        <v/>
      </c>
      <c r="AE12" s="16">
        <f>AI12</f>
        <v/>
      </c>
      <c r="AF12" s="16">
        <f>AC12+AD12+AE12</f>
        <v/>
      </c>
      <c r="AG12" s="78" t="n"/>
      <c r="AH12" s="76" t="n"/>
      <c r="AI12" s="17">
        <f>AH12*4</f>
        <v/>
      </c>
      <c r="AJ12" s="15">
        <f>AF12-AG12-AH12-AI12</f>
        <v/>
      </c>
      <c r="AK12" s="18" t="n">
        <v>5</v>
      </c>
      <c r="AL12" s="23" t="n"/>
      <c r="AM12" s="71" t="n"/>
    </row>
    <row r="13" ht="23.5" customHeight="1">
      <c r="A13" s="6" t="n">
        <v>4</v>
      </c>
      <c r="B13" s="75" t="n"/>
      <c r="C13" s="8" t="n"/>
      <c r="D13" s="19" t="n"/>
      <c r="E13" s="26" t="n"/>
      <c r="F13" s="25" t="n"/>
      <c r="G13" s="20" t="n"/>
      <c r="H13" s="21" t="n"/>
      <c r="I13" s="11" t="n"/>
      <c r="J13" s="73" t="n"/>
      <c r="K13" s="12" t="n"/>
      <c r="L13" s="13" t="n"/>
      <c r="M13" s="22" t="n"/>
      <c r="N13" s="77">
        <f>I13*(SUM(J13:M13))*20%</f>
        <v/>
      </c>
      <c r="O13" s="61" t="n"/>
      <c r="P13" s="59" t="n"/>
      <c r="Q13" s="59" t="n"/>
      <c r="R13" s="58" t="n"/>
      <c r="S13" s="15">
        <f>I13*J13</f>
        <v/>
      </c>
      <c r="T13" s="15">
        <f>ROUND(SUM(S13:S13)*20%,)</f>
        <v/>
      </c>
      <c r="U13" s="15">
        <f>I13*K13*40%*O13</f>
        <v/>
      </c>
      <c r="V13" s="15">
        <f>IF(P13&gt;=6750,(I13*K13*40%),0)</f>
        <v/>
      </c>
      <c r="W13" s="15">
        <f>IF(P13&lt;6750,0,IF(Q13="",0,IF(OR(Q13="KURANG",Q13="SANGAT KURANG"),I13*K13*10%,I13*K13*20%)))</f>
        <v/>
      </c>
      <c r="X13" s="15">
        <f>SUM(U13:W13)*20%</f>
        <v/>
      </c>
      <c r="Y13" s="15">
        <f>I13*L13</f>
        <v/>
      </c>
      <c r="Z13" s="15">
        <f>Y13*20%</f>
        <v/>
      </c>
      <c r="AA13" s="15">
        <f>I13*M13</f>
        <v/>
      </c>
      <c r="AB13" s="15">
        <f>AA13*20%</f>
        <v/>
      </c>
      <c r="AC13" s="16">
        <f>ROUND((T13+X13+Z13+AB13),0)</f>
        <v/>
      </c>
      <c r="AD13" s="16">
        <f>AG13</f>
        <v/>
      </c>
      <c r="AE13" s="16">
        <f>AI13</f>
        <v/>
      </c>
      <c r="AF13" s="16">
        <f>AC13+AD13+AE13</f>
        <v/>
      </c>
      <c r="AG13" s="78" t="n"/>
      <c r="AH13" s="76" t="n"/>
      <c r="AI13" s="17">
        <f>AH13*4</f>
        <v/>
      </c>
      <c r="AJ13" s="15">
        <f>AF13-AG13-AH13-AI13</f>
        <v/>
      </c>
      <c r="AK13" s="18" t="n">
        <v>6</v>
      </c>
      <c r="AL13" s="23" t="n"/>
      <c r="AM13" s="71" t="n"/>
    </row>
    <row r="14" ht="23.5" customHeight="1">
      <c r="A14" s="6" t="n">
        <v>3</v>
      </c>
      <c r="B14" s="75" t="n"/>
      <c r="C14" s="8" t="n"/>
      <c r="D14" s="19" t="n"/>
      <c r="E14" s="26" t="n"/>
      <c r="F14" s="20" t="n"/>
      <c r="G14" s="20" t="n"/>
      <c r="H14" s="21" t="n"/>
      <c r="I14" s="11" t="n"/>
      <c r="J14" s="73" t="n"/>
      <c r="K14" s="12" t="n"/>
      <c r="L14" s="13" t="n"/>
      <c r="M14" s="22" t="n"/>
      <c r="N14" s="77">
        <f>I14*(SUM(J14:M14))*20%</f>
        <v/>
      </c>
      <c r="O14" s="61" t="n"/>
      <c r="P14" s="59" t="n"/>
      <c r="Q14" s="59" t="n"/>
      <c r="R14" s="58" t="n"/>
      <c r="S14" s="15">
        <f>I14*J14</f>
        <v/>
      </c>
      <c r="T14" s="15">
        <f>ROUND(SUM(S14:S14)*20%,)</f>
        <v/>
      </c>
      <c r="U14" s="15">
        <f>I14*K14*40%*O14</f>
        <v/>
      </c>
      <c r="V14" s="15">
        <f>IF(P14&gt;=6750,(I14*K14*40%),0)</f>
        <v/>
      </c>
      <c r="W14" s="15">
        <f>IF(P14&lt;6750,0,IF(Q14="",0,IF(OR(Q14="KURANG",Q14="SANGAT KURANG"),I14*K14*10%,I14*K14*20%)))</f>
        <v/>
      </c>
      <c r="X14" s="15">
        <f>SUM(U14:W14)*20%</f>
        <v/>
      </c>
      <c r="Y14" s="15">
        <f>I14*L14</f>
        <v/>
      </c>
      <c r="Z14" s="15">
        <f>Y14*20%</f>
        <v/>
      </c>
      <c r="AA14" s="15">
        <f>I14*M14</f>
        <v/>
      </c>
      <c r="AB14" s="15">
        <f>AA14*20%</f>
        <v/>
      </c>
      <c r="AC14" s="16">
        <f>ROUND((T14+X14+Z14+AB14),0)</f>
        <v/>
      </c>
      <c r="AD14" s="16">
        <f>AG14</f>
        <v/>
      </c>
      <c r="AE14" s="16">
        <f>AI14</f>
        <v/>
      </c>
      <c r="AF14" s="16">
        <f>AC14+AD14+AE14</f>
        <v/>
      </c>
      <c r="AG14" s="78" t="n"/>
      <c r="AH14" s="76" t="n"/>
      <c r="AI14" s="17">
        <f>AH14*4</f>
        <v/>
      </c>
      <c r="AJ14" s="15">
        <f>AF14-AG14-AH14-AI14</f>
        <v/>
      </c>
      <c r="AK14" s="18" t="n">
        <v>7</v>
      </c>
      <c r="AL14" s="23" t="n"/>
      <c r="AM14" s="71" t="n"/>
    </row>
    <row r="15" ht="23.5" customHeight="1">
      <c r="A15" s="6" t="n">
        <v>4</v>
      </c>
      <c r="B15" s="75" t="n"/>
      <c r="C15" s="8" t="n"/>
      <c r="D15" s="19" t="n"/>
      <c r="E15" s="26" t="n"/>
      <c r="F15" s="25" t="n"/>
      <c r="G15" s="20" t="n"/>
      <c r="H15" s="21" t="n"/>
      <c r="I15" s="11" t="n"/>
      <c r="J15" s="73" t="n"/>
      <c r="K15" s="12" t="n"/>
      <c r="L15" s="13" t="n"/>
      <c r="M15" s="22" t="n"/>
      <c r="N15" s="77">
        <f>I15*(SUM(J15:M15))*20%</f>
        <v/>
      </c>
      <c r="O15" s="61" t="n"/>
      <c r="P15" s="59" t="n"/>
      <c r="Q15" s="59" t="n"/>
      <c r="R15" s="58" t="n"/>
      <c r="S15" s="15">
        <f>I15*J15</f>
        <v/>
      </c>
      <c r="T15" s="15">
        <f>ROUND(SUM(S15:S15)*20%,)</f>
        <v/>
      </c>
      <c r="U15" s="15">
        <f>I15*K15*40%*O15</f>
        <v/>
      </c>
      <c r="V15" s="15">
        <f>IF(P15&gt;=6750,(I15*K15*40%),0)</f>
        <v/>
      </c>
      <c r="W15" s="15">
        <f>IF(P15&lt;6750,0,IF(Q15="",0,IF(OR(Q15="KURANG",Q15="SANGAT KURANG"),I15*K15*10%,I15*K15*20%)))</f>
        <v/>
      </c>
      <c r="X15" s="15">
        <f>SUM(U15:W15)*20%</f>
        <v/>
      </c>
      <c r="Y15" s="15">
        <f>I15*L15</f>
        <v/>
      </c>
      <c r="Z15" s="15">
        <f>Y15*20%</f>
        <v/>
      </c>
      <c r="AA15" s="15">
        <f>I15*M15</f>
        <v/>
      </c>
      <c r="AB15" s="15">
        <f>AA15*20%</f>
        <v/>
      </c>
      <c r="AC15" s="16">
        <f>ROUND((T15+X15+Z15+AB15),0)</f>
        <v/>
      </c>
      <c r="AD15" s="16">
        <f>AG15</f>
        <v/>
      </c>
      <c r="AE15" s="16">
        <f>AI15</f>
        <v/>
      </c>
      <c r="AF15" s="16">
        <f>AC15+AD15+AE15</f>
        <v/>
      </c>
      <c r="AG15" s="78" t="n"/>
      <c r="AH15" s="76" t="n"/>
      <c r="AI15" s="17">
        <f>AH15*4</f>
        <v/>
      </c>
      <c r="AJ15" s="15">
        <f>AF15-AG15-AH15-AI15</f>
        <v/>
      </c>
      <c r="AK15" s="18" t="n">
        <v>8</v>
      </c>
      <c r="AL15" s="23" t="n"/>
      <c r="AM15" s="71" t="n"/>
    </row>
    <row r="16">
      <c r="B16" s="34" t="n"/>
      <c r="C16" s="34" t="n"/>
      <c r="D16" s="34" t="n"/>
      <c r="E16" s="34" t="n"/>
      <c r="F16" s="34" t="n"/>
      <c r="G16" s="34" t="n"/>
      <c r="H16" s="34" t="n"/>
      <c r="I16" s="34" t="n"/>
      <c r="K16" s="35" t="n"/>
      <c r="L16" s="36" t="n"/>
      <c r="M16" s="36" t="n"/>
      <c r="N16" s="14">
        <f>I16*(SUM(K16:M16))</f>
        <v/>
      </c>
      <c r="O16" s="37" t="n"/>
      <c r="P16" s="38" t="n"/>
      <c r="Q16" s="38" t="n"/>
      <c r="R16" s="38" t="n"/>
      <c r="S16" s="39" t="n"/>
      <c r="T16" s="38">
        <f>SUM(T8:T15)</f>
        <v/>
      </c>
      <c r="U16" s="39" t="n"/>
      <c r="V16" s="39" t="n"/>
      <c r="W16" s="39" t="n"/>
      <c r="X16" s="38">
        <f>SUM(X8:X15)</f>
        <v/>
      </c>
      <c r="Y16" s="39" t="n"/>
      <c r="Z16" s="15">
        <f>Y16</f>
        <v/>
      </c>
      <c r="AA16" s="39" t="n"/>
      <c r="AB16" s="15">
        <f>AA16</f>
        <v/>
      </c>
      <c r="AC16" s="38">
        <f>SUM(AC8:AC15)</f>
        <v/>
      </c>
      <c r="AD16" s="38">
        <f>SUM(AD8:AD15)</f>
        <v/>
      </c>
      <c r="AE16" s="38">
        <f>SUM(AE8:AE15)</f>
        <v/>
      </c>
      <c r="AF16" s="38">
        <f>SUM(AF8:AF15)</f>
        <v/>
      </c>
      <c r="AG16" s="38">
        <f>SUM(AG8:AG15)</f>
        <v/>
      </c>
      <c r="AH16" s="38">
        <f>SUM(AH8:AH15)</f>
        <v/>
      </c>
      <c r="AI16" s="38">
        <f>SUM(AI8:AI15)</f>
        <v/>
      </c>
      <c r="AJ16" s="38">
        <f>SUM(AJ8:AJ15)</f>
        <v/>
      </c>
      <c r="AK16" s="79" t="n"/>
      <c r="AL16" s="40" t="n"/>
      <c r="AM16" s="34" t="n"/>
    </row>
    <row r="17" ht="35" customHeight="1">
      <c r="B17" s="34" t="n"/>
      <c r="C17" s="34" t="n"/>
      <c r="D17" s="34" t="n"/>
      <c r="E17" s="34" t="n"/>
      <c r="F17" s="34" t="n"/>
      <c r="G17" s="34" t="n"/>
      <c r="H17" s="34" t="n"/>
      <c r="I17" s="34" t="n"/>
      <c r="K17" s="34" t="n"/>
      <c r="L17" s="34" t="n"/>
      <c r="M17" s="34" t="n"/>
      <c r="N17" s="80" t="n"/>
      <c r="O17" s="81" t="n"/>
      <c r="P17" s="80" t="n"/>
      <c r="Q17" s="80" t="n"/>
      <c r="R17" s="80" t="n"/>
    </row>
    <row r="18" ht="20.25" customHeight="1">
      <c r="B18" s="34" t="n"/>
      <c r="C18" s="34" t="n"/>
      <c r="D18" s="34" t="n"/>
      <c r="E18" s="34" t="n"/>
      <c r="F18" s="34" t="n"/>
      <c r="G18" s="34" t="n"/>
      <c r="H18" s="34" t="n"/>
      <c r="I18" s="34" t="n"/>
      <c r="K18" s="34" t="n"/>
      <c r="L18" s="34" t="n"/>
      <c r="M18" s="34" t="n"/>
      <c r="N18" s="80" t="n"/>
      <c r="O18" s="81" t="n"/>
      <c r="P18" s="80" t="n"/>
      <c r="Q18" s="80" t="n"/>
      <c r="R18" s="80" t="n"/>
    </row>
    <row r="19" ht="20.25" customHeight="1">
      <c r="B19" s="34" t="n"/>
      <c r="C19" s="34" t="n"/>
      <c r="D19" s="34" t="n"/>
      <c r="E19" s="34" t="n"/>
      <c r="F19" s="34" t="n"/>
      <c r="G19" s="34" t="n"/>
      <c r="H19" s="34" t="n"/>
      <c r="I19" s="34" t="n"/>
      <c r="K19" s="34" t="n"/>
      <c r="L19" s="34" t="n"/>
      <c r="M19" s="34" t="n"/>
      <c r="N19" s="80" t="n"/>
      <c r="O19" s="81" t="n"/>
      <c r="P19" s="80" t="n"/>
      <c r="Q19" s="80" t="n"/>
      <c r="R19" s="80" t="n"/>
    </row>
    <row r="20">
      <c r="B20" s="144" t="inlineStr">
        <is>
          <t>Mengetahui</t>
        </is>
      </c>
      <c r="D20" s="34" t="n"/>
      <c r="E20" s="34" t="n"/>
      <c r="F20" s="34" t="n"/>
      <c r="G20" s="34" t="n"/>
      <c r="H20" s="34" t="n"/>
      <c r="I20" s="34" t="n"/>
      <c r="K20" s="34" t="n"/>
      <c r="L20" s="34" t="n"/>
      <c r="M20" s="34" t="n"/>
      <c r="N20" s="41" t="n"/>
      <c r="O20" s="82" t="n"/>
      <c r="P20" s="41" t="n"/>
      <c r="Q20" s="41" t="n"/>
      <c r="R20" s="41" t="n"/>
    </row>
    <row r="21" ht="14.5" customHeight="1">
      <c r="B21" s="42" t="inlineStr">
        <is>
          <t>Pengguna Anggaran,</t>
        </is>
      </c>
      <c r="C21" s="42" t="n"/>
      <c r="D21" s="34" t="n"/>
      <c r="E21" s="34" t="n"/>
      <c r="F21" s="34" t="n"/>
      <c r="G21" s="34" t="n"/>
      <c r="H21" s="34" t="n"/>
      <c r="I21" s="34" t="n"/>
      <c r="K21" s="34" t="n"/>
      <c r="L21" s="34" t="n"/>
      <c r="M21" s="34" t="n"/>
      <c r="N21" s="41" t="n"/>
      <c r="O21" s="82" t="n"/>
      <c r="P21" s="41" t="n"/>
      <c r="Q21" s="41" t="n"/>
      <c r="R21" s="41" t="n"/>
      <c r="S21" s="160" t="n"/>
      <c r="X21" s="41" t="n"/>
      <c r="Y21" s="34" t="n"/>
      <c r="Z21" s="34" t="n"/>
      <c r="AA21" s="34" t="n"/>
      <c r="AB21" s="34" t="n"/>
      <c r="AC21" s="83" t="n"/>
      <c r="AD21" s="83" t="n"/>
      <c r="AE21" s="159" t="inlineStr">
        <is>
          <t>Bendahara Pengeluaran</t>
        </is>
      </c>
      <c r="AK21" s="34" t="n"/>
      <c r="AL21" s="85" t="n"/>
      <c r="AM21" s="85" t="n"/>
    </row>
    <row r="22">
      <c r="B22" s="43" t="n"/>
      <c r="C22" s="43" t="n"/>
      <c r="D22" s="34" t="n"/>
      <c r="E22" s="34" t="n"/>
      <c r="F22" s="34" t="n"/>
      <c r="G22" s="34" t="n"/>
      <c r="H22" s="34" t="n"/>
      <c r="I22" s="34" t="n"/>
      <c r="K22" s="34" t="n"/>
      <c r="L22" s="34" t="n"/>
      <c r="M22" s="34" t="n"/>
      <c r="N22" s="86" t="n"/>
      <c r="O22" s="82" t="n"/>
      <c r="P22" s="86" t="n"/>
      <c r="Q22" s="86" t="n"/>
      <c r="R22" s="86" t="n"/>
      <c r="X22" s="41" t="n"/>
      <c r="Y22" s="34" t="n"/>
      <c r="Z22" s="34" t="n"/>
      <c r="AA22" s="34" t="n"/>
      <c r="AB22" s="34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34" t="n"/>
      <c r="AL22" s="86" t="n"/>
      <c r="AM22" s="86" t="n"/>
    </row>
    <row r="23">
      <c r="B23" s="43" t="n"/>
      <c r="C23" s="43" t="n"/>
      <c r="D23" s="34" t="n"/>
      <c r="E23" s="34" t="n"/>
      <c r="F23" s="34" t="n"/>
      <c r="G23" s="34" t="n"/>
      <c r="H23" s="34" t="n"/>
      <c r="I23" s="34" t="n"/>
      <c r="K23" s="34" t="n"/>
      <c r="L23" s="34" t="n"/>
      <c r="M23" s="34" t="n"/>
      <c r="N23" s="41" t="n"/>
      <c r="O23" s="82" t="n"/>
      <c r="P23" s="41" t="n"/>
      <c r="Q23" s="41" t="n"/>
      <c r="R23" s="41" t="n"/>
      <c r="S23" s="87" t="n"/>
      <c r="T23" s="47" t="n"/>
      <c r="U23" s="47" t="n"/>
      <c r="V23" s="34" t="n"/>
      <c r="W23" s="34" t="n"/>
      <c r="X23" s="34" t="n"/>
      <c r="Y23" s="34" t="n"/>
      <c r="Z23" s="34" t="n"/>
      <c r="AA23" s="34" t="n"/>
      <c r="AB23" s="34" t="n"/>
      <c r="AC23" s="41" t="n"/>
      <c r="AD23" s="41" t="n"/>
      <c r="AE23" s="41" t="n"/>
      <c r="AF23" s="41" t="n"/>
      <c r="AG23" s="41" t="n"/>
      <c r="AH23" s="159" t="n"/>
      <c r="AI23" s="159" t="n"/>
      <c r="AJ23" s="88" t="n"/>
      <c r="AK23" s="34" t="n"/>
      <c r="AL23" s="34" t="n"/>
      <c r="AM23" s="34" t="n"/>
    </row>
    <row r="24">
      <c r="B24" s="44" t="n"/>
      <c r="C24" s="44" t="n"/>
      <c r="S24" s="46" t="n"/>
      <c r="T24" s="46" t="n"/>
      <c r="U24" s="46" t="n"/>
      <c r="Z24" s="34" t="n"/>
      <c r="AB24" s="34" t="n"/>
      <c r="AC24" s="89" t="n"/>
      <c r="AD24" s="89" t="n"/>
      <c r="AE24" s="89" t="n"/>
      <c r="AF24" s="89" t="n"/>
      <c r="AG24" s="89" t="n"/>
      <c r="AH24" s="159" t="n"/>
      <c r="AI24" s="159" t="n"/>
      <c r="AJ24" s="88" t="n"/>
    </row>
    <row r="25">
      <c r="B25" s="44" t="n"/>
      <c r="C25" s="44" t="n"/>
      <c r="S25" s="46" t="n"/>
      <c r="T25" s="47" t="n"/>
      <c r="U25" s="47" t="n"/>
      <c r="AC25" s="34" t="n"/>
      <c r="AD25" s="34" t="n"/>
      <c r="AE25" s="34" t="n"/>
      <c r="AF25" s="34" t="n"/>
      <c r="AG25" s="34" t="n"/>
      <c r="AH25" s="159" t="n"/>
      <c r="AI25" s="159" t="n"/>
      <c r="AJ25" s="88" t="n"/>
    </row>
    <row r="26">
      <c r="B26" s="145" t="inlineStr">
        <is>
          <t>…</t>
        </is>
      </c>
      <c r="S26" s="143" t="n"/>
      <c r="AC26" s="34" t="n"/>
      <c r="AD26" s="34" t="n"/>
      <c r="AE26" s="145" t="inlineStr">
        <is>
          <t>…</t>
        </is>
      </c>
    </row>
    <row r="27">
      <c r="B27" s="48" t="inlineStr">
        <is>
          <t>NIP. …</t>
        </is>
      </c>
      <c r="C27" s="48" t="n"/>
      <c r="S27" s="143" t="n"/>
      <c r="AE27" s="145" t="inlineStr">
        <is>
          <t>NIP. …</t>
        </is>
      </c>
    </row>
    <row r="28"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</row>
    <row r="29">
      <c r="V29" s="34" t="n"/>
      <c r="W29" s="34" t="n"/>
      <c r="X29" s="34" t="n"/>
      <c r="Y29" s="34" t="n"/>
      <c r="Z29" s="34" t="n"/>
      <c r="AA29" s="34" t="n"/>
      <c r="AB29" s="34" t="n"/>
      <c r="AC29" s="83" t="inlineStr">
        <is>
          <t xml:space="preserve"> </t>
        </is>
      </c>
      <c r="AD29" s="83" t="n"/>
      <c r="AE29" s="83" t="n"/>
      <c r="AF29" s="83" t="n"/>
      <c r="AG29" s="83" t="n"/>
      <c r="AH29" s="83" t="n"/>
      <c r="AI29" s="83" t="n"/>
      <c r="AJ29" s="83" t="n"/>
      <c r="AK29" s="34" t="n"/>
    </row>
    <row r="30">
      <c r="V30" s="34" t="n"/>
      <c r="W30" s="34" t="n"/>
      <c r="X30" s="34" t="n"/>
      <c r="Y30" s="34" t="n"/>
      <c r="Z30" s="34" t="n"/>
      <c r="AA30" s="34" t="n"/>
      <c r="AB30" s="34" t="n"/>
      <c r="AC30" s="83" t="n"/>
      <c r="AD30" s="83" t="n"/>
      <c r="AE30" s="83" t="n"/>
      <c r="AF30" s="83" t="n"/>
      <c r="AG30" s="83" t="n"/>
      <c r="AH30" s="83" t="n"/>
      <c r="AI30" s="83" t="n"/>
      <c r="AJ30" s="83" t="n"/>
      <c r="AK30" s="34" t="n"/>
    </row>
    <row r="31">
      <c r="V31" s="34" t="n"/>
      <c r="W31" s="34" t="n"/>
      <c r="X31" s="34" t="n"/>
      <c r="Y31" s="34" t="n"/>
      <c r="Z31" s="34" t="n"/>
      <c r="AA31" s="34" t="n"/>
      <c r="AB31" s="34" t="n"/>
      <c r="AC31" s="90" t="n"/>
      <c r="AD31" s="90" t="n"/>
      <c r="AE31" s="90" t="n"/>
      <c r="AF31" s="90" t="n"/>
      <c r="AG31" s="90" t="n"/>
      <c r="AH31" s="90" t="n"/>
      <c r="AI31" s="90" t="n"/>
      <c r="AJ31" s="90" t="n"/>
      <c r="AK31" s="34" t="n"/>
    </row>
    <row r="32">
      <c r="V32" s="34" t="n"/>
      <c r="W32" s="34" t="n"/>
      <c r="X32" s="34" t="n"/>
      <c r="Y32" s="34" t="n"/>
      <c r="Z32" s="34" t="n"/>
      <c r="AA32" s="34" t="n"/>
      <c r="AB32" s="34" t="n"/>
      <c r="AC32" s="83" t="n"/>
      <c r="AD32" s="83" t="n"/>
      <c r="AE32" s="83" t="n"/>
      <c r="AF32" s="83" t="n"/>
      <c r="AG32" s="83" t="n"/>
      <c r="AH32" s="83" t="n"/>
      <c r="AI32" s="83" t="n"/>
      <c r="AJ32" s="83" t="n"/>
      <c r="AK32" s="34" t="n"/>
      <c r="AL32" s="34" t="n"/>
      <c r="AM32" s="34" t="n"/>
    </row>
    <row r="33">
      <c r="V33" s="34" t="n"/>
      <c r="W33" s="34" t="n"/>
      <c r="X33" s="34" t="n"/>
      <c r="Y33" s="34" t="n"/>
      <c r="Z33" s="34" t="n"/>
      <c r="AA33" s="34" t="n"/>
      <c r="AB33" s="34" t="n"/>
      <c r="AC33" s="83" t="n"/>
      <c r="AD33" s="83" t="n"/>
      <c r="AE33" s="83" t="n"/>
      <c r="AF33" s="83" t="n"/>
      <c r="AG33" s="83" t="n"/>
      <c r="AH33" s="83" t="n"/>
      <c r="AI33" s="83" t="n"/>
      <c r="AJ33" s="83" t="n"/>
      <c r="AK33" s="34" t="n"/>
      <c r="AL33" s="34" t="n"/>
      <c r="AM33" s="34" t="n"/>
    </row>
    <row r="34">
      <c r="B34" s="91" t="inlineStr">
        <is>
          <t>Keternagan</t>
        </is>
      </c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4" t="n"/>
      <c r="AI34" s="34" t="n"/>
      <c r="AJ34" s="34" t="n"/>
      <c r="AK34" s="34" t="n"/>
      <c r="AL34" s="34" t="n"/>
      <c r="AM34" s="34" t="n"/>
    </row>
    <row r="35">
      <c r="T35" s="50" t="n"/>
      <c r="V35" s="34" t="n"/>
      <c r="W35" s="34" t="n"/>
      <c r="X35" s="50" t="n"/>
      <c r="Y35" s="34" t="n"/>
      <c r="Z35" s="50" t="n"/>
      <c r="AA35" s="34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34" t="n"/>
      <c r="AL35" s="34" t="n"/>
      <c r="AM35" s="34" t="n"/>
    </row>
    <row r="36">
      <c r="B36" s="92" t="n"/>
      <c r="C36" s="93" t="inlineStr">
        <is>
          <t>di sheet Reguler</t>
        </is>
      </c>
      <c r="D36" s="93" t="inlineStr">
        <is>
          <t>di sheet PLT</t>
        </is>
      </c>
      <c r="T36" s="51" t="n"/>
      <c r="U36" s="51" t="n"/>
      <c r="V36" s="83" t="n"/>
      <c r="W36" s="83" t="n"/>
      <c r="X36" s="83" t="n"/>
      <c r="Y36" s="83" t="n"/>
      <c r="Z36" s="83" t="n"/>
      <c r="AA36" s="83" t="n"/>
      <c r="AB36" s="83" t="n"/>
      <c r="AC36" s="83" t="n"/>
      <c r="AD36" s="83" t="n"/>
      <c r="AE36" s="83" t="n"/>
      <c r="AF36" s="83" t="n"/>
      <c r="AG36" s="83" t="n"/>
      <c r="AH36" s="83" t="n"/>
      <c r="AI36" s="83" t="n"/>
      <c r="AJ36" s="83" t="n"/>
      <c r="AK36" s="34" t="n"/>
      <c r="AL36" s="34" t="n"/>
      <c r="AM36" s="34" t="n"/>
    </row>
    <row r="37">
      <c r="B37" s="94" t="inlineStr">
        <is>
          <t>Plt ke atas</t>
        </is>
      </c>
      <c r="C37" s="95" t="inlineStr">
        <is>
          <t>TPP jabatan definitif = 0</t>
        </is>
      </c>
      <c r="D37" s="96" t="inlineStr">
        <is>
          <t>TPP jabatan PLT 100%</t>
        </is>
      </c>
      <c r="T37" s="51" t="n"/>
      <c r="U37" s="51" t="n"/>
      <c r="V37" s="83" t="n"/>
      <c r="W37" s="83" t="n"/>
      <c r="X37" s="51" t="n"/>
      <c r="Y37" s="83" t="n"/>
      <c r="Z37" s="51" t="n"/>
      <c r="AA37" s="83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34" t="n"/>
      <c r="AL37" s="34" t="n"/>
      <c r="AM37" s="34" t="n"/>
    </row>
    <row r="38">
      <c r="B38" s="97" t="n"/>
      <c r="C38" s="96" t="n"/>
      <c r="D38" s="95" t="n"/>
      <c r="T38" s="51" t="n"/>
      <c r="U38" s="52" t="n"/>
      <c r="V38" s="53" t="n"/>
      <c r="W38" s="53" t="n"/>
      <c r="X38" s="51" t="n"/>
      <c r="Y38" s="53" t="n"/>
      <c r="Z38" s="51" t="n"/>
      <c r="AA38" s="53" t="n"/>
      <c r="AB38" s="51" t="n"/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34" t="n"/>
      <c r="AL38" s="34" t="n"/>
      <c r="AM38" s="34" t="n"/>
    </row>
    <row r="39" ht="60" customHeight="1">
      <c r="B39" s="94" t="inlineStr">
        <is>
          <t>Plt setara</t>
        </is>
      </c>
      <c r="C39" s="95" t="inlineStr">
        <is>
          <t>TPP jabatan definitif = 100%</t>
        </is>
      </c>
      <c r="D39" s="185" t="inlineStr">
        <is>
          <t>TPP jabatan PLT 20% (di kolom pagu TPP ASN dan di setiap kolom jumlah parameter x 20%)</t>
        </is>
      </c>
      <c r="T39" s="52" t="n"/>
      <c r="U39" s="52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3" t="n"/>
      <c r="AH39" s="53" t="n"/>
      <c r="AI39" s="53" t="n"/>
      <c r="AJ39" s="53" t="n"/>
      <c r="AK39" s="34" t="n"/>
      <c r="AL39" s="34" t="n"/>
      <c r="AM39" s="34" t="n"/>
    </row>
    <row r="40">
      <c r="B40" s="97" t="n"/>
      <c r="C40" s="96" t="n"/>
      <c r="D40" s="186" t="n"/>
      <c r="T40" s="52" t="n"/>
      <c r="U40" s="52" t="n"/>
      <c r="V40" s="53" t="n"/>
      <c r="W40" s="53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53" t="n"/>
      <c r="AG40" s="53" t="n"/>
      <c r="AH40" s="53" t="n"/>
      <c r="AI40" s="53" t="n"/>
      <c r="AJ40" s="53" t="n"/>
      <c r="AK40" s="34" t="n"/>
      <c r="AL40" s="34" t="n"/>
      <c r="AM40" s="34" t="n"/>
    </row>
    <row r="41">
      <c r="B41" s="98" t="n"/>
      <c r="C41" s="99" t="n"/>
      <c r="D41" s="99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34" t="n"/>
      <c r="AJ41" s="34" t="n"/>
      <c r="AK41" s="34" t="n"/>
      <c r="AL41" s="34" t="n"/>
      <c r="AM41" s="34" t="n"/>
    </row>
    <row r="42">
      <c r="B42" s="100" t="inlineStr">
        <is>
          <t>Plt setara, tapi pagu TPP berbeda</t>
        </is>
      </c>
      <c r="C42" s="101" t="inlineStr">
        <is>
          <t>TPP yang lebih tinggi 100%, TPP yang lebih rendah 20%</t>
        </is>
      </c>
      <c r="D42" s="102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34" t="n"/>
      <c r="AJ42" s="34" t="n"/>
      <c r="AK42" s="34" t="n"/>
      <c r="AL42" s="34" t="n"/>
      <c r="AM42" s="34" t="n"/>
    </row>
    <row r="43" ht="60" customHeight="1">
      <c r="B43" s="103" t="n"/>
      <c r="C43" s="158" t="inlineStr">
        <is>
          <t>Contoh: Kepala BKD Diklat dan Asisten pada Sekretariat Daerah eselonnya sama (eselon II.a), tetapi pagu TPP Asisten lebih tinggi daripada TPP Kepala BKD, maka TPP nya:</t>
        </is>
      </c>
      <c r="D43" s="163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34" t="n"/>
      <c r="AJ43" s="34" t="n"/>
      <c r="AK43" s="34" t="n"/>
      <c r="AL43" s="34" t="n"/>
      <c r="AM43" s="34" t="n"/>
    </row>
    <row r="44">
      <c r="B44" s="99" t="n"/>
      <c r="C44" s="104" t="inlineStr">
        <is>
          <t>* TPP Asisten 100%</t>
        </is>
      </c>
      <c r="D44" s="105" t="inlineStr">
        <is>
          <t>pada sheet PLT Sekretariat Daerah</t>
        </is>
      </c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34" t="n"/>
      <c r="AJ44" s="34" t="n"/>
      <c r="AK44" s="34" t="n"/>
      <c r="AL44" s="34" t="n"/>
      <c r="AM44" s="34" t="n"/>
    </row>
    <row r="45" ht="32" customHeight="1">
      <c r="B45" s="106" t="n"/>
      <c r="C45" s="107" t="inlineStr">
        <is>
          <t>* TPP Kepala BKD 20%</t>
        </is>
      </c>
      <c r="D45" s="108" t="inlineStr">
        <is>
          <t>pada sheet PLT BKD Diklat (pada sheet reguler TPP Kepala BKD = 0)</t>
        </is>
      </c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34" t="n"/>
      <c r="AJ45" s="34" t="n"/>
      <c r="AK45" s="34" t="n"/>
      <c r="AL45" s="34" t="n"/>
      <c r="AM45" s="34" t="n"/>
    </row>
    <row r="46"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34" t="n"/>
      <c r="AJ46" s="34" t="n"/>
      <c r="AK46" s="34" t="n"/>
      <c r="AL46" s="34" t="n"/>
      <c r="AM46" s="34" t="n"/>
    </row>
    <row r="47"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  <c r="AL47" s="34" t="n"/>
      <c r="AM47" s="34" t="n"/>
    </row>
    <row r="48"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34" t="n"/>
      <c r="AJ48" s="34" t="n"/>
      <c r="AK48" s="34" t="n"/>
      <c r="AL48" s="34" t="n"/>
      <c r="AM48" s="34" t="n"/>
    </row>
    <row r="49"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34" t="n"/>
      <c r="AJ49" s="34" t="n"/>
      <c r="AK49" s="34" t="n"/>
      <c r="AL49" s="34" t="n"/>
      <c r="AM49" s="34" t="n"/>
    </row>
    <row r="50"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34" t="n"/>
      <c r="AJ50" s="34" t="n"/>
      <c r="AK50" s="34" t="n"/>
      <c r="AL50" s="34" t="n"/>
      <c r="AM50" s="34" t="n"/>
    </row>
    <row r="51"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4" t="n"/>
      <c r="AI51" s="34" t="n"/>
      <c r="AJ51" s="34" t="n"/>
      <c r="AK51" s="34" t="n"/>
      <c r="AL51" s="34" t="n"/>
      <c r="AM51" s="34" t="n"/>
    </row>
    <row r="52"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</row>
    <row r="53"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</row>
    <row r="54"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4" t="n"/>
      <c r="AI54" s="34" t="n"/>
      <c r="AJ54" s="34" t="n"/>
      <c r="AK54" s="34" t="n"/>
    </row>
  </sheetData>
  <mergeCells count="49">
    <mergeCell ref="I5:I7"/>
    <mergeCell ref="AF5:AF7"/>
    <mergeCell ref="O5:Q5"/>
    <mergeCell ref="D5:D7"/>
    <mergeCell ref="AA6:AA7"/>
    <mergeCell ref="P6:P7"/>
    <mergeCell ref="A5:A7"/>
    <mergeCell ref="G5:G7"/>
    <mergeCell ref="AJ5:AJ7"/>
    <mergeCell ref="J6:J7"/>
    <mergeCell ref="S27:W27"/>
    <mergeCell ref="B5:B7"/>
    <mergeCell ref="X6:X7"/>
    <mergeCell ref="AE5:AE7"/>
    <mergeCell ref="A1:AL1"/>
    <mergeCell ref="M6:M7"/>
    <mergeCell ref="AG5:AG7"/>
    <mergeCell ref="Q6:Q7"/>
    <mergeCell ref="AI5:AI7"/>
    <mergeCell ref="H5:H7"/>
    <mergeCell ref="J5:M5"/>
    <mergeCell ref="Y6:Y7"/>
    <mergeCell ref="C43:D43"/>
    <mergeCell ref="AD5:AD7"/>
    <mergeCell ref="AE27:AJ27"/>
    <mergeCell ref="AK5:AL7"/>
    <mergeCell ref="S21:W22"/>
    <mergeCell ref="AC6:AC7"/>
    <mergeCell ref="C5:C7"/>
    <mergeCell ref="L6:L7"/>
    <mergeCell ref="AE26:AJ26"/>
    <mergeCell ref="T6:T7"/>
    <mergeCell ref="AH5:AH7"/>
    <mergeCell ref="A3:AL3"/>
    <mergeCell ref="E5:E7"/>
    <mergeCell ref="F5:F7"/>
    <mergeCell ref="Z6:Z7"/>
    <mergeCell ref="A2:AL2"/>
    <mergeCell ref="D39:D40"/>
    <mergeCell ref="AB6:AB7"/>
    <mergeCell ref="U6:W6"/>
    <mergeCell ref="N5:N7"/>
    <mergeCell ref="B20:C20"/>
    <mergeCell ref="S5:AC5"/>
    <mergeCell ref="K6:K7"/>
    <mergeCell ref="B26:C26"/>
    <mergeCell ref="O6:O7"/>
    <mergeCell ref="S26:W26"/>
    <mergeCell ref="AE21:AJ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5"/>
  <sheetViews>
    <sheetView tabSelected="1" topLeftCell="AA1" workbookViewId="0">
      <selection activeCell="AC8" sqref="AC8:AC14"/>
    </sheetView>
  </sheetViews>
  <sheetFormatPr baseColWidth="10" defaultRowHeight="16"/>
  <cols>
    <col width="35.83203125" customWidth="1" min="2" max="2"/>
    <col width="36.5" customWidth="1" min="3" max="3"/>
    <col width="21" customWidth="1" min="4" max="4"/>
    <col width="25.5" customWidth="1" min="5" max="5"/>
    <col width="13.6640625" customWidth="1" min="6" max="6"/>
    <col width="13.33203125" customWidth="1" min="7" max="7"/>
    <col hidden="1" min="8" max="8"/>
    <col width="21.1640625" customWidth="1" min="9" max="9"/>
    <col hidden="1" min="10" max="13"/>
    <col width="17" customWidth="1" min="14" max="14"/>
    <col width="17.5" customWidth="1" min="20" max="20"/>
    <col width="16" customWidth="1" min="24" max="24"/>
    <col width="13.83203125" customWidth="1" min="25" max="25"/>
    <col width="14.1640625" customWidth="1" min="26" max="26"/>
    <col width="13" customWidth="1" min="27" max="27"/>
    <col width="13.1640625" customWidth="1" min="28" max="28"/>
    <col width="14.83203125" customWidth="1" min="29" max="29"/>
    <col width="13.5" customWidth="1" min="30" max="30"/>
    <col width="12" customWidth="1" min="31" max="31"/>
    <col width="17.83203125" customWidth="1" min="32" max="32"/>
    <col width="15.83203125" customWidth="1" min="33" max="33"/>
    <col width="13" customWidth="1" min="34" max="34"/>
    <col width="12.5" customWidth="1" min="35" max="35"/>
    <col width="22" customWidth="1" min="36" max="36"/>
  </cols>
  <sheetData>
    <row r="1" ht="20" customHeight="1">
      <c r="A1" s="146" t="n"/>
      <c r="AJ1" s="1" t="n"/>
    </row>
    <row r="2" ht="20" customHeight="1">
      <c r="A2" s="146" t="n"/>
      <c r="AJ2" s="2" t="n"/>
    </row>
    <row r="3" ht="20" customHeight="1">
      <c r="A3" s="147" t="n"/>
      <c r="AJ3" s="2" t="n"/>
    </row>
    <row r="4">
      <c r="A4" s="3" t="n"/>
    </row>
    <row r="5">
      <c r="A5" s="117" t="inlineStr">
        <is>
          <t>NO</t>
        </is>
      </c>
      <c r="B5" s="117" t="inlineStr">
        <is>
          <t>NAMA</t>
        </is>
      </c>
      <c r="C5" s="135" t="inlineStr">
        <is>
          <t>NIP</t>
        </is>
      </c>
      <c r="D5" s="136" t="inlineStr">
        <is>
          <t>PANGKAT/
GOLONGAN</t>
        </is>
      </c>
      <c r="E5" s="117" t="inlineStr">
        <is>
          <t>JABATAN</t>
        </is>
      </c>
      <c r="F5" s="116" t="inlineStr">
        <is>
          <t>JENIS JABATAN</t>
        </is>
      </c>
      <c r="G5" s="117" t="inlineStr">
        <is>
          <t>KELAS</t>
        </is>
      </c>
      <c r="H5" s="161" t="inlineStr">
        <is>
          <t>KET</t>
        </is>
      </c>
      <c r="I5" s="121" t="inlineStr">
        <is>
          <t>Basic TPP</t>
        </is>
      </c>
      <c r="J5" s="162" t="inlineStr">
        <is>
          <t>Persentase</t>
        </is>
      </c>
      <c r="K5" s="163" t="n"/>
      <c r="L5" s="163" t="n"/>
      <c r="M5" s="164" t="n"/>
      <c r="N5" s="125" t="inlineStr">
        <is>
          <t>Pagu TPP ASN (80%)</t>
        </is>
      </c>
      <c r="O5" s="165" t="inlineStr">
        <is>
          <t>Disiplin dan Produktivitas</t>
        </is>
      </c>
      <c r="P5" s="163" t="n"/>
      <c r="Q5" s="164" t="n"/>
      <c r="R5" s="129" t="n"/>
      <c r="S5" s="148" t="n"/>
      <c r="T5" s="167" t="n"/>
      <c r="U5" s="167" t="n"/>
      <c r="V5" s="167" t="n"/>
      <c r="W5" s="167" t="n"/>
      <c r="X5" s="167" t="n"/>
      <c r="Y5" s="167" t="n"/>
      <c r="Z5" s="167" t="n"/>
      <c r="AA5" s="167" t="n"/>
      <c r="AB5" s="167" t="n"/>
      <c r="AC5" s="168" t="n"/>
      <c r="AD5" s="169" t="inlineStr">
        <is>
          <t>Tunjangan PPH 21 (TER)</t>
        </is>
      </c>
      <c r="AE5" s="169" t="inlineStr">
        <is>
          <t>Tunjangan BPJS 4%</t>
        </is>
      </c>
      <c r="AF5" s="170" t="inlineStr">
        <is>
          <t>Jumlah Pembayaran</t>
        </is>
      </c>
      <c r="AG5" s="171" t="inlineStr">
        <is>
          <t>PPH 21 (TER)</t>
        </is>
      </c>
      <c r="AH5" s="171" t="inlineStr">
        <is>
          <t>BPJS 1%</t>
        </is>
      </c>
      <c r="AI5" s="111" t="inlineStr">
        <is>
          <t>BPJS 4%</t>
        </is>
      </c>
      <c r="AJ5" s="114" t="inlineStr">
        <is>
          <t>TPP DITERIMA/
TRANSFER</t>
        </is>
      </c>
      <c r="AK5" s="181" t="inlineStr">
        <is>
          <t>TANDA TANGAN</t>
        </is>
      </c>
      <c r="AL5" s="182" t="n"/>
    </row>
    <row r="6">
      <c r="A6" s="173" t="n"/>
      <c r="B6" s="173" t="n"/>
      <c r="C6" s="174" t="n"/>
      <c r="D6" s="174" t="n"/>
      <c r="E6" s="173" t="n"/>
      <c r="F6" s="173" t="n"/>
      <c r="G6" s="173" t="n"/>
      <c r="H6" s="174" t="n"/>
      <c r="I6" s="173" t="n"/>
      <c r="J6" s="125" t="inlineStr">
        <is>
          <t>Beban Kerja</t>
        </is>
      </c>
      <c r="K6" s="125" t="inlineStr">
        <is>
          <t>Prestasi Kerja</t>
        </is>
      </c>
      <c r="L6" s="125" t="inlineStr">
        <is>
          <t>Kondisi Kerja</t>
        </is>
      </c>
      <c r="M6" s="125" t="inlineStr">
        <is>
          <t>Kelangkaan Profesi</t>
        </is>
      </c>
      <c r="N6" s="174" t="n"/>
      <c r="O6" s="130" t="inlineStr">
        <is>
          <t>Absensi</t>
        </is>
      </c>
      <c r="P6" s="130" t="inlineStr">
        <is>
          <t>Aktivitas (menit)</t>
        </is>
      </c>
      <c r="Q6" s="130" t="inlineStr">
        <is>
          <t>Penilaian Kinerja</t>
        </is>
      </c>
      <c r="R6" s="72" t="inlineStr">
        <is>
          <t>PPH21</t>
        </is>
      </c>
      <c r="S6" s="110" t="n"/>
      <c r="T6" s="114" t="inlineStr">
        <is>
          <t>Jumlah Beban Kerja</t>
        </is>
      </c>
      <c r="U6" s="149" t="inlineStr">
        <is>
          <t>Prestasi Kerja</t>
        </is>
      </c>
      <c r="V6" s="167" t="n"/>
      <c r="W6" s="168" t="n"/>
      <c r="X6" s="138" t="inlineStr">
        <is>
          <t>Jumlah Prestasi Kerja</t>
        </is>
      </c>
      <c r="Y6" s="150" t="inlineStr">
        <is>
          <t>Kondisi Kerja</t>
        </is>
      </c>
      <c r="Z6" s="150" t="inlineStr">
        <is>
          <t>Jumlah Kondisi Kerja</t>
        </is>
      </c>
      <c r="AA6" s="151" t="inlineStr">
        <is>
          <t>Kelangkaan Profesi</t>
        </is>
      </c>
      <c r="AB6" s="151" t="inlineStr">
        <is>
          <t>Jumlah Kelangaan Profesi</t>
        </is>
      </c>
      <c r="AC6" s="137" t="inlineStr">
        <is>
          <t>Jumlah berdasarkan komponen TPP</t>
        </is>
      </c>
      <c r="AD6" s="174" t="n"/>
      <c r="AE6" s="174" t="n"/>
      <c r="AF6" s="174" t="n"/>
      <c r="AG6" s="174" t="n"/>
      <c r="AH6" s="174" t="n"/>
      <c r="AI6" s="174" t="n"/>
      <c r="AJ6" s="173" t="n"/>
      <c r="AK6" s="183" t="n"/>
      <c r="AL6" s="184" t="n"/>
    </row>
    <row r="7" ht="34" customHeight="1">
      <c r="A7" s="177" t="n"/>
      <c r="B7" s="177" t="n"/>
      <c r="C7" s="174" t="n"/>
      <c r="D7" s="174" t="n"/>
      <c r="E7" s="177" t="n"/>
      <c r="F7" s="177" t="n"/>
      <c r="G7" s="177" t="n"/>
      <c r="H7" s="178" t="n"/>
      <c r="I7" s="177" t="n"/>
      <c r="J7" s="174" t="n"/>
      <c r="K7" s="174" t="n"/>
      <c r="L7" s="174" t="n"/>
      <c r="M7" s="174" t="n"/>
      <c r="N7" s="174" t="n"/>
      <c r="O7" s="174" t="n"/>
      <c r="P7" s="174" t="n"/>
      <c r="Q7" s="174" t="n"/>
      <c r="R7" s="131" t="inlineStr">
        <is>
          <t>%</t>
        </is>
      </c>
      <c r="S7" s="5" t="inlineStr">
        <is>
          <t>beban kerja</t>
        </is>
      </c>
      <c r="T7" s="177" t="n"/>
      <c r="U7" s="138" t="inlineStr">
        <is>
          <t>Absensi (40%)</t>
        </is>
      </c>
      <c r="V7" s="138" t="inlineStr">
        <is>
          <t>Aktivitas (40%)</t>
        </is>
      </c>
      <c r="W7" s="138" t="inlineStr">
        <is>
          <t>Kinerja (20%)</t>
        </is>
      </c>
      <c r="X7" s="177" t="n"/>
      <c r="Y7" s="177" t="n"/>
      <c r="Z7" s="177" t="n"/>
      <c r="AA7" s="177" t="n"/>
      <c r="AB7" s="177" t="n"/>
      <c r="AC7" s="177" t="n"/>
      <c r="AD7" s="178" t="n"/>
      <c r="AE7" s="178" t="n"/>
      <c r="AF7" s="178" t="n"/>
      <c r="AG7" s="178" t="n"/>
      <c r="AH7" s="178" t="n"/>
      <c r="AI7" s="174" t="n"/>
      <c r="AJ7" s="177" t="n"/>
      <c r="AK7" s="183" t="n"/>
      <c r="AL7" s="184" t="n"/>
    </row>
    <row r="8">
      <c r="A8" s="6" t="n">
        <v>1</v>
      </c>
      <c r="B8" s="7" t="n"/>
      <c r="C8" s="8" t="inlineStr">
        <is>
          <t>NIP. …</t>
        </is>
      </c>
      <c r="D8" s="9" t="n"/>
      <c r="E8" s="8" t="n"/>
      <c r="F8" s="10" t="n"/>
      <c r="G8" s="10" t="n"/>
      <c r="H8" s="8" t="n"/>
      <c r="I8" s="11" t="n"/>
      <c r="J8" s="73" t="n"/>
      <c r="K8" s="12" t="n"/>
      <c r="L8" s="13" t="n"/>
      <c r="M8" s="13" t="n"/>
      <c r="N8" s="14">
        <f>I8*(SUM(J8:M8))*68%*80%</f>
        <v/>
      </c>
      <c r="O8" s="61" t="n"/>
      <c r="P8" s="59" t="n"/>
      <c r="Q8" s="59" t="n"/>
      <c r="R8" s="109" t="n"/>
      <c r="S8" s="15">
        <f>I8*J8</f>
        <v/>
      </c>
      <c r="T8" s="15">
        <f>SUM(S8:S8)*68%*80%</f>
        <v/>
      </c>
      <c r="U8" s="15">
        <f>I8*K8*40%*O8</f>
        <v/>
      </c>
      <c r="V8" s="15">
        <f>IF(P8&gt;=6750,(I8*K8*40%),0)</f>
        <v/>
      </c>
      <c r="W8" s="15">
        <f>IF(P8&lt;6750,0,IF(Q8="",0,IF(OR(Q8="KURANG",Q8="SANGAT KURANG"),I8*K8*10%,I8*K8*20%)))</f>
        <v/>
      </c>
      <c r="X8" s="15">
        <f>SUM(U8:W8)*68%*80%</f>
        <v/>
      </c>
      <c r="Y8" s="15">
        <f>I8*L8</f>
        <v/>
      </c>
      <c r="Z8" s="15">
        <f>Y8*68%*80%</f>
        <v/>
      </c>
      <c r="AA8" s="15">
        <f>I8*M8</f>
        <v/>
      </c>
      <c r="AB8" s="15">
        <f>AA8*68%*80%</f>
        <v/>
      </c>
      <c r="AC8" s="16">
        <f>ROUND((T8+X8+Z8+AB8),0)</f>
        <v/>
      </c>
      <c r="AD8" s="16">
        <f>AG8</f>
        <v/>
      </c>
      <c r="AE8" s="16">
        <f>AI8</f>
        <v/>
      </c>
      <c r="AF8" s="16">
        <f>AC8+AD8+AE8</f>
        <v/>
      </c>
      <c r="AG8" s="16" t="n"/>
      <c r="AH8" s="17" t="n"/>
      <c r="AI8" s="17">
        <f>AH8*4</f>
        <v/>
      </c>
      <c r="AJ8" s="15">
        <f>AF8-AG8-AH8-AI8</f>
        <v/>
      </c>
      <c r="AK8" s="18" t="n">
        <v>1</v>
      </c>
      <c r="AL8" s="74" t="n"/>
    </row>
    <row r="9">
      <c r="A9" s="6" t="n">
        <v>2</v>
      </c>
      <c r="B9" s="7" t="n"/>
      <c r="C9" s="8" t="inlineStr">
        <is>
          <t>NIP. …</t>
        </is>
      </c>
      <c r="D9" s="9" t="n"/>
      <c r="E9" s="8" t="n"/>
      <c r="F9" s="10" t="n"/>
      <c r="G9" s="10" t="n"/>
      <c r="H9" s="8" t="n"/>
      <c r="I9" s="11" t="n"/>
      <c r="J9" s="73" t="n"/>
      <c r="K9" s="12" t="n"/>
      <c r="L9" s="13" t="n"/>
      <c r="M9" s="13" t="n"/>
      <c r="N9" s="14">
        <f>I9*(SUM(J9:M9))*68%*80%</f>
        <v/>
      </c>
      <c r="O9" s="61" t="n"/>
      <c r="P9" s="59" t="n"/>
      <c r="Q9" s="59" t="n"/>
      <c r="R9" s="109" t="n"/>
      <c r="S9" s="15">
        <f>I9*J9</f>
        <v/>
      </c>
      <c r="T9" s="15">
        <f>SUM(S9:S9)*68%*80%</f>
        <v/>
      </c>
      <c r="U9" s="15">
        <f>I9*K9*40%*O9</f>
        <v/>
      </c>
      <c r="V9" s="15">
        <f>IF(P9&gt;=6750,(I9*K9*40%),0)</f>
        <v/>
      </c>
      <c r="W9" s="15">
        <f>IF(P9&lt;6750,0,IF(Q9="",0,IF(OR(Q9="KURANG",Q9="SANGAT KURANG"),I9*K9*10%,I9*K9*20%)))</f>
        <v/>
      </c>
      <c r="X9" s="15">
        <f>SUM(U9:W9)*68%*80%</f>
        <v/>
      </c>
      <c r="Y9" s="15">
        <f>I9*L9</f>
        <v/>
      </c>
      <c r="Z9" s="15">
        <f>Y9*68%*80%</f>
        <v/>
      </c>
      <c r="AA9" s="15">
        <f>I9*M9</f>
        <v/>
      </c>
      <c r="AB9" s="15">
        <f>AA9*68%*80%</f>
        <v/>
      </c>
      <c r="AC9" s="16">
        <f>ROUND((T9+X9+Z9+AB9),0)</f>
        <v/>
      </c>
      <c r="AD9" s="16">
        <f>AG9</f>
        <v/>
      </c>
      <c r="AE9" s="16">
        <f>AI9</f>
        <v/>
      </c>
      <c r="AF9" s="16">
        <f>AC9+AD9+AE9</f>
        <v/>
      </c>
      <c r="AG9" s="16" t="n"/>
      <c r="AH9" s="17" t="n"/>
      <c r="AI9" s="17">
        <f>AH9*4</f>
        <v/>
      </c>
      <c r="AJ9" s="15">
        <f>AF9-AG9-AH9-AI9</f>
        <v/>
      </c>
      <c r="AK9" s="18" t="n">
        <v>2</v>
      </c>
      <c r="AL9" s="23" t="n"/>
    </row>
    <row r="10">
      <c r="A10" s="6" t="n">
        <v>3</v>
      </c>
      <c r="B10" s="7" t="n"/>
      <c r="C10" s="8" t="inlineStr">
        <is>
          <t>NIP. …</t>
        </is>
      </c>
      <c r="D10" s="9" t="n"/>
      <c r="E10" s="8" t="n"/>
      <c r="F10" s="10" t="n"/>
      <c r="G10" s="10" t="n"/>
      <c r="H10" s="8" t="n"/>
      <c r="I10" s="11" t="n"/>
      <c r="J10" s="73" t="n"/>
      <c r="K10" s="12" t="n"/>
      <c r="L10" s="13" t="n"/>
      <c r="M10" s="13" t="n"/>
      <c r="N10" s="14">
        <f>I10*(SUM(J10:M10))*68%*80%</f>
        <v/>
      </c>
      <c r="O10" s="61" t="n"/>
      <c r="P10" s="59" t="n"/>
      <c r="Q10" s="59" t="n"/>
      <c r="R10" s="109" t="n"/>
      <c r="S10" s="15">
        <f>I10*J10</f>
        <v/>
      </c>
      <c r="T10" s="15">
        <f>SUM(S10:S10)*68%*80%</f>
        <v/>
      </c>
      <c r="U10" s="15">
        <f>I10*K10*40%*O10</f>
        <v/>
      </c>
      <c r="V10" s="15">
        <f>IF(P10&gt;=6750,(I10*K10*40%),0)</f>
        <v/>
      </c>
      <c r="W10" s="15">
        <f>IF(P10&lt;6750,0,IF(Q10="",0,IF(OR(Q10="KURANG",Q10="SANGAT KURANG"),I10*K10*10%,I10*K10*20%)))</f>
        <v/>
      </c>
      <c r="X10" s="15">
        <f>SUM(U10:W10)*68%*80%</f>
        <v/>
      </c>
      <c r="Y10" s="15">
        <f>I10*L10</f>
        <v/>
      </c>
      <c r="Z10" s="15">
        <f>Y10*68%*80%</f>
        <v/>
      </c>
      <c r="AA10" s="15">
        <f>I10*M10</f>
        <v/>
      </c>
      <c r="AB10" s="15">
        <f>AA10*68%*80%</f>
        <v/>
      </c>
      <c r="AC10" s="16">
        <f>ROUND((T10+X10+Z10+AB10),0)</f>
        <v/>
      </c>
      <c r="AD10" s="16">
        <f>AG10</f>
        <v/>
      </c>
      <c r="AE10" s="16">
        <f>AI10</f>
        <v/>
      </c>
      <c r="AF10" s="16">
        <f>AC10+AD10+AE10</f>
        <v/>
      </c>
      <c r="AG10" s="16" t="n"/>
      <c r="AH10" s="17" t="n"/>
      <c r="AI10" s="17">
        <f>AH10*4</f>
        <v/>
      </c>
      <c r="AJ10" s="15">
        <f>AF10-AG10-AH10-AI10</f>
        <v/>
      </c>
      <c r="AK10" s="18" t="n">
        <v>3</v>
      </c>
      <c r="AL10" s="23" t="n"/>
    </row>
    <row r="11">
      <c r="A11" s="6" t="n">
        <v>4</v>
      </c>
      <c r="B11" s="7" t="n"/>
      <c r="C11" s="8" t="inlineStr">
        <is>
          <t>NIP. …</t>
        </is>
      </c>
      <c r="D11" s="9" t="n"/>
      <c r="E11" s="8" t="n"/>
      <c r="F11" s="10" t="n"/>
      <c r="G11" s="10" t="n"/>
      <c r="H11" s="8" t="n"/>
      <c r="I11" s="11" t="n"/>
      <c r="J11" s="73" t="n"/>
      <c r="K11" s="12" t="n"/>
      <c r="L11" s="13" t="n"/>
      <c r="M11" s="13" t="n"/>
      <c r="N11" s="14">
        <f>I11*(SUM(J11:M11))*68%*80%</f>
        <v/>
      </c>
      <c r="O11" s="61" t="n"/>
      <c r="P11" s="59" t="n"/>
      <c r="Q11" s="59" t="n"/>
      <c r="R11" s="109" t="n"/>
      <c r="S11" s="15">
        <f>I11*J11</f>
        <v/>
      </c>
      <c r="T11" s="15">
        <f>SUM(S11:S11)*68%*80%</f>
        <v/>
      </c>
      <c r="U11" s="15">
        <f>I11*K11*40%*O11</f>
        <v/>
      </c>
      <c r="V11" s="15">
        <f>IF(P11&gt;=6750,(I11*K11*40%),0)</f>
        <v/>
      </c>
      <c r="W11" s="15">
        <f>IF(P11&lt;6750,0,IF(Q11="",0,IF(OR(Q11="KURANG",Q11="SANGAT KURANG"),I11*K11*10%,I11*K11*20%)))</f>
        <v/>
      </c>
      <c r="X11" s="15">
        <f>SUM(U11:W11)*68%*80%</f>
        <v/>
      </c>
      <c r="Y11" s="15">
        <f>I11*L11</f>
        <v/>
      </c>
      <c r="Z11" s="15">
        <f>Y11*68%*80%</f>
        <v/>
      </c>
      <c r="AA11" s="15">
        <f>I11*M11</f>
        <v/>
      </c>
      <c r="AB11" s="15">
        <f>AA11*68%*80%</f>
        <v/>
      </c>
      <c r="AC11" s="16">
        <f>ROUND((T11+X11+Z11+AB11),0)</f>
        <v/>
      </c>
      <c r="AD11" s="16">
        <f>AG11</f>
        <v/>
      </c>
      <c r="AE11" s="16">
        <f>AI11</f>
        <v/>
      </c>
      <c r="AF11" s="16">
        <f>AC11+AD11+AE11</f>
        <v/>
      </c>
      <c r="AG11" s="16" t="n"/>
      <c r="AH11" s="17" t="n"/>
      <c r="AI11" s="17">
        <f>AH11*4</f>
        <v/>
      </c>
      <c r="AJ11" s="15">
        <f>AF11-AG11-AH11-AI11</f>
        <v/>
      </c>
      <c r="AK11" s="18" t="n">
        <v>4</v>
      </c>
      <c r="AL11" s="23" t="n"/>
    </row>
    <row r="12">
      <c r="A12" s="6" t="n">
        <v>5</v>
      </c>
      <c r="B12" s="7" t="n"/>
      <c r="C12" s="8" t="inlineStr">
        <is>
          <t>NIP. …</t>
        </is>
      </c>
      <c r="D12" s="9" t="n"/>
      <c r="E12" s="8" t="n"/>
      <c r="F12" s="10" t="n"/>
      <c r="G12" s="10" t="n"/>
      <c r="H12" s="8" t="n"/>
      <c r="I12" s="11" t="n"/>
      <c r="J12" s="73" t="n"/>
      <c r="K12" s="12" t="n"/>
      <c r="L12" s="13" t="n"/>
      <c r="M12" s="13" t="n"/>
      <c r="N12" s="14">
        <f>I12*(SUM(J12:M12))*68%*80%</f>
        <v/>
      </c>
      <c r="O12" s="61" t="n"/>
      <c r="P12" s="59" t="n"/>
      <c r="Q12" s="59" t="n"/>
      <c r="R12" s="109" t="n"/>
      <c r="S12" s="15">
        <f>I12*J12</f>
        <v/>
      </c>
      <c r="T12" s="15">
        <f>SUM(S12:S12)*68%*80%</f>
        <v/>
      </c>
      <c r="U12" s="15">
        <f>I12*K12*40%*O12</f>
        <v/>
      </c>
      <c r="V12" s="15">
        <f>IF(P12&gt;=6750,(I12*K12*40%),0)</f>
        <v/>
      </c>
      <c r="W12" s="15">
        <f>IF(P12&lt;6750,0,IF(Q12="",0,IF(OR(Q12="KURANG",Q12="SANGAT KURANG"),I12*K12*10%,I12*K12*20%)))</f>
        <v/>
      </c>
      <c r="X12" s="15">
        <f>SUM(U12:W12)*68%*80%</f>
        <v/>
      </c>
      <c r="Y12" s="15">
        <f>I12*L12</f>
        <v/>
      </c>
      <c r="Z12" s="15">
        <f>Y12*68%*80%</f>
        <v/>
      </c>
      <c r="AA12" s="15">
        <f>I12*M12</f>
        <v/>
      </c>
      <c r="AB12" s="15">
        <f>AA12*68%*80%</f>
        <v/>
      </c>
      <c r="AC12" s="16">
        <f>ROUND((T12+X12+Z12+AB12),0)</f>
        <v/>
      </c>
      <c r="AD12" s="16">
        <f>AG12</f>
        <v/>
      </c>
      <c r="AE12" s="16">
        <f>AI12</f>
        <v/>
      </c>
      <c r="AF12" s="16">
        <f>AC12+AD12+AE12</f>
        <v/>
      </c>
      <c r="AG12" s="16" t="n"/>
      <c r="AH12" s="17" t="n"/>
      <c r="AI12" s="17">
        <f>AH12*4</f>
        <v/>
      </c>
      <c r="AJ12" s="15">
        <f>AF12-AG12-AH12-AI12</f>
        <v/>
      </c>
      <c r="AK12" s="18" t="n">
        <v>5</v>
      </c>
      <c r="AL12" s="23" t="n"/>
    </row>
    <row r="13">
      <c r="A13" s="6" t="n">
        <v>6</v>
      </c>
      <c r="B13" s="7" t="n"/>
      <c r="C13" s="8" t="inlineStr">
        <is>
          <t>NIP. …</t>
        </is>
      </c>
      <c r="D13" s="9" t="n"/>
      <c r="E13" s="8" t="n"/>
      <c r="F13" s="10" t="n"/>
      <c r="G13" s="10" t="n"/>
      <c r="H13" s="8" t="n"/>
      <c r="I13" s="11" t="n"/>
      <c r="J13" s="73" t="n"/>
      <c r="K13" s="12" t="n"/>
      <c r="L13" s="13" t="n"/>
      <c r="M13" s="13" t="n"/>
      <c r="N13" s="14">
        <f>I13*(SUM(J13:M13))*68%*80%</f>
        <v/>
      </c>
      <c r="O13" s="61" t="n"/>
      <c r="P13" s="59" t="n"/>
      <c r="Q13" s="59" t="n"/>
      <c r="R13" s="109" t="n"/>
      <c r="S13" s="15">
        <f>I13*J13</f>
        <v/>
      </c>
      <c r="T13" s="15">
        <f>SUM(S13:S13)*68%*80%</f>
        <v/>
      </c>
      <c r="U13" s="15">
        <f>I13*K13*40%*O13</f>
        <v/>
      </c>
      <c r="V13" s="15">
        <f>IF(P13&gt;=6750,(I13*K13*40%),0)</f>
        <v/>
      </c>
      <c r="W13" s="15">
        <f>IF(P13&lt;6750,0,IF(Q13="",0,IF(OR(Q13="KURANG",Q13="SANGAT KURANG"),I13*K13*10%,I13*K13*20%)))</f>
        <v/>
      </c>
      <c r="X13" s="15">
        <f>SUM(U13:W13)*68%*80%</f>
        <v/>
      </c>
      <c r="Y13" s="15">
        <f>I13*L13</f>
        <v/>
      </c>
      <c r="Z13" s="15">
        <f>Y13*68%*80%</f>
        <v/>
      </c>
      <c r="AA13" s="15">
        <f>I13*M13</f>
        <v/>
      </c>
      <c r="AB13" s="15">
        <f>AA13*68%*80%</f>
        <v/>
      </c>
      <c r="AC13" s="16">
        <f>ROUND((T13+X13+Z13+AB13),0)</f>
        <v/>
      </c>
      <c r="AD13" s="16">
        <f>AG13</f>
        <v/>
      </c>
      <c r="AE13" s="16">
        <f>AI13</f>
        <v/>
      </c>
      <c r="AF13" s="16">
        <f>AC13+AD13+AE13</f>
        <v/>
      </c>
      <c r="AG13" s="16" t="n"/>
      <c r="AH13" s="17" t="n"/>
      <c r="AI13" s="17">
        <f>AH13*4</f>
        <v/>
      </c>
      <c r="AJ13" s="15">
        <f>AF13-AG13-AH13-AI13</f>
        <v/>
      </c>
      <c r="AK13" s="18" t="n">
        <v>6</v>
      </c>
      <c r="AL13" s="23" t="n"/>
    </row>
    <row r="14">
      <c r="A14" s="6" t="n">
        <v>7</v>
      </c>
      <c r="B14" s="7" t="n"/>
      <c r="C14" s="8" t="inlineStr">
        <is>
          <t>NIP. …</t>
        </is>
      </c>
      <c r="D14" s="9" t="n"/>
      <c r="E14" s="8" t="n"/>
      <c r="F14" s="10" t="n"/>
      <c r="G14" s="10" t="n"/>
      <c r="H14" s="8" t="n"/>
      <c r="I14" s="11" t="n"/>
      <c r="J14" s="73" t="n"/>
      <c r="K14" s="12" t="n"/>
      <c r="L14" s="13" t="n"/>
      <c r="M14" s="13" t="n"/>
      <c r="N14" s="14">
        <f>I14*(SUM(J14:M14))*68%*80%</f>
        <v/>
      </c>
      <c r="O14" s="61" t="n"/>
      <c r="P14" s="59" t="n"/>
      <c r="Q14" s="59" t="n"/>
      <c r="R14" s="109" t="n"/>
      <c r="S14" s="15">
        <f>I14*J14</f>
        <v/>
      </c>
      <c r="T14" s="15">
        <f>SUM(S14:S14)*68%*80%</f>
        <v/>
      </c>
      <c r="U14" s="15">
        <f>I14*K14*40%*O14</f>
        <v/>
      </c>
      <c r="V14" s="15">
        <f>IF(P14&gt;=6750,(I14*K14*40%),0)</f>
        <v/>
      </c>
      <c r="W14" s="15">
        <f>IF(P14&lt;6750,0,IF(Q14="",0,IF(OR(Q14="KURANG",Q14="SANGAT KURANG"),I14*K14*10%,I14*K14*20%)))</f>
        <v/>
      </c>
      <c r="X14" s="15">
        <f>SUM(U14:W14)*68%*80%</f>
        <v/>
      </c>
      <c r="Y14" s="15">
        <f>I14*L14</f>
        <v/>
      </c>
      <c r="Z14" s="15">
        <f>Y14*68%*80%</f>
        <v/>
      </c>
      <c r="AA14" s="15">
        <f>I14*M14</f>
        <v/>
      </c>
      <c r="AB14" s="15">
        <f>AA14*68%*80%</f>
        <v/>
      </c>
      <c r="AC14" s="16">
        <f>ROUND((T14+X14+Z14+AB14),0)</f>
        <v/>
      </c>
      <c r="AD14" s="16">
        <f>AG14</f>
        <v/>
      </c>
      <c r="AE14" s="16">
        <f>AI14</f>
        <v/>
      </c>
      <c r="AF14" s="16">
        <f>AC14+AD14+AE14</f>
        <v/>
      </c>
      <c r="AG14" s="16" t="n"/>
      <c r="AH14" s="17" t="n"/>
      <c r="AI14" s="17">
        <f>AH14*4</f>
        <v/>
      </c>
      <c r="AJ14" s="15">
        <f>AF14-AG14-AH14-AI14</f>
        <v/>
      </c>
      <c r="AK14" s="18" t="n">
        <v>7</v>
      </c>
      <c r="AL14" s="23" t="n"/>
    </row>
    <row r="15">
      <c r="A15" s="3" t="n"/>
      <c r="B15" s="34" t="n"/>
      <c r="C15" s="34" t="n"/>
      <c r="D15" s="34" t="n"/>
      <c r="E15" s="34" t="n"/>
      <c r="F15" s="34" t="n"/>
      <c r="G15" s="34" t="n"/>
      <c r="H15" s="34" t="n"/>
      <c r="I15" s="34" t="n"/>
      <c r="K15" s="35" t="n"/>
      <c r="L15" s="36" t="n"/>
      <c r="M15" s="36" t="n"/>
      <c r="N15" s="14">
        <f>I15*(SUM(K15:M15))</f>
        <v/>
      </c>
      <c r="O15" s="37" t="n"/>
      <c r="P15" s="38" t="n"/>
      <c r="Q15" s="38" t="n"/>
      <c r="R15" s="38" t="n"/>
      <c r="S15" s="39" t="n"/>
      <c r="T15" s="38">
        <f>SUM(T8:T14)</f>
        <v/>
      </c>
      <c r="U15" s="39" t="n"/>
      <c r="V15" s="39" t="n"/>
      <c r="W15" s="39" t="n"/>
      <c r="X15" s="38">
        <f>SUM(X8:X14)</f>
        <v/>
      </c>
      <c r="Y15" s="39" t="n"/>
      <c r="Z15" s="15">
        <f>Y15</f>
        <v/>
      </c>
      <c r="AA15" s="39" t="n"/>
      <c r="AB15" s="15">
        <f>AA15</f>
        <v/>
      </c>
      <c r="AC15" s="38">
        <f>SUM(AC8:AC14)</f>
        <v/>
      </c>
      <c r="AD15" s="38">
        <f>SUM(AD8:AD14)</f>
        <v/>
      </c>
      <c r="AE15" s="38">
        <f>SUM(AE8:AE14)</f>
        <v/>
      </c>
      <c r="AF15" s="38">
        <f>SUM(AF8:AF14)</f>
        <v/>
      </c>
      <c r="AG15" s="38">
        <f>SUM(AG8:AG14)</f>
        <v/>
      </c>
      <c r="AH15" s="38">
        <f>SUM(AH8:AH14)</f>
        <v/>
      </c>
      <c r="AI15" s="38">
        <f>SUM(AI8:AI14)</f>
        <v/>
      </c>
      <c r="AJ15" s="38">
        <f>SUM(AJ8:AJ14)</f>
        <v/>
      </c>
      <c r="AK15" s="34" t="n"/>
      <c r="AL15" s="34" t="n"/>
    </row>
  </sheetData>
  <mergeCells count="39">
    <mergeCell ref="I5:I7"/>
    <mergeCell ref="AF5:AF7"/>
    <mergeCell ref="O5:Q5"/>
    <mergeCell ref="D5:D7"/>
    <mergeCell ref="J6:J7"/>
    <mergeCell ref="A5:A7"/>
    <mergeCell ref="G5:G7"/>
    <mergeCell ref="P6:P7"/>
    <mergeCell ref="AJ5:AJ7"/>
    <mergeCell ref="AA6:AA7"/>
    <mergeCell ref="B5:B7"/>
    <mergeCell ref="X6:X7"/>
    <mergeCell ref="AE5:AE7"/>
    <mergeCell ref="A1:AI1"/>
    <mergeCell ref="M6:M7"/>
    <mergeCell ref="AG5:AG7"/>
    <mergeCell ref="Q6:Q7"/>
    <mergeCell ref="AI5:AI7"/>
    <mergeCell ref="H5:H7"/>
    <mergeCell ref="J5:M5"/>
    <mergeCell ref="Y6:Y7"/>
    <mergeCell ref="AD5:AD7"/>
    <mergeCell ref="AK5:AL7"/>
    <mergeCell ref="A3:AI3"/>
    <mergeCell ref="C5:C7"/>
    <mergeCell ref="L6:L7"/>
    <mergeCell ref="AC6:AC7"/>
    <mergeCell ref="E5:E7"/>
    <mergeCell ref="T6:T7"/>
    <mergeCell ref="AH5:AH7"/>
    <mergeCell ref="F5:F7"/>
    <mergeCell ref="Z6:Z7"/>
    <mergeCell ref="AB6:AB7"/>
    <mergeCell ref="A2:AI2"/>
    <mergeCell ref="U6:W6"/>
    <mergeCell ref="N5:N7"/>
    <mergeCell ref="S5:AC5"/>
    <mergeCell ref="K6:K7"/>
    <mergeCell ref="O6:O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2023-03-02T04:49:43Z</dcterms:created>
  <dcterms:modified xmlns:dcterms="http://purl.org/dc/terms/" xmlns:xsi="http://www.w3.org/2001/XMLSchema-instance" xsi:type="dcterms:W3CDTF">2026-02-24T04:33:47Z</dcterms:modified>
  <cp:lastModifiedBy>asrani.27@gmail.com</cp:lastModifiedBy>
</cp:coreProperties>
</file>