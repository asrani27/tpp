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100" yWindow="2240" windowWidth="28800" windowHeight="16080" tabRatio="600" firstSheet="0" activeTab="0" autoFilterDateGrouping="1"/>
  </bookViews>
  <sheets>
    <sheet xmlns:r="http://schemas.openxmlformats.org/officeDocument/2006/relationships" name="REGUL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</numFmts>
  <fonts count="16"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sz val="10"/>
    </font>
    <font>
      <name val="Arial"/>
      <family val="2"/>
      <b val="1"/>
      <sz val="16"/>
    </font>
    <font>
      <name val="Arial"/>
      <family val="2"/>
      <b val="1"/>
      <sz val="10"/>
    </font>
    <font>
      <name val="Arial"/>
      <family val="2"/>
      <b val="1"/>
      <sz val="14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0000"/>
      <sz val="11"/>
    </font>
    <font>
      <name val="Calibri"/>
      <family val="2"/>
      <color indexed="8"/>
      <sz val="11"/>
      <scheme val="minor"/>
    </font>
    <font>
      <name val="Arial"/>
      <family val="2"/>
      <b val="1"/>
      <color theme="1"/>
      <sz val="16"/>
    </font>
    <font>
      <name val="Calibri"/>
      <charset val="1"/>
      <family val="2"/>
      <color rgb="FF000000"/>
      <sz val="13"/>
    </font>
    <font>
      <name val="Calibri"/>
      <family val="2"/>
      <color rgb="FF000000"/>
      <sz val="12"/>
    </font>
  </fonts>
  <fills count="16">
    <fill>
      <patternFill/>
    </fill>
    <fill>
      <patternFill patternType="gray125"/>
    </fill>
    <fill>
      <patternFill patternType="solid">
        <fgColor theme="5" tint="0.799920651875362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2CB"/>
        <bgColor rgb="FFFFFFFF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1" fillId="0" borderId="0"/>
    <xf numFmtId="43" fontId="1" fillId="0" borderId="0"/>
    <xf numFmtId="41" fontId="1" fillId="0" borderId="0"/>
    <xf numFmtId="9" fontId="1" fillId="0" borderId="0"/>
    <xf numFmtId="0" fontId="2" fillId="0" borderId="0"/>
    <xf numFmtId="0" fontId="2" fillId="0" borderId="0"/>
    <xf numFmtId="0" fontId="8" fillId="0" borderId="0" applyAlignment="1">
      <alignment vertical="center"/>
    </xf>
    <xf numFmtId="0" fontId="6" fillId="0" borderId="0"/>
    <xf numFmtId="0" fontId="11" fillId="0" borderId="0"/>
    <xf numFmtId="0" fontId="15" fillId="0" borderId="0"/>
  </cellStyleXfs>
  <cellXfs count="121">
    <xf numFmtId="0" fontId="0" fillId="0" borderId="0" pivotButton="0" quotePrefix="0" xfId="0"/>
    <xf numFmtId="0" fontId="4" fillId="0" borderId="0" applyAlignment="1" pivotButton="0" quotePrefix="0" xfId="4">
      <alignment horizontal="center" vertical="center"/>
    </xf>
    <xf numFmtId="0" fontId="5" fillId="0" borderId="0" applyAlignment="1" pivotButton="0" quotePrefix="0" xfId="4">
      <alignment vertical="center"/>
    </xf>
    <xf numFmtId="0" fontId="0" fillId="0" borderId="0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11" borderId="1" applyAlignment="1" pivotButton="0" quotePrefix="1" xfId="0">
      <alignment horizontal="center" vertical="center"/>
    </xf>
    <xf numFmtId="0" fontId="7" fillId="0" borderId="1" applyAlignment="1" pivotButton="0" quotePrefix="0" xfId="5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center" vertical="center"/>
    </xf>
    <xf numFmtId="41" fontId="6" fillId="0" borderId="1" applyAlignment="1" pivotButton="0" quotePrefix="0" xfId="2">
      <alignment vertical="center"/>
    </xf>
    <xf numFmtId="164" fontId="7" fillId="0" borderId="1" applyAlignment="1" pivotButton="0" quotePrefix="0" xfId="3">
      <alignment vertical="center"/>
    </xf>
    <xf numFmtId="9" fontId="7" fillId="0" borderId="1" applyAlignment="1" pivotButton="0" quotePrefix="0" xfId="3">
      <alignment vertical="center"/>
    </xf>
    <xf numFmtId="165" fontId="7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5" fontId="7" fillId="11" borderId="1" applyAlignment="1" pivotButton="0" quotePrefix="0" xfId="0">
      <alignment vertical="center"/>
    </xf>
    <xf numFmtId="41" fontId="6" fillId="11" borderId="1" applyAlignment="1" pivotButton="0" quotePrefix="0" xfId="0">
      <alignment vertical="center"/>
    </xf>
    <xf numFmtId="165" fontId="6" fillId="0" borderId="8" applyAlignment="1" pivotButton="0" quotePrefix="1" xfId="0">
      <alignment horizontal="left" vertical="top"/>
    </xf>
    <xf numFmtId="0" fontId="6" fillId="11" borderId="1" applyAlignment="1" pivotButton="0" quotePrefix="0" xfId="0">
      <alignment horizontal="left" vertical="top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3" fontId="9" fillId="0" borderId="9" applyAlignment="1" pivotButton="0" quotePrefix="0" xfId="6">
      <alignment horizontal="right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 wrapText="1"/>
    </xf>
    <xf numFmtId="0" fontId="7" fillId="0" borderId="0" pivotButton="0" quotePrefix="0" xfId="0"/>
    <xf numFmtId="165" fontId="7" fillId="0" borderId="10" pivotButton="0" quotePrefix="0" xfId="0"/>
    <xf numFmtId="0" fontId="7" fillId="0" borderId="10" pivotButton="0" quotePrefix="0" xfId="0"/>
    <xf numFmtId="9" fontId="10" fillId="11" borderId="1" pivotButton="0" quotePrefix="0" xfId="3"/>
    <xf numFmtId="165" fontId="10" fillId="11" borderId="1" pivotButton="0" quotePrefix="0" xfId="0"/>
    <xf numFmtId="0" fontId="10" fillId="11" borderId="1" pivotButton="0" quotePrefix="0" xfId="0"/>
    <xf numFmtId="0" fontId="7" fillId="0" borderId="5" pivotButton="0" quotePrefix="0" xfId="0"/>
    <xf numFmtId="165" fontId="7" fillId="0" borderId="0" pivotButton="0" quotePrefix="0" xfId="0"/>
    <xf numFmtId="0" fontId="7" fillId="0" borderId="0" applyAlignment="1" pivotButton="0" quotePrefix="0" xfId="8">
      <alignment horizontal="centerContinuous"/>
    </xf>
    <xf numFmtId="0" fontId="7" fillId="0" borderId="0" pivotButton="0" quotePrefix="0" xfId="8"/>
    <xf numFmtId="0" fontId="12" fillId="0" borderId="0" pivotButton="0" quotePrefix="0" xfId="8"/>
    <xf numFmtId="9" fontId="0" fillId="0" borderId="0" pivotButton="0" quotePrefix="0" xfId="3"/>
    <xf numFmtId="0" fontId="7" fillId="0" borderId="0" pivotButton="0" quotePrefix="0" xfId="4"/>
    <xf numFmtId="9" fontId="7" fillId="0" borderId="0" pivotButton="0" quotePrefix="0" xfId="4"/>
    <xf numFmtId="0" fontId="12" fillId="0" borderId="0" applyAlignment="1" pivotButton="0" quotePrefix="0" xfId="8">
      <alignment horizontal="centerContinuous"/>
    </xf>
    <xf numFmtId="166" fontId="7" fillId="0" borderId="0" pivotButton="0" quotePrefix="0" xfId="1"/>
    <xf numFmtId="165" fontId="0" fillId="0" borderId="0" pivotButton="0" quotePrefix="0" xfId="0"/>
    <xf numFmtId="166" fontId="0" fillId="0" borderId="0" pivotButton="0" quotePrefix="0" xfId="1"/>
    <xf numFmtId="43" fontId="0" fillId="0" borderId="0" pivotButton="0" quotePrefix="0" xfId="1"/>
    <xf numFmtId="43" fontId="7" fillId="0" borderId="0" pivotButton="0" quotePrefix="0" xfId="1"/>
    <xf numFmtId="0" fontId="7" fillId="0" borderId="1" applyAlignment="1" pivotButton="0" quotePrefix="0" xfId="5">
      <alignment horizontal="left" vertical="center"/>
    </xf>
    <xf numFmtId="167" fontId="6" fillId="0" borderId="1" applyAlignment="1" pivotButton="0" quotePrefix="1" xfId="0">
      <alignment horizontal="left" vertical="center"/>
    </xf>
    <xf numFmtId="0" fontId="6" fillId="0" borderId="1" applyAlignment="1" pivotButton="0" quotePrefix="1" xfId="0">
      <alignment horizontal="left" vertical="center"/>
    </xf>
    <xf numFmtId="10" fontId="6" fillId="0" borderId="1" applyAlignment="1" pivotButton="0" quotePrefix="0" xfId="3">
      <alignment vertical="center"/>
    </xf>
    <xf numFmtId="9" fontId="7" fillId="12" borderId="1" applyAlignment="1" pivotButton="0" quotePrefix="0" xfId="0">
      <alignment vertical="center"/>
    </xf>
    <xf numFmtId="165" fontId="6" fillId="12" borderId="1" applyAlignment="1" pivotButton="0" quotePrefix="0" xfId="0">
      <alignment vertical="center"/>
    </xf>
    <xf numFmtId="165" fontId="6" fillId="12" borderId="1" applyAlignment="1" pivotButton="0" quotePrefix="1" xfId="0">
      <alignment vertical="center"/>
    </xf>
    <xf numFmtId="10" fontId="7" fillId="12" borderId="1" applyAlignment="1" pivotButton="0" quotePrefix="0" xfId="3">
      <alignment vertical="center"/>
    </xf>
    <xf numFmtId="10" fontId="14" fillId="0" borderId="11" applyAlignment="1" pivotButton="0" quotePrefix="0" xfId="0">
      <alignment vertical="center"/>
    </xf>
    <xf numFmtId="164" fontId="14" fillId="0" borderId="11" applyAlignment="1" pivotButton="0" quotePrefix="0" xfId="0">
      <alignment vertical="center"/>
    </xf>
    <xf numFmtId="9" fontId="14" fillId="0" borderId="11" applyAlignment="1" pivotButton="0" quotePrefix="0" xfId="0">
      <alignment vertical="center"/>
    </xf>
    <xf numFmtId="10" fontId="14" fillId="15" borderId="11" applyAlignment="1" pivotButton="0" quotePrefix="0" xfId="0">
      <alignment vertical="center"/>
    </xf>
    <xf numFmtId="165" fontId="14" fillId="15" borderId="11" applyAlignment="1" pivotButton="0" quotePrefix="0" xfId="0">
      <alignment vertical="center"/>
    </xf>
    <xf numFmtId="0" fontId="0" fillId="6" borderId="5" applyAlignment="1" pivotButton="0" quotePrefix="0" xfId="0">
      <alignment horizontal="center" vertical="center"/>
    </xf>
    <xf numFmtId="0" fontId="3" fillId="0" borderId="0" applyAlignment="1" pivotButton="0" quotePrefix="0" xfId="4">
      <alignment horizontal="center" vertical="center"/>
    </xf>
    <xf numFmtId="0" fontId="13" fillId="0" borderId="0" applyAlignment="1" pivotButton="0" quotePrefix="0" xfId="4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/>
    </xf>
    <xf numFmtId="0" fontId="0" fillId="13" borderId="2" applyAlignment="1" pivotButton="0" quotePrefix="0" xfId="0">
      <alignment horizontal="center" vertical="center" wrapText="1"/>
    </xf>
    <xf numFmtId="0" fontId="0" fillId="13" borderId="6" applyAlignment="1" pivotButton="0" quotePrefix="0" xfId="0">
      <alignment horizontal="center" vertical="center" wrapText="1"/>
    </xf>
    <xf numFmtId="0" fontId="0" fillId="13" borderId="7" applyAlignment="1" pivotButton="0" quotePrefix="0" xfId="0">
      <alignment horizontal="center" vertical="center" wrapText="1"/>
    </xf>
    <xf numFmtId="0" fontId="0" fillId="14" borderId="2" applyAlignment="1" pivotButton="0" quotePrefix="0" xfId="0">
      <alignment horizontal="center" vertical="center" wrapText="1"/>
    </xf>
    <xf numFmtId="0" fontId="0" fillId="14" borderId="6" applyAlignment="1" pivotButton="0" quotePrefix="0" xfId="0">
      <alignment horizontal="center" vertical="center" wrapText="1"/>
    </xf>
    <xf numFmtId="0" fontId="0" fillId="14" borderId="7" applyAlignment="1" pivotButton="0" quotePrefix="0" xfId="0">
      <alignment horizontal="center" vertical="center" wrapText="1"/>
    </xf>
    <xf numFmtId="0" fontId="0" fillId="6" borderId="2" applyAlignment="1" pivotButton="0" quotePrefix="0" xfId="0">
      <alignment horizontal="center" vertical="center"/>
    </xf>
    <xf numFmtId="0" fontId="0" fillId="6" borderId="6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0" fillId="4" borderId="3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 wrapText="1"/>
    </xf>
    <xf numFmtId="0" fontId="12" fillId="0" borderId="0" applyAlignment="1" pivotButton="0" quotePrefix="0" xfId="8">
      <alignment horizontal="center"/>
    </xf>
    <xf numFmtId="0" fontId="7" fillId="0" borderId="0" applyAlignment="1" pivotButton="0" quotePrefix="0" xfId="6">
      <alignment horizontal="center" vertical="top"/>
    </xf>
    <xf numFmtId="0" fontId="0" fillId="9" borderId="1" applyAlignment="1" pivotButton="0" quotePrefix="0" xfId="0">
      <alignment horizontal="center" vertical="center" wrapText="1"/>
    </xf>
    <xf numFmtId="0" fontId="7" fillId="0" borderId="0" applyAlignment="1" pivotButton="0" quotePrefix="0" xfId="8">
      <alignment horizontal="center"/>
    </xf>
    <xf numFmtId="0" fontId="6" fillId="2" borderId="15" applyAlignment="1" pivotButton="0" quotePrefix="0" xfId="0">
      <alignment horizontal="center" vertical="center"/>
    </xf>
    <xf numFmtId="0" fontId="6" fillId="3" borderId="15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4" borderId="15" applyAlignment="1" pivotButton="0" quotePrefix="0" xfId="0">
      <alignment horizontal="center" vertical="center"/>
    </xf>
    <xf numFmtId="0" fontId="7" fillId="4" borderId="15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0" fillId="13" borderId="15" applyAlignment="1" pivotButton="0" quotePrefix="0" xfId="0">
      <alignment horizontal="center" vertical="center" wrapText="1"/>
    </xf>
    <xf numFmtId="0" fontId="0" fillId="14" borderId="15" applyAlignment="1" pivotButton="0" quotePrefix="0" xfId="0">
      <alignment horizontal="center" vertical="center" wrapText="1"/>
    </xf>
    <xf numFmtId="0" fontId="0" fillId="6" borderId="1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2" pivotButton="0" quotePrefix="0" xfId="0"/>
    <xf numFmtId="0" fontId="0" fillId="0" borderId="20" pivotButton="0" quotePrefix="0" xfId="0"/>
    <xf numFmtId="0" fontId="0" fillId="0" borderId="14" pivotButton="0" quotePrefix="0" xfId="0"/>
    <xf numFmtId="0" fontId="0" fillId="0" borderId="7" pivotButton="0" quotePrefix="0" xfId="0"/>
    <xf numFmtId="0" fontId="0" fillId="0" borderId="21" pivotButton="0" quotePrefix="0" xfId="0"/>
    <xf numFmtId="0" fontId="0" fillId="0" borderId="22" pivotButton="0" quotePrefix="0" xfId="0"/>
  </cellXfs>
  <cellStyles count="10">
    <cellStyle name="Normal" xfId="0" builtinId="0"/>
    <cellStyle name="Comma" xfId="1" builtinId="3"/>
    <cellStyle name="Comma [0]" xfId="2" builtinId="6"/>
    <cellStyle name="Percent" xfId="3" builtinId="5"/>
    <cellStyle name="Normal 2" xfId="4"/>
    <cellStyle name="Normal 3 2 2" xfId="5"/>
    <cellStyle name="Normal 4" xfId="6"/>
    <cellStyle name="Normal 5" xfId="7"/>
    <cellStyle name="Normal 2 2 2" xfId="8"/>
    <cellStyle name="Normal 2 2" xfId="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54"/>
  <sheetViews>
    <sheetView tabSelected="1" topLeftCell="W1" workbookViewId="0">
      <selection activeCell="AC11" sqref="AC11"/>
    </sheetView>
  </sheetViews>
  <sheetFormatPr baseColWidth="10" defaultColWidth="8.83203125" defaultRowHeight="16"/>
  <cols>
    <col width="4.5" customWidth="1" style="3" min="1" max="1"/>
    <col width="37.33203125" customWidth="1" min="2" max="2"/>
    <col width="30.83203125" customWidth="1" min="3" max="3"/>
    <col width="22.6640625" customWidth="1" min="4" max="4"/>
    <col width="21.5" customWidth="1" min="5" max="5"/>
    <col width="24.83203125" customWidth="1" min="6" max="6"/>
    <col width="10.6640625" customWidth="1" min="7" max="7"/>
    <col width="9.5" customWidth="1" min="8" max="8"/>
    <col width="12.5" customWidth="1" min="9" max="9"/>
    <col width="8.5" customWidth="1" min="10" max="13"/>
    <col width="14.1640625" customWidth="1" min="14" max="14"/>
    <col width="9.5" customWidth="1" style="37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width="12.5" customWidth="1" min="25" max="25"/>
    <col width="13.5" customWidth="1" min="26" max="26"/>
    <col width="10.1640625" customWidth="1" min="27" max="28"/>
    <col width="13" customWidth="1" min="29" max="29"/>
    <col width="13.5" customWidth="1" min="30" max="30"/>
    <col width="13" customWidth="1" min="31" max="33"/>
    <col width="11.5" customWidth="1" min="34" max="35"/>
    <col width="13" customWidth="1" min="36" max="36"/>
    <col width="4.83203125" bestFit="1" customWidth="1" min="37" max="37"/>
    <col width="17" customWidth="1" min="38" max="38"/>
  </cols>
  <sheetData>
    <row r="1" ht="28" customHeight="1">
      <c r="A1" s="60" t="inlineStr">
        <is>
          <t xml:space="preserve">DAFTAR TANDA TERIMA PEMBAYARAN TPP ASN </t>
        </is>
      </c>
      <c r="AJ1" s="1" t="n"/>
    </row>
    <row r="2" ht="28" customHeight="1">
      <c r="A2" s="60" t="n"/>
      <c r="AJ2" s="2" t="n"/>
    </row>
    <row r="3" ht="28" customHeight="1">
      <c r="A3" s="61" t="n"/>
      <c r="AJ3" s="2" t="n"/>
    </row>
    <row r="4">
      <c r="A4" s="3" t="inlineStr">
        <is>
          <t>.</t>
        </is>
      </c>
      <c r="D4" t="inlineStr">
        <is>
          <t>.</t>
        </is>
      </c>
    </row>
    <row r="5" ht="16" customHeight="1">
      <c r="A5" s="62" t="inlineStr">
        <is>
          <t>NO</t>
        </is>
      </c>
      <c r="B5" s="62" t="inlineStr">
        <is>
          <t>NAMA</t>
        </is>
      </c>
      <c r="C5" s="63" t="inlineStr">
        <is>
          <t>NIP</t>
        </is>
      </c>
      <c r="D5" s="65" t="inlineStr">
        <is>
          <t>PANGKAT/
GOLONGAN</t>
        </is>
      </c>
      <c r="E5" s="62" t="inlineStr">
        <is>
          <t>JABATAN</t>
        </is>
      </c>
      <c r="F5" s="66" t="inlineStr">
        <is>
          <t>JENIS JABATAN</t>
        </is>
      </c>
      <c r="G5" s="62" t="inlineStr">
        <is>
          <t>KELAS</t>
        </is>
      </c>
      <c r="H5" s="101" t="inlineStr">
        <is>
          <t>KET</t>
        </is>
      </c>
      <c r="I5" s="89" t="inlineStr">
        <is>
          <t>Basic TPP</t>
        </is>
      </c>
      <c r="J5" s="102" t="inlineStr">
        <is>
          <t>Persentase</t>
        </is>
      </c>
      <c r="K5" s="103" t="n"/>
      <c r="L5" s="103" t="n"/>
      <c r="M5" s="104" t="n"/>
      <c r="N5" s="71" t="inlineStr">
        <is>
          <t>Pagu TPP ASN</t>
        </is>
      </c>
      <c r="O5" s="105" t="inlineStr">
        <is>
          <t>Disiplin dan Produktivitas</t>
        </is>
      </c>
      <c r="P5" s="103" t="n"/>
      <c r="Q5" s="104" t="n"/>
      <c r="R5" s="106" t="inlineStr">
        <is>
          <t>Persen PPH21</t>
        </is>
      </c>
      <c r="S5" s="75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  <c r="AC5" s="108" t="n"/>
      <c r="AD5" s="109" t="inlineStr">
        <is>
          <t>Tunjangan PPH 21 (TER)</t>
        </is>
      </c>
      <c r="AE5" s="109" t="inlineStr">
        <is>
          <t>Tunjangan BPJS 4%</t>
        </is>
      </c>
      <c r="AF5" s="110" t="inlineStr">
        <is>
          <t>Jumlah Pembayaran</t>
        </is>
      </c>
      <c r="AG5" s="111" t="inlineStr">
        <is>
          <t>PPH 21 (TER)</t>
        </is>
      </c>
      <c r="AH5" s="111" t="inlineStr">
        <is>
          <t>BPJS 1%</t>
        </is>
      </c>
      <c r="AI5" s="82" t="inlineStr">
        <is>
          <t>BPJS 4%</t>
        </is>
      </c>
      <c r="AJ5" s="69" t="inlineStr">
        <is>
          <t>TPP DITERIMA/
TRANSFER</t>
        </is>
      </c>
      <c r="AK5" s="70" t="inlineStr">
        <is>
          <t>TANDA TANGAN</t>
        </is>
      </c>
      <c r="AL5" s="112" t="n"/>
    </row>
    <row r="6" ht="14.5" customHeight="1">
      <c r="A6" s="113" t="n"/>
      <c r="B6" s="113" t="n"/>
      <c r="C6" s="114" t="n"/>
      <c r="D6" s="114" t="n"/>
      <c r="E6" s="113" t="n"/>
      <c r="F6" s="113" t="n"/>
      <c r="G6" s="113" t="n"/>
      <c r="H6" s="114" t="n"/>
      <c r="I6" s="113" t="n"/>
      <c r="J6" s="71" t="inlineStr">
        <is>
          <t>Beban Kerja</t>
        </is>
      </c>
      <c r="K6" s="71" t="inlineStr">
        <is>
          <t>Prestasi Kerja</t>
        </is>
      </c>
      <c r="L6" s="71" t="inlineStr">
        <is>
          <t>Kondisi Kerja</t>
        </is>
      </c>
      <c r="M6" s="71" t="inlineStr">
        <is>
          <t>Kelangkaan Profesi</t>
        </is>
      </c>
      <c r="N6" s="114" t="n"/>
      <c r="O6" s="73" t="inlineStr">
        <is>
          <t>Absensi</t>
        </is>
      </c>
      <c r="P6" s="73" t="inlineStr">
        <is>
          <t>Aktivitas (menit)</t>
        </is>
      </c>
      <c r="Q6" s="73" t="inlineStr">
        <is>
          <t>Penilaian Kinerja</t>
        </is>
      </c>
      <c r="R6" s="114" t="n"/>
      <c r="S6" s="59" t="n"/>
      <c r="T6" s="69" t="inlineStr">
        <is>
          <t>Jumlah Beban Kerja</t>
        </is>
      </c>
      <c r="U6" s="85" t="inlineStr">
        <is>
          <t>Prestasi Kerja</t>
        </is>
      </c>
      <c r="V6" s="107" t="n"/>
      <c r="W6" s="108" t="n"/>
      <c r="X6" s="86" t="inlineStr">
        <is>
          <t>Jumlah Prestasi Kerja</t>
        </is>
      </c>
      <c r="Y6" s="99" t="inlineStr">
        <is>
          <t>Kondisi Kerja</t>
        </is>
      </c>
      <c r="Z6" s="99" t="inlineStr">
        <is>
          <t>Jumlah Kondisi Kerja</t>
        </is>
      </c>
      <c r="AA6" s="67" t="inlineStr">
        <is>
          <t>Kelangkaan Profesi</t>
        </is>
      </c>
      <c r="AB6" s="67" t="inlineStr">
        <is>
          <t>Jumlah Kelangaan Profesi</t>
        </is>
      </c>
      <c r="AC6" s="68" t="inlineStr">
        <is>
          <t>Jumlah Berdasarkan Komponen TPP</t>
        </is>
      </c>
      <c r="AD6" s="114" t="n"/>
      <c r="AE6" s="114" t="n"/>
      <c r="AF6" s="114" t="n"/>
      <c r="AG6" s="114" t="n"/>
      <c r="AH6" s="114" t="n"/>
      <c r="AI6" s="114" t="n"/>
      <c r="AJ6" s="113" t="n"/>
      <c r="AK6" s="115" t="n"/>
      <c r="AL6" s="116" t="n"/>
    </row>
    <row r="7" ht="34" customHeight="1">
      <c r="A7" s="117" t="n"/>
      <c r="B7" s="117" t="n"/>
      <c r="C7" s="114" t="n"/>
      <c r="D7" s="114" t="n"/>
      <c r="E7" s="117" t="n"/>
      <c r="F7" s="117" t="n"/>
      <c r="G7" s="117" t="n"/>
      <c r="H7" s="118" t="n"/>
      <c r="I7" s="117" t="n"/>
      <c r="J7" s="114" t="n"/>
      <c r="K7" s="114" t="n"/>
      <c r="L7" s="114" t="n"/>
      <c r="M7" s="114" t="n"/>
      <c r="N7" s="114" t="n"/>
      <c r="O7" s="114" t="n"/>
      <c r="P7" s="114" t="n"/>
      <c r="Q7" s="114" t="n"/>
      <c r="R7" s="118" t="n"/>
      <c r="S7" s="5" t="inlineStr">
        <is>
          <t>Kinerja (20%)</t>
        </is>
      </c>
      <c r="T7" s="117" t="n"/>
      <c r="U7" s="86" t="inlineStr">
        <is>
          <t>Absensi (40%)</t>
        </is>
      </c>
      <c r="V7" s="86" t="inlineStr">
        <is>
          <t>Aktivitas (40%)</t>
        </is>
      </c>
      <c r="W7" s="86" t="inlineStr">
        <is>
          <t>Kinerja (20%)</t>
        </is>
      </c>
      <c r="X7" s="117" t="n"/>
      <c r="Y7" s="117" t="n"/>
      <c r="Z7" s="117" t="n"/>
      <c r="AA7" s="117" t="n"/>
      <c r="AB7" s="117" t="n"/>
      <c r="AC7" s="117" t="n"/>
      <c r="AD7" s="118" t="n"/>
      <c r="AE7" s="118" t="n"/>
      <c r="AF7" s="118" t="n"/>
      <c r="AG7" s="118" t="n"/>
      <c r="AH7" s="118" t="n"/>
      <c r="AI7" s="114" t="n"/>
      <c r="AJ7" s="117" t="n"/>
      <c r="AK7" s="119" t="n"/>
      <c r="AL7" s="120" t="n"/>
    </row>
    <row r="8" ht="23.5" customHeight="1">
      <c r="A8" s="6" t="inlineStr">
        <is>
          <t>1</t>
        </is>
      </c>
      <c r="B8" s="7" t="n"/>
      <c r="C8" s="48" t="n"/>
      <c r="D8" s="9" t="n"/>
      <c r="E8" s="8" t="n"/>
      <c r="F8" s="10" t="n"/>
      <c r="G8" s="10" t="n"/>
      <c r="H8" s="8" t="n"/>
      <c r="I8" s="11" t="n">
        <v>7856316</v>
      </c>
      <c r="J8" s="54" t="n">
        <v>0.34</v>
      </c>
      <c r="K8" s="55" t="n">
        <v>0.46</v>
      </c>
      <c r="L8" s="56" t="n">
        <v>0.12</v>
      </c>
      <c r="M8" s="56" t="n">
        <v>0</v>
      </c>
      <c r="N8" s="14">
        <f>ROUND(I8*(SUM(J8:M8)),0)</f>
        <v/>
      </c>
      <c r="O8" s="57" t="n">
        <v>1</v>
      </c>
      <c r="P8" s="58" t="n">
        <v>10130</v>
      </c>
      <c r="Q8" s="58" t="inlineStr">
        <is>
          <t>BAIK</t>
        </is>
      </c>
      <c r="R8" s="50" t="n"/>
      <c r="S8" s="15">
        <f>I8*J8</f>
        <v/>
      </c>
      <c r="T8" s="15">
        <f>SUM(S8:S8)</f>
        <v/>
      </c>
      <c r="U8" s="15">
        <f>I8*K8*40%*O8</f>
        <v/>
      </c>
      <c r="V8" s="15">
        <f>IF(P8&gt;=6750,(I8*K8*40%),0)</f>
        <v/>
      </c>
      <c r="W8" s="15">
        <f>IF(P8&lt;6750,0,IF(Q8="",0,IF(OR(Q8="KURANG",Q8="SANGAT KURANG"),I8*K8*10%,I8*K8*20%)))</f>
        <v/>
      </c>
      <c r="X8" s="15">
        <f>SUM(U8:W8)</f>
        <v/>
      </c>
      <c r="Y8" s="15">
        <f>I8*L8</f>
        <v/>
      </c>
      <c r="Z8" s="15">
        <f>Y8</f>
        <v/>
      </c>
      <c r="AA8" s="15">
        <f>I8*M8</f>
        <v/>
      </c>
      <c r="AB8" s="15">
        <f>AA8</f>
        <v/>
      </c>
      <c r="AC8" s="16">
        <f>ROUND((T8+X8+Z8+AB8),0)</f>
        <v/>
      </c>
      <c r="AD8" s="16">
        <f>AG8</f>
        <v/>
      </c>
      <c r="AE8" s="16">
        <f>AI8</f>
        <v/>
      </c>
      <c r="AF8" s="16">
        <f>AC8+AD8+AE8</f>
        <v/>
      </c>
      <c r="AG8" s="16" t="n"/>
      <c r="AH8" s="17" t="n"/>
      <c r="AI8" s="17">
        <f>AH8*4</f>
        <v/>
      </c>
      <c r="AJ8" s="15">
        <f>AF8-AG8-AH8-AI8</f>
        <v/>
      </c>
      <c r="AK8" s="18" t="n">
        <v>1</v>
      </c>
      <c r="AL8" s="22" t="n"/>
    </row>
    <row r="9" ht="23.5" customHeight="1">
      <c r="A9" s="6" t="inlineStr">
        <is>
          <t>2</t>
        </is>
      </c>
      <c r="B9" s="46" t="n"/>
      <c r="C9" s="47" t="n"/>
      <c r="D9" s="19" t="n"/>
      <c r="E9" s="8" t="n"/>
      <c r="F9" s="20" t="n"/>
      <c r="G9" s="20" t="n"/>
      <c r="H9" s="21" t="n"/>
      <c r="I9" s="11" t="n"/>
      <c r="J9" s="49" t="n"/>
      <c r="K9" s="12" t="n"/>
      <c r="L9" s="13" t="n"/>
      <c r="M9" s="13" t="n"/>
      <c r="N9" s="14">
        <f>ROUND(I9*(SUM(J9:M9)),0)</f>
        <v/>
      </c>
      <c r="O9" s="53" t="n"/>
      <c r="P9" s="51" t="n"/>
      <c r="Q9" s="52" t="n"/>
      <c r="R9" s="50" t="n"/>
      <c r="S9" s="15">
        <f>I9*J9</f>
        <v/>
      </c>
      <c r="T9" s="15">
        <f>SUM(S9:S9)</f>
        <v/>
      </c>
      <c r="U9" s="15">
        <f>I9*K9*40%*O9</f>
        <v/>
      </c>
      <c r="V9" s="15">
        <f>IF(P9&gt;=6750,(I9*K9*40%),0)</f>
        <v/>
      </c>
      <c r="W9" s="15">
        <f>IF(P9&lt;6750,0,IF(Q9="",0,IF(OR(Q9="KURANG",Q9="SANGAT KURANG"),I9*K9*10%,I9*K9*20%)))</f>
        <v/>
      </c>
      <c r="X9" s="15">
        <f>SUM(U9:W9)</f>
        <v/>
      </c>
      <c r="Y9" s="15">
        <f>I9*L9</f>
        <v/>
      </c>
      <c r="Z9" s="15">
        <f>Y9</f>
        <v/>
      </c>
      <c r="AA9" s="15">
        <f>I9*M9</f>
        <v/>
      </c>
      <c r="AB9" s="15">
        <f>AA9</f>
        <v/>
      </c>
      <c r="AC9" s="16">
        <f>ROUND((T9+X9+Z9+AB9),0)</f>
        <v/>
      </c>
      <c r="AD9" s="16">
        <f>AG9</f>
        <v/>
      </c>
      <c r="AE9" s="16">
        <f>AI9</f>
        <v/>
      </c>
      <c r="AF9" s="16">
        <f>AC9+AD9+AE9</f>
        <v/>
      </c>
      <c r="AG9" s="16" t="n"/>
      <c r="AH9" s="17" t="n"/>
      <c r="AI9" s="17">
        <f>AH9*4</f>
        <v/>
      </c>
      <c r="AJ9" s="15">
        <f>AF9-AG9-AH9-AI9</f>
        <v/>
      </c>
      <c r="AK9" s="18" t="n">
        <v>2</v>
      </c>
      <c r="AL9" s="22" t="n"/>
    </row>
    <row r="10" ht="23.5" customHeight="1">
      <c r="A10" s="6" t="inlineStr">
        <is>
          <t>3</t>
        </is>
      </c>
      <c r="B10" s="46" t="n"/>
      <c r="C10" s="47" t="n"/>
      <c r="D10" s="19" t="n"/>
      <c r="E10" s="23" t="n"/>
      <c r="F10" s="24" t="n"/>
      <c r="G10" s="24" t="n"/>
      <c r="H10" s="23" t="n"/>
      <c r="I10" s="11" t="n"/>
      <c r="J10" s="49" t="n"/>
      <c r="K10" s="12" t="n"/>
      <c r="L10" s="13" t="n"/>
      <c r="M10" s="13" t="n"/>
      <c r="N10" s="14">
        <f>ROUND(I10*(SUM(J10:M10)),0)</f>
        <v/>
      </c>
      <c r="O10" s="53" t="n"/>
      <c r="P10" s="51" t="n"/>
      <c r="Q10" s="51" t="n"/>
      <c r="R10" s="50" t="n"/>
      <c r="S10" s="15">
        <f>I10*J10</f>
        <v/>
      </c>
      <c r="T10" s="15">
        <f>SUM(S10:S10)</f>
        <v/>
      </c>
      <c r="U10" s="15">
        <f>I10*K10*40%*O10</f>
        <v/>
      </c>
      <c r="V10" s="15">
        <f>IF(P10&gt;=6750,(I10*K10*40%),0)</f>
        <v/>
      </c>
      <c r="W10" s="15">
        <f>IF(P10&lt;6750,0,IF(Q10="",0,IF(OR(Q10="KURANG",Q10="SANGAT KURANG"),I10*K10*10%,I10*K10*20%)))</f>
        <v/>
      </c>
      <c r="X10" s="15">
        <f>SUM(U10:W10)</f>
        <v/>
      </c>
      <c r="Y10" s="15">
        <f>I10*L10</f>
        <v/>
      </c>
      <c r="Z10" s="15">
        <f>Y10</f>
        <v/>
      </c>
      <c r="AA10" s="15">
        <f>I10*M10</f>
        <v/>
      </c>
      <c r="AB10" s="15">
        <f>AA10</f>
        <v/>
      </c>
      <c r="AC10" s="16">
        <f>ROUND((T10+X10+Z10+AB10),0)</f>
        <v/>
      </c>
      <c r="AD10" s="16">
        <f>AG10</f>
        <v/>
      </c>
      <c r="AE10" s="16">
        <f>AI10</f>
        <v/>
      </c>
      <c r="AF10" s="16">
        <f>AC10+AD10+AE10</f>
        <v/>
      </c>
      <c r="AG10" s="16" t="n"/>
      <c r="AH10" s="17" t="n"/>
      <c r="AI10" s="17">
        <f>AH10*4</f>
        <v/>
      </c>
      <c r="AJ10" s="15">
        <f>AF10-AG10-AH10-AI10</f>
        <v/>
      </c>
      <c r="AK10" s="18" t="n">
        <v>3</v>
      </c>
      <c r="AL10" s="22" t="n"/>
    </row>
    <row r="11" ht="23.5" customHeight="1">
      <c r="A11" s="6" t="inlineStr">
        <is>
          <t>4</t>
        </is>
      </c>
      <c r="B11" s="25" t="n"/>
      <c r="C11" s="47" t="n"/>
      <c r="D11" s="19" t="n"/>
      <c r="E11" s="23" t="n"/>
      <c r="F11" s="24" t="n"/>
      <c r="G11" s="24" t="n"/>
      <c r="H11" s="23" t="n"/>
      <c r="I11" s="11" t="n"/>
      <c r="J11" s="49" t="n"/>
      <c r="K11" s="12" t="n"/>
      <c r="L11" s="13" t="n"/>
      <c r="M11" s="13" t="n"/>
      <c r="N11" s="14">
        <f>ROUND(I11*(SUM(J11:M11)),0)</f>
        <v/>
      </c>
      <c r="O11" s="53" t="n"/>
      <c r="P11" s="51" t="n"/>
      <c r="Q11" s="51" t="n"/>
      <c r="R11" s="50" t="n"/>
      <c r="S11" s="15">
        <f>I11*J11</f>
        <v/>
      </c>
      <c r="T11" s="15">
        <f>SUM(S11:S11)</f>
        <v/>
      </c>
      <c r="U11" s="15">
        <f>I11*K11*40%*O11</f>
        <v/>
      </c>
      <c r="V11" s="15">
        <f>IF(P11&gt;=6750,(I11*K11*40%),0)</f>
        <v/>
      </c>
      <c r="W11" s="15">
        <f>IF(P11&lt;6750,0,IF(Q11="",0,IF(OR(Q11="KURANG",Q11="SANGAT KURANG"),I11*K11*10%,I11*K11*20%)))</f>
        <v/>
      </c>
      <c r="X11" s="15">
        <f>SUM(U11:W11)</f>
        <v/>
      </c>
      <c r="Y11" s="15">
        <f>I11*L11</f>
        <v/>
      </c>
      <c r="Z11" s="15">
        <f>Y11</f>
        <v/>
      </c>
      <c r="AA11" s="15">
        <f>I11*M11</f>
        <v/>
      </c>
      <c r="AB11" s="15">
        <f>AA11</f>
        <v/>
      </c>
      <c r="AC11" s="16">
        <f>ROUND((T11+X11+Z11+AB11),0)</f>
        <v/>
      </c>
      <c r="AD11" s="16">
        <f>AG11</f>
        <v/>
      </c>
      <c r="AE11" s="16">
        <f>AI11</f>
        <v/>
      </c>
      <c r="AF11" s="16">
        <f>AC11+AD11+AE11</f>
        <v/>
      </c>
      <c r="AG11" s="16" t="n"/>
      <c r="AH11" s="17" t="n"/>
      <c r="AI11" s="17">
        <f>AH11*4</f>
        <v/>
      </c>
      <c r="AJ11" s="15">
        <f>AF11-AG11-AH11-AI11</f>
        <v/>
      </c>
      <c r="AK11" s="18" t="n">
        <v>4</v>
      </c>
      <c r="AL11" s="22" t="n"/>
    </row>
    <row r="12" ht="23.5" customHeight="1">
      <c r="A12" s="6" t="inlineStr">
        <is>
          <t>5</t>
        </is>
      </c>
      <c r="B12" s="25" t="n"/>
      <c r="C12" s="47" t="n"/>
      <c r="D12" s="19" t="n"/>
      <c r="E12" s="23" t="n"/>
      <c r="F12" s="24" t="n"/>
      <c r="G12" s="24" t="n"/>
      <c r="H12" s="23" t="n"/>
      <c r="I12" s="11" t="n"/>
      <c r="J12" s="49" t="n"/>
      <c r="K12" s="12" t="n"/>
      <c r="L12" s="13" t="n"/>
      <c r="M12" s="13" t="n"/>
      <c r="N12" s="14">
        <f>ROUND(I12*(SUM(J12:M12)),0)</f>
        <v/>
      </c>
      <c r="O12" s="53" t="n"/>
      <c r="P12" s="51" t="n"/>
      <c r="Q12" s="51" t="n"/>
      <c r="R12" s="50" t="n"/>
      <c r="S12" s="15">
        <f>I12*J12</f>
        <v/>
      </c>
      <c r="T12" s="15">
        <f>SUM(S12:S12)</f>
        <v/>
      </c>
      <c r="U12" s="15">
        <f>I12*K12*40%*O12</f>
        <v/>
      </c>
      <c r="V12" s="15">
        <f>IF(P12&gt;=6750,(I12*K12*40%),0)</f>
        <v/>
      </c>
      <c r="W12" s="15">
        <f>IF(P12&lt;6750,0,IF(Q12="",0,IF(OR(Q12="KURANG",Q12="SANGAT KURANG"),I12*K12*10%,I12*K12*20%)))</f>
        <v/>
      </c>
      <c r="X12" s="15">
        <f>SUM(U12:W12)</f>
        <v/>
      </c>
      <c r="Y12" s="15">
        <f>I12*L12</f>
        <v/>
      </c>
      <c r="Z12" s="15">
        <f>Y12</f>
        <v/>
      </c>
      <c r="AA12" s="15">
        <f>I12*M12</f>
        <v/>
      </c>
      <c r="AB12" s="15">
        <f>AA12</f>
        <v/>
      </c>
      <c r="AC12" s="16">
        <f>ROUND((T12+X12+Z12+AB12),0)</f>
        <v/>
      </c>
      <c r="AD12" s="16">
        <f>AG12</f>
        <v/>
      </c>
      <c r="AE12" s="16">
        <f>AI12</f>
        <v/>
      </c>
      <c r="AF12" s="16">
        <f>AC12+AD12+AE12</f>
        <v/>
      </c>
      <c r="AG12" s="16" t="n"/>
      <c r="AH12" s="17" t="n"/>
      <c r="AI12" s="17">
        <f>AH12*4</f>
        <v/>
      </c>
      <c r="AJ12" s="15">
        <f>AF12-AG12-AH12-AI12</f>
        <v/>
      </c>
      <c r="AK12" s="18" t="n">
        <v>5</v>
      </c>
      <c r="AL12" s="22" t="n"/>
    </row>
    <row r="13" ht="23.5" customHeight="1">
      <c r="A13" s="6" t="inlineStr">
        <is>
          <t>6</t>
        </is>
      </c>
      <c r="B13" s="25" t="n"/>
      <c r="C13" s="47" t="n"/>
      <c r="D13" s="19" t="n"/>
      <c r="E13" s="23" t="n"/>
      <c r="F13" s="24" t="n"/>
      <c r="G13" s="24" t="n"/>
      <c r="H13" s="23" t="n"/>
      <c r="I13" s="11" t="n"/>
      <c r="J13" s="49" t="n"/>
      <c r="K13" s="12" t="n"/>
      <c r="L13" s="13" t="n"/>
      <c r="M13" s="13" t="n"/>
      <c r="N13" s="14">
        <f>ROUND(I13*(SUM(J13:M13)),0)</f>
        <v/>
      </c>
      <c r="O13" s="53" t="n"/>
      <c r="P13" s="51" t="n"/>
      <c r="Q13" s="51" t="n"/>
      <c r="R13" s="50" t="n"/>
      <c r="S13" s="15">
        <f>I13*J13</f>
        <v/>
      </c>
      <c r="T13" s="15">
        <f>SUM(S13:S13)</f>
        <v/>
      </c>
      <c r="U13" s="15">
        <f>I13*K13*40%*O13</f>
        <v/>
      </c>
      <c r="V13" s="15">
        <f>IF(P13&gt;=6750,(I13*K13*40%),0)</f>
        <v/>
      </c>
      <c r="W13" s="15">
        <f>IF(P13&lt;6750,0,IF(Q13="",0,IF(OR(Q13="KURANG",Q13="SANGAT KURANG"),I13*K13*10%,I13*K13*20%)))</f>
        <v/>
      </c>
      <c r="X13" s="15">
        <f>SUM(U13:W13)</f>
        <v/>
      </c>
      <c r="Y13" s="15">
        <f>I13*L13</f>
        <v/>
      </c>
      <c r="Z13" s="15">
        <f>Y13</f>
        <v/>
      </c>
      <c r="AA13" s="15">
        <f>I13*M13</f>
        <v/>
      </c>
      <c r="AB13" s="15">
        <f>AA13</f>
        <v/>
      </c>
      <c r="AC13" s="16">
        <f>ROUND((T13+X13+Z13+AB13),0)</f>
        <v/>
      </c>
      <c r="AD13" s="16">
        <f>AG13</f>
        <v/>
      </c>
      <c r="AE13" s="16">
        <f>AI13</f>
        <v/>
      </c>
      <c r="AF13" s="16">
        <f>AC13+AD13+AE13</f>
        <v/>
      </c>
      <c r="AG13" s="16" t="n"/>
      <c r="AH13" s="17" t="n"/>
      <c r="AI13" s="17">
        <f>AH13*4</f>
        <v/>
      </c>
      <c r="AJ13" s="15">
        <f>AF13-AG13-AH13-AI13</f>
        <v/>
      </c>
      <c r="AK13" s="18" t="n">
        <v>6</v>
      </c>
      <c r="AL13" s="22" t="n"/>
    </row>
    <row r="14" ht="23.5" customHeight="1">
      <c r="A14" s="6" t="inlineStr">
        <is>
          <t>7</t>
        </is>
      </c>
      <c r="B14" s="25" t="n"/>
      <c r="C14" s="47" t="n"/>
      <c r="D14" s="19" t="n"/>
      <c r="E14" s="23" t="n"/>
      <c r="F14" s="24" t="n"/>
      <c r="G14" s="24" t="n"/>
      <c r="H14" s="23" t="n"/>
      <c r="I14" s="11" t="n"/>
      <c r="J14" s="49" t="n"/>
      <c r="K14" s="12" t="n"/>
      <c r="L14" s="13" t="n"/>
      <c r="M14" s="13" t="n"/>
      <c r="N14" s="14">
        <f>ROUND(I14*(SUM(J14:M14)),0)</f>
        <v/>
      </c>
      <c r="O14" s="53" t="n"/>
      <c r="P14" s="51" t="n"/>
      <c r="Q14" s="51" t="n"/>
      <c r="R14" s="50" t="n"/>
      <c r="S14" s="15">
        <f>I14*J14</f>
        <v/>
      </c>
      <c r="T14" s="15">
        <f>SUM(S14:S14)</f>
        <v/>
      </c>
      <c r="U14" s="15">
        <f>I14*K14*40%*O14</f>
        <v/>
      </c>
      <c r="V14" s="15">
        <f>IF(P14&gt;=6750,(I14*K14*40%),0)</f>
        <v/>
      </c>
      <c r="W14" s="15">
        <f>IF(P14&lt;6750,0,IF(Q14="",0,IF(OR(Q14="KURANG",Q14="SANGAT KURANG"),I14*K14*10%,I14*K14*20%)))</f>
        <v/>
      </c>
      <c r="X14" s="15">
        <f>SUM(U14:W14)</f>
        <v/>
      </c>
      <c r="Y14" s="15">
        <f>I14*L14</f>
        <v/>
      </c>
      <c r="Z14" s="15">
        <f>Y14</f>
        <v/>
      </c>
      <c r="AA14" s="15">
        <f>I14*M14</f>
        <v/>
      </c>
      <c r="AB14" s="15">
        <f>AA14</f>
        <v/>
      </c>
      <c r="AC14" s="16">
        <f>ROUND((T14+X14+Z14+AB14),0)</f>
        <v/>
      </c>
      <c r="AD14" s="16">
        <f>AG14</f>
        <v/>
      </c>
      <c r="AE14" s="16">
        <f>AI14</f>
        <v/>
      </c>
      <c r="AF14" s="16">
        <f>AC14+AD14+AE14</f>
        <v/>
      </c>
      <c r="AG14" s="16" t="n"/>
      <c r="AH14" s="17" t="n"/>
      <c r="AI14" s="17">
        <f>AH14*4</f>
        <v/>
      </c>
      <c r="AJ14" s="15">
        <f>AF14-AG14-AH14-AI14</f>
        <v/>
      </c>
      <c r="AK14" s="18" t="n">
        <v>7</v>
      </c>
      <c r="AL14" s="22" t="n"/>
    </row>
    <row r="15" ht="23.5" customHeight="1">
      <c r="A15" s="6" t="inlineStr">
        <is>
          <t>8</t>
        </is>
      </c>
      <c r="B15" s="25" t="n"/>
      <c r="C15" s="47" t="n"/>
      <c r="D15" s="19" t="n"/>
      <c r="E15" s="23" t="n"/>
      <c r="F15" s="24" t="n"/>
      <c r="G15" s="24" t="n"/>
      <c r="H15" s="23" t="n"/>
      <c r="I15" s="11" t="n"/>
      <c r="J15" s="49" t="n"/>
      <c r="K15" s="12" t="n"/>
      <c r="L15" s="13" t="n"/>
      <c r="M15" s="13" t="n"/>
      <c r="N15" s="14">
        <f>ROUND(I15*(SUM(J15:M15)),0)</f>
        <v/>
      </c>
      <c r="O15" s="53" t="n"/>
      <c r="P15" s="51" t="n"/>
      <c r="Q15" s="51" t="n"/>
      <c r="R15" s="50" t="n"/>
      <c r="S15" s="15">
        <f>I15*J15</f>
        <v/>
      </c>
      <c r="T15" s="15">
        <f>SUM(S15:S15)</f>
        <v/>
      </c>
      <c r="U15" s="15">
        <f>I15*K15*40%*O15</f>
        <v/>
      </c>
      <c r="V15" s="15">
        <f>IF(P15&gt;=6750,(I15*K15*40%),0)</f>
        <v/>
      </c>
      <c r="W15" s="15">
        <f>IF(P15&lt;6750,0,IF(Q15="",0,IF(OR(Q15="KURANG",Q15="SANGAT KURANG"),I15*K15*10%,I15*K15*20%)))</f>
        <v/>
      </c>
      <c r="X15" s="15">
        <f>SUM(U15:W15)</f>
        <v/>
      </c>
      <c r="Y15" s="15">
        <f>I15*L15</f>
        <v/>
      </c>
      <c r="Z15" s="15">
        <f>Y15</f>
        <v/>
      </c>
      <c r="AA15" s="15">
        <f>I15*M15</f>
        <v/>
      </c>
      <c r="AB15" s="15">
        <f>AA15</f>
        <v/>
      </c>
      <c r="AC15" s="16">
        <f>ROUND((T15+X15+Z15+AB15),0)</f>
        <v/>
      </c>
      <c r="AD15" s="16">
        <f>AG15</f>
        <v/>
      </c>
      <c r="AE15" s="16">
        <f>AI15</f>
        <v/>
      </c>
      <c r="AF15" s="16">
        <f>AC15+AD15+AE15</f>
        <v/>
      </c>
      <c r="AG15" s="16" t="n"/>
      <c r="AH15" s="17" t="n"/>
      <c r="AI15" s="17">
        <f>AH15*4</f>
        <v/>
      </c>
      <c r="AJ15" s="15">
        <f>AF15-AG15-AH15-AI15</f>
        <v/>
      </c>
      <c r="AK15" s="18" t="n">
        <v>8</v>
      </c>
      <c r="AL15" s="22" t="n"/>
    </row>
    <row r="16" ht="23.5" customHeight="1">
      <c r="A16" s="6" t="inlineStr">
        <is>
          <t>9</t>
        </is>
      </c>
      <c r="B16" s="25" t="n"/>
      <c r="C16" s="47" t="n"/>
      <c r="D16" s="19" t="n"/>
      <c r="E16" s="23" t="n"/>
      <c r="F16" s="24" t="n"/>
      <c r="G16" s="24" t="n"/>
      <c r="H16" s="23" t="n"/>
      <c r="I16" s="11" t="n"/>
      <c r="J16" s="49" t="n"/>
      <c r="K16" s="12" t="n"/>
      <c r="L16" s="13" t="n"/>
      <c r="M16" s="13" t="n"/>
      <c r="N16" s="14">
        <f>ROUND(I16*(SUM(J16:M16)),0)</f>
        <v/>
      </c>
      <c r="O16" s="53" t="n"/>
      <c r="P16" s="51" t="n"/>
      <c r="Q16" s="51" t="n"/>
      <c r="R16" s="50" t="n"/>
      <c r="S16" s="15">
        <f>I16*J16</f>
        <v/>
      </c>
      <c r="T16" s="15">
        <f>SUM(S16:S16)</f>
        <v/>
      </c>
      <c r="U16" s="15">
        <f>I16*K16*40%*O16</f>
        <v/>
      </c>
      <c r="V16" s="15">
        <f>IF(P16&gt;=6750,(I16*K16*40%),0)</f>
        <v/>
      </c>
      <c r="W16" s="15">
        <f>IF(P16&lt;6750,0,IF(Q16="",0,IF(OR(Q16="KURANG",Q16="SANGAT KURANG"),I16*K16*10%,I16*K16*20%)))</f>
        <v/>
      </c>
      <c r="X16" s="15">
        <f>SUM(U16:W16)</f>
        <v/>
      </c>
      <c r="Y16" s="15">
        <f>I16*L16</f>
        <v/>
      </c>
      <c r="Z16" s="15">
        <f>Y16</f>
        <v/>
      </c>
      <c r="AA16" s="15">
        <f>I16*M16</f>
        <v/>
      </c>
      <c r="AB16" s="15">
        <f>AA16</f>
        <v/>
      </c>
      <c r="AC16" s="16">
        <f>ROUND((T16+X16+Z16+AB16),0)</f>
        <v/>
      </c>
      <c r="AD16" s="16">
        <f>AG16</f>
        <v/>
      </c>
      <c r="AE16" s="16">
        <f>AI16</f>
        <v/>
      </c>
      <c r="AF16" s="16">
        <f>AC16+AD16+AE16</f>
        <v/>
      </c>
      <c r="AG16" s="16" t="n"/>
      <c r="AH16" s="17" t="n"/>
      <c r="AI16" s="17">
        <f>AH16*4</f>
        <v/>
      </c>
      <c r="AJ16" s="15">
        <f>AF16-AG16-AH16-AI16</f>
        <v/>
      </c>
      <c r="AK16" s="18" t="n">
        <v>9</v>
      </c>
      <c r="AL16" s="32" t="n"/>
    </row>
    <row r="17" ht="23.5" customHeight="1">
      <c r="A17" s="6" t="inlineStr">
        <is>
          <t>10</t>
        </is>
      </c>
      <c r="B17" s="25" t="n"/>
      <c r="C17" s="47" t="n"/>
      <c r="D17" s="19" t="n"/>
      <c r="E17" s="23" t="n"/>
      <c r="F17" s="24" t="n"/>
      <c r="G17" s="24" t="n"/>
      <c r="H17" s="23" t="n"/>
      <c r="I17" s="11" t="n"/>
      <c r="J17" s="49" t="n"/>
      <c r="K17" s="12" t="n"/>
      <c r="L17" s="13" t="n"/>
      <c r="M17" s="13" t="n"/>
      <c r="N17" s="14">
        <f>ROUND(I17*(SUM(J17:M17)),0)</f>
        <v/>
      </c>
      <c r="O17" s="53" t="n"/>
      <c r="P17" s="51" t="n"/>
      <c r="Q17" s="51" t="n"/>
      <c r="R17" s="50" t="n"/>
      <c r="S17" s="15">
        <f>I17*J17</f>
        <v/>
      </c>
      <c r="T17" s="15">
        <f>SUM(S17:S17)</f>
        <v/>
      </c>
      <c r="U17" s="15">
        <f>I17*K17*40%*O17</f>
        <v/>
      </c>
      <c r="V17" s="15">
        <f>IF(P17&gt;=6750,(I17*K17*40%),0)</f>
        <v/>
      </c>
      <c r="W17" s="15">
        <f>IF(P17&lt;6750,0,IF(Q17="",0,IF(OR(Q17="KURANG",Q17="SANGAT KURANG"),I17*K17*10%,I17*K17*20%)))</f>
        <v/>
      </c>
      <c r="X17" s="15">
        <f>SUM(U17:W17)</f>
        <v/>
      </c>
      <c r="Y17" s="15">
        <f>I17*L17</f>
        <v/>
      </c>
      <c r="Z17" s="15">
        <f>Y17</f>
        <v/>
      </c>
      <c r="AA17" s="15">
        <f>I17*M17</f>
        <v/>
      </c>
      <c r="AB17" s="15">
        <f>AA17</f>
        <v/>
      </c>
      <c r="AC17" s="16">
        <f>ROUND((T17+X17+Z17+AB17),0)</f>
        <v/>
      </c>
      <c r="AD17" s="16">
        <f>AG17</f>
        <v/>
      </c>
      <c r="AE17" s="16">
        <f>AI17</f>
        <v/>
      </c>
      <c r="AF17" s="16">
        <f>AC17+AD17+AE17</f>
        <v/>
      </c>
      <c r="AG17" s="16" t="n"/>
      <c r="AH17" s="17" t="n"/>
      <c r="AI17" s="17">
        <f>AH17*4</f>
        <v/>
      </c>
      <c r="AJ17" s="15">
        <f>AF17-AG17-AH17-AI17</f>
        <v/>
      </c>
      <c r="AK17" s="18" t="n">
        <v>10</v>
      </c>
      <c r="AL17" s="22" t="n"/>
    </row>
    <row r="18">
      <c r="B18" s="26" t="n"/>
      <c r="C18" s="26" t="n"/>
      <c r="D18" s="26" t="n"/>
      <c r="E18" s="26" t="n"/>
      <c r="F18" s="26" t="n"/>
      <c r="G18" s="26" t="n"/>
      <c r="H18" s="26" t="n"/>
      <c r="I18" s="26" t="n"/>
      <c r="K18" s="27" t="n"/>
      <c r="L18" s="28" t="n"/>
      <c r="M18" s="28" t="n"/>
      <c r="N18" s="14">
        <f>I18*(SUM(K18:M18))</f>
        <v/>
      </c>
      <c r="O18" s="29" t="n"/>
      <c r="P18" s="30" t="n"/>
      <c r="Q18" s="30" t="n"/>
      <c r="R18" s="30" t="n"/>
      <c r="S18" s="31" t="n"/>
      <c r="T18" s="30">
        <f>SUM(T8:T17)</f>
        <v/>
      </c>
      <c r="U18" s="31" t="n"/>
      <c r="V18" s="31" t="n"/>
      <c r="W18" s="31" t="n"/>
      <c r="X18" s="30">
        <f>SUM(X8:X17)</f>
        <v/>
      </c>
      <c r="Y18" s="31" t="n"/>
      <c r="Z18" s="30">
        <f>SUM(Z8:Z17)</f>
        <v/>
      </c>
      <c r="AA18" s="31" t="n"/>
      <c r="AB18" s="30">
        <f>SUM(AB8:AB17)</f>
        <v/>
      </c>
      <c r="AC18" s="30">
        <f>SUM(AC8:AC17)</f>
        <v/>
      </c>
      <c r="AD18" s="30">
        <f>SUM(AD8:AD17)</f>
        <v/>
      </c>
      <c r="AE18" s="30">
        <f>SUM(AE8:AE17)</f>
        <v/>
      </c>
      <c r="AF18" s="30">
        <f>SUM(AF8:AF17)</f>
        <v/>
      </c>
      <c r="AG18" s="30">
        <f>SUM(AG8:AG17)</f>
        <v/>
      </c>
      <c r="AH18" s="30">
        <f>SUM(AH8:AH17)</f>
        <v/>
      </c>
      <c r="AI18" s="30">
        <f>SUM(AI8:AI17)</f>
        <v/>
      </c>
      <c r="AJ18" s="30">
        <f>SUM(AJ8:AJ17)</f>
        <v/>
      </c>
    </row>
    <row r="19">
      <c r="B19" s="26" t="n"/>
      <c r="C19" s="26" t="n"/>
      <c r="D19" s="26" t="n"/>
      <c r="E19" s="26" t="n"/>
      <c r="F19" s="26" t="n"/>
      <c r="G19" s="26" t="n"/>
      <c r="H19" s="26" t="n"/>
      <c r="I19" s="26" t="n"/>
      <c r="K19" s="33" t="n"/>
      <c r="L19" s="26" t="n"/>
      <c r="M19" s="26" t="n"/>
    </row>
    <row r="20">
      <c r="B20" s="100" t="inlineStr">
        <is>
          <t>Mengetahui</t>
        </is>
      </c>
      <c r="D20" s="26" t="n"/>
      <c r="E20" s="26" t="n"/>
      <c r="F20" s="26" t="n"/>
      <c r="G20" s="26" t="n"/>
      <c r="H20" s="26" t="n"/>
      <c r="I20" s="26" t="n"/>
      <c r="K20" s="33" t="n"/>
      <c r="L20" s="26" t="n"/>
      <c r="M20" s="26" t="n"/>
    </row>
    <row r="21" ht="14.5" customHeight="1">
      <c r="B21" s="34" t="inlineStr">
        <is>
          <t>Pengguna Anggaran,</t>
        </is>
      </c>
      <c r="C21" s="34" t="n"/>
      <c r="D21" s="26" t="n"/>
      <c r="E21" s="26" t="n"/>
      <c r="F21" s="26" t="n"/>
      <c r="G21" s="26" t="n"/>
      <c r="H21" s="26" t="n"/>
      <c r="I21" s="26" t="n"/>
      <c r="K21" s="26" t="n"/>
      <c r="L21" s="26" t="n"/>
      <c r="M21" s="26" t="n"/>
      <c r="AA21" s="26" t="n"/>
      <c r="AB21" s="26" t="n"/>
    </row>
    <row r="22">
      <c r="B22" s="35" t="n"/>
      <c r="C22" s="35" t="n"/>
      <c r="D22" s="26" t="n"/>
      <c r="E22" s="26" t="n"/>
      <c r="F22" s="26" t="n"/>
      <c r="G22" s="26" t="n"/>
      <c r="H22" s="26" t="n"/>
      <c r="I22" s="26" t="n"/>
      <c r="K22" s="26" t="n"/>
      <c r="L22" s="26" t="n"/>
      <c r="M22" s="26" t="n"/>
      <c r="AA22" s="26" t="n"/>
      <c r="AB22" s="26" t="n"/>
    </row>
    <row r="23">
      <c r="B23" s="35" t="n"/>
      <c r="C23" s="35" t="n"/>
      <c r="D23" s="26" t="n"/>
      <c r="E23" s="26" t="n"/>
      <c r="F23" s="26" t="n"/>
      <c r="G23" s="26" t="n"/>
      <c r="H23" s="26" t="n"/>
      <c r="I23" s="26" t="n"/>
      <c r="K23" s="26" t="n"/>
      <c r="L23" s="26" t="n"/>
      <c r="M23" s="26" t="n"/>
      <c r="AA23" s="26" t="n"/>
      <c r="AB23" s="26" t="n"/>
    </row>
    <row r="24">
      <c r="B24" s="36" t="n"/>
      <c r="C24" s="36" t="n"/>
      <c r="AB24" s="26" t="n"/>
    </row>
    <row r="25">
      <c r="B25" s="36" t="n"/>
      <c r="C25" s="36" t="n"/>
      <c r="S25" s="38" t="n"/>
      <c r="T25" s="39" t="n"/>
      <c r="U25" s="39" t="n"/>
    </row>
    <row r="26">
      <c r="B26" s="97" t="inlineStr">
        <is>
          <t>…</t>
        </is>
      </c>
      <c r="S26" s="98" t="n"/>
    </row>
    <row r="27">
      <c r="B27" s="40" t="inlineStr">
        <is>
          <t>NIP. …</t>
        </is>
      </c>
      <c r="C27" s="40" t="n"/>
      <c r="S27" s="98" t="n"/>
    </row>
    <row r="28">
      <c r="X28" s="26" t="n"/>
      <c r="Y28" s="26" t="n"/>
      <c r="Z28" s="26" t="n"/>
      <c r="AA28" s="26" t="n"/>
      <c r="AB28" s="26" t="n"/>
    </row>
    <row r="29">
      <c r="V29" s="26" t="n"/>
      <c r="W29" s="26" t="n"/>
      <c r="X29" s="26" t="n"/>
      <c r="Y29" s="26" t="n"/>
      <c r="Z29" s="26" t="n"/>
      <c r="AA29" s="26" t="n"/>
      <c r="AB29" s="26" t="n"/>
    </row>
    <row r="30">
      <c r="V30" s="26" t="n"/>
      <c r="W30" s="26" t="n"/>
      <c r="X30" s="26" t="n"/>
      <c r="Y30" s="26" t="n"/>
      <c r="Z30" s="26" t="n"/>
      <c r="AA30" s="26" t="n"/>
      <c r="AB30" s="26" t="n"/>
    </row>
    <row r="31">
      <c r="V31" s="26" t="n"/>
      <c r="W31" s="26" t="n"/>
      <c r="X31" s="26" t="n"/>
      <c r="Y31" s="26" t="n"/>
      <c r="Z31" s="26" t="n"/>
      <c r="AA31" s="26" t="n"/>
      <c r="AB31" s="26" t="n"/>
    </row>
    <row r="32">
      <c r="V32" s="26" t="n"/>
      <c r="W32" s="26" t="n"/>
      <c r="X32" s="26" t="n"/>
      <c r="Y32" s="26" t="n"/>
      <c r="Z32" s="26" t="n"/>
      <c r="AA32" s="26" t="n"/>
      <c r="AB32" s="26" t="n"/>
    </row>
    <row r="33">
      <c r="V33" s="26" t="n"/>
      <c r="W33" s="26" t="n"/>
      <c r="X33" s="26" t="n"/>
      <c r="Y33" s="26" t="n"/>
      <c r="Z33" s="26" t="n"/>
      <c r="AA33" s="26" t="n"/>
      <c r="AB33" s="26" t="n"/>
    </row>
    <row r="34">
      <c r="V34" s="26" t="n"/>
      <c r="W34" s="26" t="n"/>
      <c r="X34" s="26" t="n"/>
      <c r="Y34" s="26" t="n"/>
      <c r="Z34" s="26" t="n"/>
      <c r="AA34" s="26" t="n"/>
      <c r="AB34" s="26" t="n"/>
    </row>
    <row r="35">
      <c r="T35" s="42" t="n"/>
      <c r="V35" s="26" t="n"/>
      <c r="W35" s="26" t="n"/>
      <c r="X35" s="42" t="n"/>
      <c r="Y35" s="26" t="n"/>
      <c r="Z35" s="42" t="n"/>
      <c r="AA35" s="26" t="n"/>
      <c r="AB35" s="42" t="n"/>
    </row>
    <row r="36">
      <c r="T36" s="43" t="n"/>
      <c r="U36" s="43" t="n"/>
      <c r="V36" s="41" t="n"/>
      <c r="W36" s="41" t="n"/>
      <c r="X36" s="41" t="n"/>
      <c r="Y36" s="41" t="n"/>
      <c r="Z36" s="41" t="n"/>
      <c r="AA36" s="41" t="n"/>
      <c r="AB36" s="41" t="n"/>
    </row>
    <row r="37">
      <c r="T37" s="43" t="n"/>
      <c r="U37" s="43" t="n"/>
      <c r="V37" s="41" t="n"/>
      <c r="W37" s="41" t="n"/>
      <c r="X37" s="43" t="n"/>
      <c r="Y37" s="41" t="n"/>
      <c r="Z37" s="43" t="n"/>
      <c r="AA37" s="41" t="n"/>
      <c r="AB37" s="43" t="n"/>
    </row>
    <row r="38">
      <c r="T38" s="43" t="n"/>
      <c r="U38" s="44" t="n"/>
      <c r="V38" s="45" t="n"/>
      <c r="W38" s="45" t="n"/>
      <c r="X38" s="43" t="n"/>
      <c r="Y38" s="45" t="n"/>
      <c r="Z38" s="43" t="n"/>
      <c r="AA38" s="45" t="n"/>
      <c r="AB38" s="43" t="n"/>
    </row>
    <row r="39">
      <c r="T39" s="44" t="n"/>
      <c r="U39" s="44" t="n"/>
      <c r="V39" s="45" t="n"/>
      <c r="W39" s="45" t="n"/>
      <c r="X39" s="45" t="n"/>
      <c r="Y39" s="45" t="n"/>
      <c r="Z39" s="45" t="n"/>
      <c r="AA39" s="45" t="n"/>
      <c r="AB39" s="45" t="n"/>
    </row>
    <row r="40">
      <c r="T40" s="44" t="n"/>
      <c r="U40" s="44" t="n"/>
      <c r="V40" s="45" t="n"/>
      <c r="W40" s="45" t="n"/>
      <c r="X40" s="45" t="n"/>
      <c r="Y40" s="45" t="n"/>
      <c r="Z40" s="45" t="n"/>
      <c r="AA40" s="45" t="n"/>
      <c r="AB40" s="45" t="n"/>
    </row>
    <row r="41">
      <c r="V41" s="26" t="n"/>
      <c r="W41" s="26" t="n"/>
      <c r="X41" s="26" t="n"/>
      <c r="Y41" s="26" t="n"/>
      <c r="Z41" s="26" t="n"/>
      <c r="AA41" s="26" t="n"/>
      <c r="AB41" s="26" t="n"/>
    </row>
    <row r="42">
      <c r="V42" s="26" t="n"/>
      <c r="W42" s="26" t="n"/>
      <c r="X42" s="26" t="n"/>
      <c r="Y42" s="26" t="n"/>
      <c r="Z42" s="26" t="n"/>
      <c r="AA42" s="26" t="n"/>
      <c r="AB42" s="26" t="n"/>
    </row>
    <row r="43">
      <c r="V43" s="26" t="n"/>
      <c r="W43" s="26" t="n"/>
      <c r="X43" s="26" t="n"/>
      <c r="Y43" s="26" t="n"/>
      <c r="Z43" s="26" t="n"/>
      <c r="AA43" s="26" t="n"/>
      <c r="AB43" s="26" t="n"/>
    </row>
    <row r="44">
      <c r="V44" s="26" t="n"/>
      <c r="W44" s="26" t="n"/>
      <c r="X44" s="26" t="n"/>
      <c r="Y44" s="26" t="n"/>
      <c r="Z44" s="26" t="n"/>
      <c r="AA44" s="26" t="n"/>
      <c r="AB44" s="26" t="n"/>
    </row>
    <row r="45">
      <c r="V45" s="26" t="n"/>
      <c r="W45" s="26" t="n"/>
      <c r="X45" s="26" t="n"/>
      <c r="Y45" s="26" t="n"/>
      <c r="Z45" s="26" t="n"/>
      <c r="AA45" s="26" t="n"/>
      <c r="AB45" s="26" t="n"/>
    </row>
    <row r="46">
      <c r="V46" s="26" t="n"/>
      <c r="W46" s="26" t="n"/>
      <c r="X46" s="26" t="n"/>
      <c r="Y46" s="26" t="n"/>
      <c r="Z46" s="26" t="n"/>
      <c r="AA46" s="26" t="n"/>
      <c r="AB46" s="26" t="n"/>
    </row>
    <row r="47">
      <c r="V47" s="26" t="n"/>
      <c r="W47" s="26" t="n"/>
      <c r="X47" s="26" t="n"/>
      <c r="Y47" s="26" t="n"/>
      <c r="Z47" s="26" t="n"/>
      <c r="AA47" s="26" t="n"/>
      <c r="AB47" s="26" t="n"/>
    </row>
    <row r="48">
      <c r="V48" s="26" t="n"/>
      <c r="W48" s="26" t="n"/>
      <c r="X48" s="26" t="n"/>
      <c r="Y48" s="26" t="n"/>
      <c r="Z48" s="26" t="n"/>
      <c r="AA48" s="26" t="n"/>
      <c r="AB48" s="26" t="n"/>
    </row>
    <row r="49">
      <c r="V49" s="26" t="n"/>
      <c r="W49" s="26" t="n"/>
      <c r="X49" s="26" t="n"/>
      <c r="Y49" s="26" t="n"/>
      <c r="Z49" s="26" t="n"/>
      <c r="AA49" s="26" t="n"/>
      <c r="AB49" s="26" t="n"/>
    </row>
    <row r="50">
      <c r="V50" s="26" t="n"/>
      <c r="W50" s="26" t="n"/>
      <c r="X50" s="26" t="n"/>
      <c r="Y50" s="26" t="n"/>
      <c r="Z50" s="26" t="n"/>
      <c r="AA50" s="26" t="n"/>
      <c r="AB50" s="26" t="n"/>
    </row>
    <row r="51">
      <c r="V51" s="26" t="n"/>
      <c r="W51" s="26" t="n"/>
      <c r="X51" s="26" t="n"/>
      <c r="Y51" s="26" t="n"/>
      <c r="Z51" s="26" t="n"/>
      <c r="AA51" s="26" t="n"/>
      <c r="AB51" s="26" t="n"/>
    </row>
    <row r="52">
      <c r="V52" s="26" t="n"/>
      <c r="W52" s="26" t="n"/>
      <c r="X52" s="26" t="n"/>
      <c r="Y52" s="26" t="n"/>
      <c r="Z52" s="26" t="n"/>
      <c r="AA52" s="26" t="n"/>
      <c r="AB52" s="26" t="n"/>
    </row>
    <row r="53">
      <c r="V53" s="26" t="n"/>
      <c r="W53" s="26" t="n"/>
      <c r="X53" s="26" t="n"/>
      <c r="Y53" s="26" t="n"/>
      <c r="Z53" s="26" t="n"/>
      <c r="AA53" s="26" t="n"/>
      <c r="AB53" s="26" t="n"/>
    </row>
    <row r="54">
      <c r="V54" s="26" t="n"/>
      <c r="W54" s="26" t="n"/>
      <c r="X54" s="26" t="n"/>
      <c r="Y54" s="26" t="n"/>
      <c r="Z54" s="26" t="n"/>
      <c r="AA54" s="26" t="n"/>
      <c r="AB54" s="26" t="n"/>
    </row>
  </sheetData>
  <mergeCells count="44">
    <mergeCell ref="I5:I7"/>
    <mergeCell ref="AF5:AF7"/>
    <mergeCell ref="O5:Q5"/>
    <mergeCell ref="D5:D7"/>
    <mergeCell ref="J6:J7"/>
    <mergeCell ref="P6:P7"/>
    <mergeCell ref="A5:A7"/>
    <mergeCell ref="G5:G7"/>
    <mergeCell ref="AJ5:AJ7"/>
    <mergeCell ref="AA6:AA7"/>
    <mergeCell ref="S27:W27"/>
    <mergeCell ref="B5:B7"/>
    <mergeCell ref="X6:X7"/>
    <mergeCell ref="AE5:AE7"/>
    <mergeCell ref="R5:R7"/>
    <mergeCell ref="A1:AI1"/>
    <mergeCell ref="M6:M7"/>
    <mergeCell ref="AG5:AG7"/>
    <mergeCell ref="Q6:Q7"/>
    <mergeCell ref="H5:H7"/>
    <mergeCell ref="AI5:AI7"/>
    <mergeCell ref="J5:M5"/>
    <mergeCell ref="Y6:Y7"/>
    <mergeCell ref="AD5:AD7"/>
    <mergeCell ref="AK5:AL7"/>
    <mergeCell ref="L6:L7"/>
    <mergeCell ref="A3:AI3"/>
    <mergeCell ref="C5:C7"/>
    <mergeCell ref="AC6:AC7"/>
    <mergeCell ref="E5:E7"/>
    <mergeCell ref="T6:T7"/>
    <mergeCell ref="AH5:AH7"/>
    <mergeCell ref="F5:F7"/>
    <mergeCell ref="Z6:Z7"/>
    <mergeCell ref="AB6:AB7"/>
    <mergeCell ref="A2:AI2"/>
    <mergeCell ref="U6:W6"/>
    <mergeCell ref="N5:N7"/>
    <mergeCell ref="B20:C20"/>
    <mergeCell ref="S5:AC5"/>
    <mergeCell ref="K6:K7"/>
    <mergeCell ref="B26:C26"/>
    <mergeCell ref="O6:O7"/>
    <mergeCell ref="S26:W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2023-03-02T04:49:43Z</dcterms:created>
  <dcterms:modified xmlns:dcterms="http://purl.org/dc/terms/" xmlns:xsi="http://www.w3.org/2001/XMLSchema-instance" xsi:type="dcterms:W3CDTF">2026-02-24T04:33:45Z</dcterms:modified>
  <cp:lastModifiedBy>asrani.27@gmail.com</cp:lastModifiedBy>
</cp:coreProperties>
</file>