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80" yWindow="720" windowWidth="28800" windowHeight="16080" tabRatio="600" firstSheet="0" activeTab="1" autoFilterDateGrouping="1"/>
  </bookViews>
  <sheets>
    <sheet xmlns:r="http://schemas.openxmlformats.org/officeDocument/2006/relationships" name="REGULER" sheetId="1" state="visible" r:id="rId1"/>
    <sheet xmlns:r="http://schemas.openxmlformats.org/officeDocument/2006/relationships" name="CP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7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b val="1"/>
      <sz val="16"/>
    </font>
    <font>
      <name val="Arial"/>
      <family val="2"/>
      <b val="1"/>
      <sz val="10"/>
    </font>
    <font>
      <name val="Arial"/>
      <family val="2"/>
      <b val="1"/>
      <sz val="14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9"/>
    </font>
    <font>
      <name val="Calibri"/>
      <family val="2"/>
      <color indexed="8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theme="1"/>
      <sz val="16"/>
    </font>
  </fonts>
  <fills count="15">
    <fill>
      <patternFill/>
    </fill>
    <fill>
      <patternFill patternType="gray125"/>
    </fill>
    <fill>
      <patternFill patternType="solid">
        <fgColor theme="5" tint="0.799920651875362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1" fillId="0" borderId="0"/>
    <xf numFmtId="43" fontId="1" fillId="0" borderId="0"/>
    <xf numFmtId="41" fontId="1" fillId="0" borderId="0"/>
    <xf numFmtId="9" fontId="1" fillId="0" borderId="0"/>
    <xf numFmtId="0" fontId="2" fillId="0" borderId="0"/>
    <xf numFmtId="0" fontId="2" fillId="0" borderId="0"/>
    <xf numFmtId="0" fontId="8" fillId="0" borderId="0" applyAlignment="1">
      <alignment vertical="center"/>
    </xf>
    <xf numFmtId="0" fontId="6" fillId="0" borderId="0"/>
    <xf numFmtId="0" fontId="11" fillId="0" borderId="0"/>
  </cellStyleXfs>
  <cellXfs count="153">
    <xf numFmtId="0" fontId="0" fillId="0" borderId="0" pivotButton="0" quotePrefix="0" xfId="0"/>
    <xf numFmtId="0" fontId="4" fillId="0" borderId="0" applyAlignment="1" pivotButton="0" quotePrefix="0" xfId="4">
      <alignment horizontal="center" vertical="center"/>
    </xf>
    <xf numFmtId="0" fontId="5" fillId="0" borderId="0" applyAlignment="1" pivotButton="0" quotePrefix="0" xfId="4">
      <alignment vertical="center"/>
    </xf>
    <xf numFmtId="0" fontId="0" fillId="0" borderId="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11" borderId="1" applyAlignment="1" pivotButton="0" quotePrefix="1" xfId="0">
      <alignment horizontal="center" vertical="center"/>
    </xf>
    <xf numFmtId="0" fontId="7" fillId="0" borderId="1" applyAlignment="1" pivotButton="0" quotePrefix="0" xfId="5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center"/>
    </xf>
    <xf numFmtId="41" fontId="6" fillId="0" borderId="1" applyAlignment="1" pivotButton="0" quotePrefix="0" xfId="2">
      <alignment vertical="center"/>
    </xf>
    <xf numFmtId="164" fontId="7" fillId="0" borderId="1" applyAlignment="1" pivotButton="0" quotePrefix="0" xfId="3">
      <alignment vertical="center"/>
    </xf>
    <xf numFmtId="9" fontId="7" fillId="0" borderId="1" applyAlignment="1" pivotButton="0" quotePrefix="0" xfId="3">
      <alignment vertical="center"/>
    </xf>
    <xf numFmtId="165" fontId="7" fillId="0" borderId="1" applyAlignment="1" pivotButton="0" quotePrefix="0" xfId="0">
      <alignment vertical="center"/>
    </xf>
    <xf numFmtId="165" fontId="7" fillId="12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7" fillId="11" borderId="1" applyAlignment="1" pivotButton="0" quotePrefix="0" xfId="0">
      <alignment vertical="center"/>
    </xf>
    <xf numFmtId="166" fontId="6" fillId="0" borderId="1" applyAlignment="1" pivotButton="0" quotePrefix="0" xfId="1">
      <alignment vertical="center"/>
    </xf>
    <xf numFmtId="41" fontId="6" fillId="11" borderId="1" applyAlignment="1" pivotButton="0" quotePrefix="0" xfId="0">
      <alignment vertical="center"/>
    </xf>
    <xf numFmtId="165" fontId="6" fillId="0" borderId="12" applyAlignment="1" pivotButton="0" quotePrefix="1" xfId="0">
      <alignment horizontal="left" vertical="top"/>
    </xf>
    <xf numFmtId="3" fontId="9" fillId="0" borderId="5" applyAlignment="1" pivotButton="0" quotePrefix="0" xfId="6">
      <alignment horizontal="right"/>
    </xf>
    <xf numFmtId="0" fontId="6" fillId="11" borderId="1" applyAlignment="1" pivotButton="0" quotePrefix="0" xfId="0">
      <alignment horizontal="left" vertical="top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9" fontId="7" fillId="11" borderId="1" applyAlignment="1" pivotButton="0" quotePrefix="0" xfId="3">
      <alignment vertical="center"/>
    </xf>
    <xf numFmtId="3" fontId="9" fillId="0" borderId="13" applyAlignment="1" pivotButton="0" quotePrefix="0" xfId="6">
      <alignment horizontal="right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wrapText="1"/>
    </xf>
    <xf numFmtId="0" fontId="7" fillId="0" borderId="0" pivotButton="0" quotePrefix="0" xfId="0"/>
    <xf numFmtId="165" fontId="7" fillId="0" borderId="14" pivotButton="0" quotePrefix="0" xfId="0"/>
    <xf numFmtId="0" fontId="7" fillId="0" borderId="14" pivotButton="0" quotePrefix="0" xfId="0"/>
    <xf numFmtId="9" fontId="10" fillId="11" borderId="1" pivotButton="0" quotePrefix="0" xfId="3"/>
    <xf numFmtId="165" fontId="10" fillId="11" borderId="1" pivotButton="0" quotePrefix="0" xfId="0"/>
    <xf numFmtId="0" fontId="10" fillId="11" borderId="1" pivotButton="0" quotePrefix="0" xfId="0"/>
    <xf numFmtId="0" fontId="7" fillId="0" borderId="3" pivotButton="0" quotePrefix="0" xfId="0"/>
    <xf numFmtId="0" fontId="7" fillId="0" borderId="5" pivotButton="0" quotePrefix="0" xfId="0"/>
    <xf numFmtId="165" fontId="7" fillId="0" borderId="0" pivotButton="0" quotePrefix="0" xfId="0"/>
    <xf numFmtId="0" fontId="7" fillId="0" borderId="0" applyAlignment="1" pivotButton="0" quotePrefix="0" xfId="8">
      <alignment horizontal="centerContinuous"/>
    </xf>
    <xf numFmtId="0" fontId="7" fillId="0" borderId="0" applyAlignment="1" pivotButton="0" quotePrefix="0" xfId="7">
      <alignment horizontal="center"/>
    </xf>
    <xf numFmtId="41" fontId="12" fillId="0" borderId="0" pivotButton="0" quotePrefix="0" xfId="5"/>
    <xf numFmtId="0" fontId="7" fillId="0" borderId="0" pivotButton="0" quotePrefix="0" xfId="8"/>
    <xf numFmtId="41" fontId="7" fillId="0" borderId="0" pivotButton="0" quotePrefix="0" xfId="0"/>
    <xf numFmtId="0" fontId="7" fillId="0" borderId="0" pivotButton="0" quotePrefix="0" xfId="7"/>
    <xf numFmtId="0" fontId="13" fillId="0" borderId="0" pivotButton="0" quotePrefix="0" xfId="8"/>
    <xf numFmtId="9" fontId="0" fillId="0" borderId="0" pivotButton="0" quotePrefix="0" xfId="3"/>
    <xf numFmtId="0" fontId="7" fillId="0" borderId="0" pivotButton="0" quotePrefix="0" xfId="4"/>
    <xf numFmtId="9" fontId="7" fillId="0" borderId="0" pivotButton="0" quotePrefix="0" xfId="4"/>
    <xf numFmtId="0" fontId="13" fillId="0" borderId="0" applyAlignment="1" pivotButton="0" quotePrefix="0" xfId="8">
      <alignment horizontal="centerContinuous"/>
    </xf>
    <xf numFmtId="166" fontId="7" fillId="0" borderId="0" pivotButton="0" quotePrefix="0" xfId="1"/>
    <xf numFmtId="41" fontId="7" fillId="0" borderId="0" pivotButton="0" quotePrefix="0" xfId="2"/>
    <xf numFmtId="165" fontId="0" fillId="0" borderId="0" pivotButton="0" quotePrefix="0" xfId="0"/>
    <xf numFmtId="166" fontId="0" fillId="0" borderId="0" pivotButton="0" quotePrefix="0" xfId="1"/>
    <xf numFmtId="43" fontId="0" fillId="0" borderId="0" pivotButton="0" quotePrefix="0" xfId="1"/>
    <xf numFmtId="43" fontId="7" fillId="0" borderId="0" pivotButton="0" quotePrefix="0" xfId="1"/>
    <xf numFmtId="0" fontId="7" fillId="0" borderId="1" applyAlignment="1" pivotButton="0" quotePrefix="0" xfId="5">
      <alignment horizontal="left" vertical="center"/>
    </xf>
    <xf numFmtId="167" fontId="6" fillId="0" borderId="1" applyAlignment="1" pivotButton="0" quotePrefix="1" xfId="0">
      <alignment horizontal="left" vertical="center"/>
    </xf>
    <xf numFmtId="0" fontId="6" fillId="0" borderId="1" applyAlignment="1" pivotButton="0" quotePrefix="1" xfId="0">
      <alignment horizontal="left" vertical="center"/>
    </xf>
    <xf numFmtId="10" fontId="6" fillId="0" borderId="1" applyAlignment="1" pivotButton="0" quotePrefix="0" xfId="3">
      <alignment vertical="center"/>
    </xf>
    <xf numFmtId="9" fontId="7" fillId="12" borderId="1" applyAlignment="1" pivotButton="0" quotePrefix="0" xfId="0">
      <alignment vertical="center"/>
    </xf>
    <xf numFmtId="164" fontId="0" fillId="11" borderId="1" applyAlignment="1" pivotButton="0" quotePrefix="0" xfId="3">
      <alignment vertical="center"/>
    </xf>
    <xf numFmtId="165" fontId="10" fillId="0" borderId="0" pivotButton="0" quotePrefix="0" xfId="0"/>
    <xf numFmtId="9" fontId="10" fillId="0" borderId="0" pivotButton="0" quotePrefix="0" xfId="3"/>
    <xf numFmtId="0" fontId="10" fillId="0" borderId="0" pivotButton="0" quotePrefix="0" xfId="0"/>
    <xf numFmtId="165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9" fontId="7" fillId="0" borderId="0" pivotButton="0" quotePrefix="0" xfId="3"/>
    <xf numFmtId="41" fontId="7" fillId="0" borderId="0" pivotButton="0" quotePrefix="0" xfId="2"/>
    <xf numFmtId="0" fontId="0" fillId="4" borderId="5" applyAlignment="1" pivotButton="0" quotePrefix="0" xfId="0">
      <alignment horizontal="center" vertical="center"/>
    </xf>
    <xf numFmtId="0" fontId="7" fillId="4" borderId="8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 wrapText="1"/>
    </xf>
    <xf numFmtId="165" fontId="6" fillId="12" borderId="1" applyAlignment="1" pivotButton="0" quotePrefix="0" xfId="0">
      <alignment vertical="center"/>
    </xf>
    <xf numFmtId="165" fontId="6" fillId="12" borderId="1" applyAlignment="1" pivotButton="0" quotePrefix="1" xfId="0">
      <alignment vertical="center"/>
    </xf>
    <xf numFmtId="10" fontId="7" fillId="12" borderId="1" applyAlignment="1" pivotButton="0" quotePrefix="0" xfId="3">
      <alignment vertical="center"/>
    </xf>
    <xf numFmtId="0" fontId="0" fillId="6" borderId="5" applyAlignment="1" pivotButton="0" quotePrefix="0" xfId="0">
      <alignment horizontal="center" vertical="center"/>
    </xf>
    <xf numFmtId="0" fontId="7" fillId="0" borderId="0" applyAlignment="1" pivotButton="0" quotePrefix="0" xfId="6">
      <alignment horizontal="center" vertical="top"/>
    </xf>
    <xf numFmtId="0" fontId="7" fillId="0" borderId="0" applyAlignment="1" pivotButton="0" quotePrefix="0" xfId="8">
      <alignment horizontal="center"/>
    </xf>
    <xf numFmtId="0" fontId="13" fillId="0" borderId="0" applyAlignment="1" pivotButton="0" quotePrefix="0" xfId="8">
      <alignment horizontal="center"/>
    </xf>
    <xf numFmtId="0" fontId="3" fillId="0" borderId="0" applyAlignment="1" pivotButton="0" quotePrefix="0" xfId="4">
      <alignment horizontal="center" vertical="center"/>
    </xf>
    <xf numFmtId="0" fontId="16" fillId="0" borderId="0" applyAlignment="1" pivotButton="0" quotePrefix="0" xfId="4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13" borderId="2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0" fillId="13" borderId="1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4" borderId="8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6" borderId="2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0" fillId="14" borderId="2" applyAlignment="1" pivotButton="0" quotePrefix="0" xfId="0">
      <alignment horizontal="center" vertical="center" wrapText="1"/>
    </xf>
    <xf numFmtId="0" fontId="0" fillId="14" borderId="8" applyAlignment="1" pivotButton="0" quotePrefix="0" xfId="0">
      <alignment horizontal="center" vertical="center" wrapText="1"/>
    </xf>
    <xf numFmtId="0" fontId="0" fillId="14" borderId="11" applyAlignment="1" pivotButton="0" quotePrefix="0" xfId="0">
      <alignment horizontal="center" vertical="center" wrapText="1"/>
    </xf>
    <xf numFmtId="0" fontId="7" fillId="0" borderId="0" applyAlignment="1" pivotButton="0" quotePrefix="0" xfId="4">
      <alignment horizontal="center" wrapText="1"/>
    </xf>
    <xf numFmtId="0" fontId="7" fillId="0" borderId="0" applyAlignment="1" pivotButton="0" quotePrefix="0" xfId="7">
      <alignment horizontal="center"/>
    </xf>
    <xf numFmtId="0" fontId="0" fillId="6" borderId="2" applyAlignment="1" pivotButton="0" quotePrefix="0" xfId="0">
      <alignment horizontal="center" vertical="center" wrapText="1"/>
    </xf>
    <xf numFmtId="0" fontId="0" fillId="6" borderId="8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7" borderId="6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7" borderId="9" applyAlignment="1" pivotButton="0" quotePrefix="0" xfId="0">
      <alignment horizontal="center" vertical="center" wrapText="1"/>
    </xf>
    <xf numFmtId="0" fontId="0" fillId="7" borderId="10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/>
    </xf>
    <xf numFmtId="0" fontId="6" fillId="2" borderId="15" applyAlignment="1" pivotButton="0" quotePrefix="0" xfId="0">
      <alignment horizontal="center" vertical="center"/>
    </xf>
    <xf numFmtId="0" fontId="6" fillId="3" borderId="15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4" borderId="15" applyAlignment="1" pivotButton="0" quotePrefix="0" xfId="0">
      <alignment horizontal="center" vertical="center"/>
    </xf>
    <xf numFmtId="0" fontId="7" fillId="4" borderId="15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0" fontId="0" fillId="13" borderId="15" applyAlignment="1" pivotButton="0" quotePrefix="0" xfId="0">
      <alignment horizontal="center" vertical="center" wrapText="1"/>
    </xf>
    <xf numFmtId="0" fontId="0" fillId="14" borderId="15" applyAlignment="1" pivotButton="0" quotePrefix="0" xfId="0">
      <alignment horizontal="center" vertical="center" wrapText="1"/>
    </xf>
    <xf numFmtId="0" fontId="0" fillId="6" borderId="15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7" pivotButton="0" quotePrefix="0" xfId="0"/>
    <xf numFmtId="0" fontId="0" fillId="0" borderId="8" pivotButton="0" quotePrefix="0" xfId="0"/>
    <xf numFmtId="0" fontId="0" fillId="0" borderId="16" pivotButton="0" quotePrefix="0" xfId="0"/>
    <xf numFmtId="0" fontId="0" fillId="0" borderId="21" pivotButton="0" quotePrefix="0" xfId="0"/>
    <xf numFmtId="0" fontId="0" fillId="0" borderId="18" pivotButton="0" quotePrefix="0" xfId="0"/>
    <xf numFmtId="0" fontId="0" fillId="0" borderId="1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6" borderId="15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</cellXfs>
  <cellStyles count="9">
    <cellStyle name="Normal" xfId="0" builtinId="0"/>
    <cellStyle name="Comma" xfId="1" builtinId="3"/>
    <cellStyle name="Comma [0]" xfId="2" builtinId="6"/>
    <cellStyle name="Percent" xfId="3" builtinId="5"/>
    <cellStyle name="Normal 2" xfId="4"/>
    <cellStyle name="Normal 3 2 2" xfId="5"/>
    <cellStyle name="Normal 4" xfId="6"/>
    <cellStyle name="Normal 5" xfId="7"/>
    <cellStyle name="Normal 2 2 2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57"/>
  <sheetViews>
    <sheetView topLeftCell="U1" zoomScale="135" workbookViewId="0">
      <selection activeCell="AC9" sqref="AC9"/>
    </sheetView>
  </sheetViews>
  <sheetFormatPr baseColWidth="10" defaultColWidth="8.83203125" defaultRowHeight="16"/>
  <cols>
    <col width="4.5" customWidth="1" style="3" min="1" max="1"/>
    <col width="37.33203125" customWidth="1" min="2" max="2"/>
    <col width="30.83203125" customWidth="1" min="3" max="3"/>
    <col width="22.6640625" customWidth="1" min="4" max="4"/>
    <col width="21.5" customWidth="1" min="5" max="5"/>
    <col width="24.83203125" customWidth="1" min="6" max="6"/>
    <col width="10.6640625" customWidth="1" min="7" max="7"/>
    <col width="9.5" customWidth="1" min="8" max="8"/>
    <col width="12.5" customWidth="1" min="9" max="9"/>
    <col hidden="1" width="8.5" customWidth="1" min="10" max="13"/>
    <col width="14.1640625" customWidth="1" min="14" max="14"/>
    <col width="9.5" customWidth="1" style="46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0.1640625" customWidth="1" min="27" max="28"/>
    <col width="13" customWidth="1" min="29" max="29"/>
    <col width="13.5" customWidth="1" min="30" max="30"/>
    <col width="13" customWidth="1" min="31" max="33"/>
    <col width="11.5" customWidth="1" min="34" max="35"/>
    <col width="13" customWidth="1" min="36" max="36"/>
    <col width="4.83203125" bestFit="1" customWidth="1" min="37" max="37"/>
    <col width="17" customWidth="1" min="38" max="38"/>
  </cols>
  <sheetData>
    <row r="1" ht="28" customHeight="1">
      <c r="A1" s="80" t="inlineStr">
        <is>
          <t xml:space="preserve">DAFTAR TANDA TERIMA PEMBAYARAN TPP ASN </t>
        </is>
      </c>
      <c r="AJ1" s="1" t="n"/>
    </row>
    <row r="2" ht="28" customHeight="1">
      <c r="A2" s="80" t="n"/>
      <c r="AJ2" s="2" t="n"/>
    </row>
    <row r="3" ht="28" customHeight="1">
      <c r="A3" s="81" t="n"/>
      <c r="AJ3" s="2" t="n"/>
    </row>
    <row r="4">
      <c r="A4" s="3" t="inlineStr">
        <is>
          <t>.</t>
        </is>
      </c>
      <c r="D4" t="inlineStr">
        <is>
          <t>.</t>
        </is>
      </c>
    </row>
    <row r="5" ht="16" customHeight="1">
      <c r="A5" s="97" t="inlineStr">
        <is>
          <t>NO</t>
        </is>
      </c>
      <c r="B5" s="97" t="inlineStr">
        <is>
          <t>NAMA</t>
        </is>
      </c>
      <c r="C5" s="98" t="inlineStr">
        <is>
          <t>NIP</t>
        </is>
      </c>
      <c r="D5" s="100" t="inlineStr">
        <is>
          <t>PANGKAT/
GOLONGAN</t>
        </is>
      </c>
      <c r="E5" s="97" t="inlineStr">
        <is>
          <t>JABATAN</t>
        </is>
      </c>
      <c r="F5" s="105" t="inlineStr">
        <is>
          <t>JENIS JABATAN</t>
        </is>
      </c>
      <c r="G5" s="97" t="inlineStr">
        <is>
          <t>KELAS</t>
        </is>
      </c>
      <c r="H5" s="128" t="inlineStr">
        <is>
          <t>KET</t>
        </is>
      </c>
      <c r="I5" s="108" t="inlineStr">
        <is>
          <t>Basic TPP</t>
        </is>
      </c>
      <c r="J5" s="129" t="inlineStr">
        <is>
          <t>Persentase</t>
        </is>
      </c>
      <c r="K5" s="130" t="n"/>
      <c r="L5" s="130" t="n"/>
      <c r="M5" s="131" t="n"/>
      <c r="N5" s="92" t="inlineStr">
        <is>
          <t>Pagu TPP ASN</t>
        </is>
      </c>
      <c r="O5" s="132" t="inlineStr">
        <is>
          <t>Disiplin dan Produktivitas</t>
        </is>
      </c>
      <c r="P5" s="130" t="n"/>
      <c r="Q5" s="131" t="n"/>
      <c r="R5" s="133" t="inlineStr">
        <is>
          <t>Persen PPH21</t>
        </is>
      </c>
      <c r="S5" s="82" t="n"/>
      <c r="T5" s="134" t="n"/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5" t="n"/>
      <c r="AD5" s="136" t="inlineStr">
        <is>
          <t>Tunjangan PPH 21 (TER)</t>
        </is>
      </c>
      <c r="AE5" s="136" t="inlineStr">
        <is>
          <t>Tunjangan BPJS 4%</t>
        </is>
      </c>
      <c r="AF5" s="137" t="inlineStr">
        <is>
          <t>Jumlah Pembayaran</t>
        </is>
      </c>
      <c r="AG5" s="138" t="inlineStr">
        <is>
          <t>PPH 21 (TER)</t>
        </is>
      </c>
      <c r="AH5" s="138" t="inlineStr">
        <is>
          <t>BPJS 1%</t>
        </is>
      </c>
      <c r="AI5" s="101" t="inlineStr">
        <is>
          <t>BPJS 4%</t>
        </is>
      </c>
      <c r="AJ5" s="86" t="inlineStr">
        <is>
          <t>TPP DITERIMA/
TRANSFER</t>
        </is>
      </c>
      <c r="AK5" s="104" t="inlineStr">
        <is>
          <t>TANDA TANGAN</t>
        </is>
      </c>
      <c r="AL5" s="139" t="n"/>
    </row>
    <row r="6" ht="14.5" customHeight="1">
      <c r="A6" s="140" t="n"/>
      <c r="B6" s="140" t="n"/>
      <c r="C6" s="141" t="n"/>
      <c r="D6" s="141" t="n"/>
      <c r="E6" s="140" t="n"/>
      <c r="F6" s="140" t="n"/>
      <c r="G6" s="140" t="n"/>
      <c r="H6" s="141" t="n"/>
      <c r="I6" s="140" t="n"/>
      <c r="J6" s="92" t="inlineStr">
        <is>
          <t>Beban Kerja</t>
        </is>
      </c>
      <c r="K6" s="92" t="inlineStr">
        <is>
          <t>Prestasi Kerja</t>
        </is>
      </c>
      <c r="L6" s="92" t="inlineStr">
        <is>
          <t>Kondisi Kerja</t>
        </is>
      </c>
      <c r="M6" s="92" t="inlineStr">
        <is>
          <t>Kelangkaan Profesi</t>
        </is>
      </c>
      <c r="N6" s="141" t="n"/>
      <c r="O6" s="94" t="inlineStr">
        <is>
          <t>Absensi</t>
        </is>
      </c>
      <c r="P6" s="94" t="inlineStr">
        <is>
          <t>Aktivitas (menit)</t>
        </is>
      </c>
      <c r="Q6" s="94" t="inlineStr">
        <is>
          <t>Penilaian Kinerja</t>
        </is>
      </c>
      <c r="R6" s="141" t="n"/>
      <c r="S6" s="76" t="n"/>
      <c r="T6" s="86" t="inlineStr">
        <is>
          <t>Jumlah Beban Kerja</t>
        </is>
      </c>
      <c r="U6" s="87" t="inlineStr">
        <is>
          <t>Prestasi Kerja</t>
        </is>
      </c>
      <c r="V6" s="134" t="n"/>
      <c r="W6" s="135" t="n"/>
      <c r="X6" s="91" t="inlineStr">
        <is>
          <t>Jumlah Prestasi Kerja</t>
        </is>
      </c>
      <c r="Y6" s="88" t="inlineStr">
        <is>
          <t>Kondisi Kerja</t>
        </is>
      </c>
      <c r="Z6" s="88" t="inlineStr">
        <is>
          <t>Jumlah Kondisi Kerja</t>
        </is>
      </c>
      <c r="AA6" s="89" t="inlineStr">
        <is>
          <t>Kelangkaan Profesi</t>
        </is>
      </c>
      <c r="AB6" s="89" t="inlineStr">
        <is>
          <t>Jumlah Kelangaan Profesi</t>
        </is>
      </c>
      <c r="AC6" s="90" t="inlineStr">
        <is>
          <t>Jumlah Berdasarkan Komponen TPP</t>
        </is>
      </c>
      <c r="AD6" s="141" t="n"/>
      <c r="AE6" s="141" t="n"/>
      <c r="AF6" s="141" t="n"/>
      <c r="AG6" s="141" t="n"/>
      <c r="AH6" s="141" t="n"/>
      <c r="AI6" s="141" t="n"/>
      <c r="AJ6" s="140" t="n"/>
      <c r="AK6" s="142" t="n"/>
      <c r="AL6" s="143" t="n"/>
    </row>
    <row r="7" ht="34" customHeight="1">
      <c r="A7" s="144" t="n"/>
      <c r="B7" s="144" t="n"/>
      <c r="C7" s="141" t="n"/>
      <c r="D7" s="141" t="n"/>
      <c r="E7" s="144" t="n"/>
      <c r="F7" s="144" t="n"/>
      <c r="G7" s="144" t="n"/>
      <c r="H7" s="145" t="n"/>
      <c r="I7" s="144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5" t="n"/>
      <c r="S7" s="5" t="inlineStr">
        <is>
          <t>beban kerja</t>
        </is>
      </c>
      <c r="T7" s="144" t="n"/>
      <c r="U7" s="91" t="inlineStr">
        <is>
          <t>Absensi (40%)</t>
        </is>
      </c>
      <c r="V7" s="91" t="inlineStr">
        <is>
          <t>Aktivitas (40%)</t>
        </is>
      </c>
      <c r="W7" s="91" t="inlineStr">
        <is>
          <t>Kinerja (20%)</t>
        </is>
      </c>
      <c r="X7" s="144" t="n"/>
      <c r="Y7" s="144" t="n"/>
      <c r="Z7" s="144" t="n"/>
      <c r="AA7" s="144" t="n"/>
      <c r="AB7" s="144" t="n"/>
      <c r="AC7" s="144" t="n"/>
      <c r="AD7" s="145" t="n"/>
      <c r="AE7" s="145" t="n"/>
      <c r="AF7" s="145" t="n"/>
      <c r="AG7" s="145" t="n"/>
      <c r="AH7" s="145" t="n"/>
      <c r="AI7" s="141" t="n"/>
      <c r="AJ7" s="144" t="n"/>
      <c r="AK7" s="146" t="n"/>
      <c r="AL7" s="147" t="n"/>
    </row>
    <row r="8" ht="23.5" customHeight="1">
      <c r="A8" s="6" t="inlineStr">
        <is>
          <t>1</t>
        </is>
      </c>
      <c r="B8" s="7" t="n"/>
      <c r="C8" s="58" t="n"/>
      <c r="D8" s="9" t="n"/>
      <c r="E8" s="8" t="n"/>
      <c r="F8" s="10" t="n"/>
      <c r="G8" s="10" t="n"/>
      <c r="H8" s="8" t="n"/>
      <c r="I8" s="11" t="n"/>
      <c r="J8" s="59" t="n"/>
      <c r="K8" s="12" t="n"/>
      <c r="L8" s="13" t="n"/>
      <c r="M8" s="13" t="n"/>
      <c r="N8" s="14">
        <f>ROUND(I8*(SUM(J8:M8))*85%,0)</f>
        <v/>
      </c>
      <c r="O8" s="75" t="n"/>
      <c r="P8" s="73" t="n"/>
      <c r="Q8" s="73" t="n"/>
      <c r="R8" s="60" t="n"/>
      <c r="S8" s="16">
        <f>I8*J8</f>
        <v/>
      </c>
      <c r="T8" s="16">
        <f>SUM(S8:S8)*85%</f>
        <v/>
      </c>
      <c r="U8" s="16">
        <f>I8*K8*40%*O8</f>
        <v/>
      </c>
      <c r="V8" s="16">
        <f>IF(P8&gt;=6750,(I8*K8*40%),0)</f>
        <v/>
      </c>
      <c r="W8" s="16">
        <f>IF(P8&lt;6750,0,IF(Q8="kurang",I8*K8*10%,I8*K8*20%))</f>
        <v/>
      </c>
      <c r="X8" s="16">
        <f>SUM(U8:W8)*85%</f>
        <v/>
      </c>
      <c r="Y8" s="16">
        <f>I8*L8</f>
        <v/>
      </c>
      <c r="Z8" s="16">
        <f>Y8 * 85%</f>
        <v/>
      </c>
      <c r="AA8" s="16">
        <f>I8*M8</f>
        <v/>
      </c>
      <c r="AB8" s="16">
        <f>AA8*85%</f>
        <v/>
      </c>
      <c r="AC8" s="17">
        <f>ROUND((T8+X8+Z8+AB8),0)</f>
        <v/>
      </c>
      <c r="AD8" s="17">
        <f>AG8</f>
        <v/>
      </c>
      <c r="AE8" s="17">
        <f>AI8</f>
        <v/>
      </c>
      <c r="AF8" s="17">
        <f>AC8+AD8+AE8</f>
        <v/>
      </c>
      <c r="AG8" s="17" t="n"/>
      <c r="AH8" s="19" t="n"/>
      <c r="AI8" s="19">
        <f>AH8*4</f>
        <v/>
      </c>
      <c r="AJ8" s="16">
        <f>AF8-AG8-AH8-AI8</f>
        <v/>
      </c>
      <c r="AK8" s="20" t="n">
        <v>1</v>
      </c>
      <c r="AL8" s="26" t="n"/>
    </row>
    <row r="9" ht="23.5" customHeight="1">
      <c r="A9" s="6" t="inlineStr">
        <is>
          <t>2</t>
        </is>
      </c>
      <c r="B9" s="56" t="n"/>
      <c r="C9" s="57" t="n"/>
      <c r="D9" s="22" t="n"/>
      <c r="E9" s="8" t="n"/>
      <c r="F9" s="23" t="n"/>
      <c r="G9" s="23" t="n"/>
      <c r="H9" s="24" t="n"/>
      <c r="I9" s="11" t="n"/>
      <c r="J9" s="59" t="n"/>
      <c r="K9" s="12" t="n"/>
      <c r="L9" s="13" t="n"/>
      <c r="M9" s="13" t="n"/>
      <c r="N9" s="14">
        <f>ROUND(I9*(SUM(J9:M9))*85%,0)</f>
        <v/>
      </c>
      <c r="O9" s="75" t="n"/>
      <c r="P9" s="73" t="n"/>
      <c r="Q9" s="74" t="n"/>
      <c r="R9" s="60" t="n"/>
      <c r="S9" s="16">
        <f>I9*J9</f>
        <v/>
      </c>
      <c r="T9" s="16">
        <f>SUM(S9:S9)*85%</f>
        <v/>
      </c>
      <c r="U9" s="16">
        <f>I9*K9*40%*O9</f>
        <v/>
      </c>
      <c r="V9" s="16">
        <f>IF(P9&gt;=6750,(I9*K9*40%),0)</f>
        <v/>
      </c>
      <c r="W9" s="16">
        <f>IF(P9&lt;6750,0,IF(Q9="kurang",I9*K9*10%,I9*K9*20%))</f>
        <v/>
      </c>
      <c r="X9" s="16">
        <f>SUM(U9:W9)*85%</f>
        <v/>
      </c>
      <c r="Y9" s="16">
        <f>I9*L9</f>
        <v/>
      </c>
      <c r="Z9" s="16">
        <f>Y9 * 85%</f>
        <v/>
      </c>
      <c r="AA9" s="16">
        <f>I9*M9</f>
        <v/>
      </c>
      <c r="AB9" s="16">
        <f>AA9*85%</f>
        <v/>
      </c>
      <c r="AC9" s="17">
        <f>ROUND((T9+X9+Z9+AB9),0)</f>
        <v/>
      </c>
      <c r="AD9" s="17">
        <f>AG9</f>
        <v/>
      </c>
      <c r="AE9" s="17">
        <f>AI9</f>
        <v/>
      </c>
      <c r="AF9" s="17">
        <f>AC9+AD9+AE9</f>
        <v/>
      </c>
      <c r="AG9" s="17" t="n"/>
      <c r="AH9" s="19" t="n"/>
      <c r="AI9" s="19">
        <f>AH9*4</f>
        <v/>
      </c>
      <c r="AJ9" s="16">
        <f>AF9-AG9-AH9-AI9</f>
        <v/>
      </c>
      <c r="AK9" s="20" t="n">
        <v>2</v>
      </c>
      <c r="AL9" s="26" t="n"/>
    </row>
    <row r="10" ht="23.5" customHeight="1">
      <c r="A10" s="6" t="inlineStr">
        <is>
          <t>3</t>
        </is>
      </c>
      <c r="B10" s="56" t="n"/>
      <c r="C10" s="57" t="n"/>
      <c r="D10" s="22" t="n"/>
      <c r="E10" s="27" t="n"/>
      <c r="F10" s="28" t="n"/>
      <c r="G10" s="28" t="n"/>
      <c r="H10" s="27" t="n"/>
      <c r="I10" s="11" t="n"/>
      <c r="J10" s="59" t="n"/>
      <c r="K10" s="12" t="n"/>
      <c r="L10" s="13" t="n"/>
      <c r="M10" s="13" t="n"/>
      <c r="N10" s="14">
        <f>ROUND(I10*(SUM(J10:M10))*85%,0)</f>
        <v/>
      </c>
      <c r="O10" s="75" t="n"/>
      <c r="P10" s="73" t="n"/>
      <c r="Q10" s="73" t="n"/>
      <c r="R10" s="60" t="n"/>
      <c r="S10" s="16">
        <f>I10*J10</f>
        <v/>
      </c>
      <c r="T10" s="16">
        <f>SUM(S10:S10)*85%</f>
        <v/>
      </c>
      <c r="U10" s="16">
        <f>I10*K10*40%*O10</f>
        <v/>
      </c>
      <c r="V10" s="16">
        <f>IF(P10&gt;=6750,(I10*K10*40%),0)</f>
        <v/>
      </c>
      <c r="W10" s="16">
        <f>IF(P10&lt;6750,0,IF(Q10="kurang",I10*K10*10%,I10*K10*20%))</f>
        <v/>
      </c>
      <c r="X10" s="16">
        <f>SUM(U10:W10)*85%</f>
        <v/>
      </c>
      <c r="Y10" s="16">
        <f>I10*L10</f>
        <v/>
      </c>
      <c r="Z10" s="16">
        <f>Y10 * 85%</f>
        <v/>
      </c>
      <c r="AA10" s="16">
        <f>I10*M10</f>
        <v/>
      </c>
      <c r="AB10" s="16">
        <f>AA10*85%</f>
        <v/>
      </c>
      <c r="AC10" s="17">
        <f>ROUND((T10+X10+Z10+AB10),0)</f>
        <v/>
      </c>
      <c r="AD10" s="17">
        <f>AG10</f>
        <v/>
      </c>
      <c r="AE10" s="17">
        <f>AI10</f>
        <v/>
      </c>
      <c r="AF10" s="17">
        <f>AC10+AD10+AE10</f>
        <v/>
      </c>
      <c r="AG10" s="17" t="n"/>
      <c r="AH10" s="19" t="n"/>
      <c r="AI10" s="19">
        <f>AH10*4</f>
        <v/>
      </c>
      <c r="AJ10" s="16">
        <f>AF10-AG10-AH10-AI10</f>
        <v/>
      </c>
      <c r="AK10" s="20" t="n">
        <v>3</v>
      </c>
      <c r="AL10" s="26" t="n"/>
    </row>
    <row r="11" ht="23.5" customHeight="1">
      <c r="A11" s="6" t="inlineStr">
        <is>
          <t>4</t>
        </is>
      </c>
      <c r="B11" s="29" t="n"/>
      <c r="C11" s="57" t="n"/>
      <c r="D11" s="22" t="n"/>
      <c r="E11" s="27" t="n"/>
      <c r="F11" s="28" t="n"/>
      <c r="G11" s="28" t="n"/>
      <c r="H11" s="27" t="n"/>
      <c r="I11" s="11" t="n"/>
      <c r="J11" s="59" t="n"/>
      <c r="K11" s="12" t="n"/>
      <c r="L11" s="13" t="n"/>
      <c r="M11" s="13" t="n"/>
      <c r="N11" s="14">
        <f>ROUND(I11*(SUM(J11:M11))*85%,0)</f>
        <v/>
      </c>
      <c r="O11" s="75" t="n"/>
      <c r="P11" s="73" t="n"/>
      <c r="Q11" s="73" t="n"/>
      <c r="R11" s="60" t="n"/>
      <c r="S11" s="16">
        <f>I11*J11</f>
        <v/>
      </c>
      <c r="T11" s="16">
        <f>SUM(S11:S11)*85%</f>
        <v/>
      </c>
      <c r="U11" s="16">
        <f>I11*K11*40%*O11</f>
        <v/>
      </c>
      <c r="V11" s="16">
        <f>IF(P11&gt;=6750,(I11*K11*40%),0)</f>
        <v/>
      </c>
      <c r="W11" s="16">
        <f>IF(P11&lt;6750,0,IF(Q11="kurang",I11*K11*10%,I11*K11*20%))</f>
        <v/>
      </c>
      <c r="X11" s="16">
        <f>SUM(U11:W11)*85%</f>
        <v/>
      </c>
      <c r="Y11" s="16">
        <f>I11*L11</f>
        <v/>
      </c>
      <c r="Z11" s="16">
        <f>Y11 * 85%</f>
        <v/>
      </c>
      <c r="AA11" s="16">
        <f>I11*M11</f>
        <v/>
      </c>
      <c r="AB11" s="16">
        <f>AA11*85%</f>
        <v/>
      </c>
      <c r="AC11" s="17">
        <f>ROUND((T11+X11+Z11+AB11),0)</f>
        <v/>
      </c>
      <c r="AD11" s="17">
        <f>AG11</f>
        <v/>
      </c>
      <c r="AE11" s="17">
        <f>AI11</f>
        <v/>
      </c>
      <c r="AF11" s="17">
        <f>AC11+AD11+AE11</f>
        <v/>
      </c>
      <c r="AG11" s="17" t="n"/>
      <c r="AH11" s="19" t="n"/>
      <c r="AI11" s="19">
        <f>AH11*4</f>
        <v/>
      </c>
      <c r="AJ11" s="16">
        <f>AF11-AG11-AH11-AI11</f>
        <v/>
      </c>
      <c r="AK11" s="20" t="n">
        <v>4</v>
      </c>
      <c r="AL11" s="26" t="n"/>
    </row>
    <row r="12" ht="23.5" customHeight="1">
      <c r="A12" s="6" t="inlineStr">
        <is>
          <t>5</t>
        </is>
      </c>
      <c r="B12" s="29" t="n"/>
      <c r="C12" s="57" t="n"/>
      <c r="D12" s="22" t="n"/>
      <c r="E12" s="27" t="n"/>
      <c r="F12" s="28" t="n"/>
      <c r="G12" s="28" t="n"/>
      <c r="H12" s="27" t="n"/>
      <c r="I12" s="11" t="n"/>
      <c r="J12" s="59" t="n"/>
      <c r="K12" s="12" t="n"/>
      <c r="L12" s="13" t="n"/>
      <c r="M12" s="13" t="n"/>
      <c r="N12" s="14">
        <f>ROUND(I12*(SUM(J12:M12))*85%,0)</f>
        <v/>
      </c>
      <c r="O12" s="75" t="n"/>
      <c r="P12" s="73" t="n"/>
      <c r="Q12" s="73" t="n"/>
      <c r="R12" s="60" t="n"/>
      <c r="S12" s="16">
        <f>I12*J12</f>
        <v/>
      </c>
      <c r="T12" s="16">
        <f>SUM(S12:S12)*85%</f>
        <v/>
      </c>
      <c r="U12" s="16">
        <f>I12*K12*40%*O12</f>
        <v/>
      </c>
      <c r="V12" s="16">
        <f>IF(P12&gt;=6750,(I12*K12*40%),0)</f>
        <v/>
      </c>
      <c r="W12" s="16">
        <f>IF(P12&lt;6750,0,IF(Q12="kurang",I12*K12*10%,I12*K12*20%))</f>
        <v/>
      </c>
      <c r="X12" s="16">
        <f>SUM(U12:W12)*85%</f>
        <v/>
      </c>
      <c r="Y12" s="16">
        <f>I12*L12</f>
        <v/>
      </c>
      <c r="Z12" s="16">
        <f>Y12 * 85%</f>
        <v/>
      </c>
      <c r="AA12" s="16">
        <f>I12*M12</f>
        <v/>
      </c>
      <c r="AB12" s="16">
        <f>AA12*85%</f>
        <v/>
      </c>
      <c r="AC12" s="17">
        <f>ROUND((T12+X12+Z12+AB12),0)</f>
        <v/>
      </c>
      <c r="AD12" s="17">
        <f>AG12</f>
        <v/>
      </c>
      <c r="AE12" s="17">
        <f>AI12</f>
        <v/>
      </c>
      <c r="AF12" s="17">
        <f>AC12+AD12+AE12</f>
        <v/>
      </c>
      <c r="AG12" s="17" t="n"/>
      <c r="AH12" s="19" t="n"/>
      <c r="AI12" s="19">
        <f>AH12*4</f>
        <v/>
      </c>
      <c r="AJ12" s="16">
        <f>AF12-AG12-AH12-AI12</f>
        <v/>
      </c>
      <c r="AK12" s="20" t="n">
        <v>5</v>
      </c>
      <c r="AL12" s="26" t="n"/>
    </row>
    <row r="13" ht="23.5" customHeight="1">
      <c r="A13" s="6" t="inlineStr">
        <is>
          <t>6</t>
        </is>
      </c>
      <c r="B13" s="29" t="n"/>
      <c r="C13" s="57" t="n"/>
      <c r="D13" s="22" t="n"/>
      <c r="E13" s="27" t="n"/>
      <c r="F13" s="28" t="n"/>
      <c r="G13" s="28" t="n"/>
      <c r="H13" s="27" t="n"/>
      <c r="I13" s="11" t="n"/>
      <c r="J13" s="59" t="n"/>
      <c r="K13" s="12" t="n"/>
      <c r="L13" s="13" t="n"/>
      <c r="M13" s="13" t="n"/>
      <c r="N13" s="14">
        <f>ROUND(I13*(SUM(J13:M13))*85%,0)</f>
        <v/>
      </c>
      <c r="O13" s="75" t="n"/>
      <c r="P13" s="73" t="n"/>
      <c r="Q13" s="73" t="n"/>
      <c r="R13" s="60" t="n"/>
      <c r="S13" s="16">
        <f>I13*J13</f>
        <v/>
      </c>
      <c r="T13" s="16">
        <f>SUM(S13:S13)*85%</f>
        <v/>
      </c>
      <c r="U13" s="16">
        <f>I13*K13*40%*O13</f>
        <v/>
      </c>
      <c r="V13" s="16">
        <f>IF(P13&gt;=6750,(I13*K13*40%),0)</f>
        <v/>
      </c>
      <c r="W13" s="16">
        <f>IF(P13&lt;6750,0,IF(Q13="kurang",I13*K13*10%,I13*K13*20%))</f>
        <v/>
      </c>
      <c r="X13" s="16">
        <f>SUM(U13:W13)*85%</f>
        <v/>
      </c>
      <c r="Y13" s="16">
        <f>I13*L13</f>
        <v/>
      </c>
      <c r="Z13" s="16">
        <f>Y13 * 85%</f>
        <v/>
      </c>
      <c r="AA13" s="16">
        <f>I13*M13</f>
        <v/>
      </c>
      <c r="AB13" s="16">
        <f>AA13*85%</f>
        <v/>
      </c>
      <c r="AC13" s="17">
        <f>ROUND((T13+X13+Z13+AB13),0)</f>
        <v/>
      </c>
      <c r="AD13" s="17">
        <f>AG13</f>
        <v/>
      </c>
      <c r="AE13" s="17">
        <f>AI13</f>
        <v/>
      </c>
      <c r="AF13" s="17">
        <f>AC13+AD13+AE13</f>
        <v/>
      </c>
      <c r="AG13" s="17" t="n"/>
      <c r="AH13" s="19" t="n"/>
      <c r="AI13" s="19">
        <f>AH13*4</f>
        <v/>
      </c>
      <c r="AJ13" s="16">
        <f>AF13-AG13-AH13-AI13</f>
        <v/>
      </c>
      <c r="AK13" s="20" t="n">
        <v>6</v>
      </c>
      <c r="AL13" s="26" t="n"/>
    </row>
    <row r="14" ht="23.5" customHeight="1">
      <c r="A14" s="6" t="inlineStr">
        <is>
          <t>7</t>
        </is>
      </c>
      <c r="B14" s="29" t="n"/>
      <c r="C14" s="57" t="n"/>
      <c r="D14" s="22" t="n"/>
      <c r="E14" s="27" t="n"/>
      <c r="F14" s="28" t="n"/>
      <c r="G14" s="28" t="n"/>
      <c r="H14" s="27" t="n"/>
      <c r="I14" s="11" t="n"/>
      <c r="J14" s="59" t="n"/>
      <c r="K14" s="12" t="n"/>
      <c r="L14" s="13" t="n"/>
      <c r="M14" s="13" t="n"/>
      <c r="N14" s="14">
        <f>ROUND(I14*(SUM(J14:M14))*85%,0)</f>
        <v/>
      </c>
      <c r="O14" s="75" t="n"/>
      <c r="P14" s="73" t="n"/>
      <c r="Q14" s="73" t="n"/>
      <c r="R14" s="60" t="n"/>
      <c r="S14" s="16">
        <f>I14*J14</f>
        <v/>
      </c>
      <c r="T14" s="16">
        <f>SUM(S14:S14)*85%</f>
        <v/>
      </c>
      <c r="U14" s="16">
        <f>I14*K14*40%*O14</f>
        <v/>
      </c>
      <c r="V14" s="16">
        <f>IF(P14&gt;=6750,(I14*K14*40%),0)</f>
        <v/>
      </c>
      <c r="W14" s="16">
        <f>IF(P14&lt;6750,0,IF(Q14="kurang",I14*K14*10%,I14*K14*20%))</f>
        <v/>
      </c>
      <c r="X14" s="16">
        <f>SUM(U14:W14)*85%</f>
        <v/>
      </c>
      <c r="Y14" s="16">
        <f>I14*L14</f>
        <v/>
      </c>
      <c r="Z14" s="16">
        <f>Y14 * 85%</f>
        <v/>
      </c>
      <c r="AA14" s="16">
        <f>I14*M14</f>
        <v/>
      </c>
      <c r="AB14" s="16">
        <f>AA14*85%</f>
        <v/>
      </c>
      <c r="AC14" s="17">
        <f>ROUND((T14+X14+Z14+AB14),0)</f>
        <v/>
      </c>
      <c r="AD14" s="17">
        <f>AG14</f>
        <v/>
      </c>
      <c r="AE14" s="17">
        <f>AI14</f>
        <v/>
      </c>
      <c r="AF14" s="17">
        <f>AC14+AD14+AE14</f>
        <v/>
      </c>
      <c r="AG14" s="17" t="n"/>
      <c r="AH14" s="19" t="n"/>
      <c r="AI14" s="19">
        <f>AH14*4</f>
        <v/>
      </c>
      <c r="AJ14" s="16">
        <f>AF14-AG14-AH14-AI14</f>
        <v/>
      </c>
      <c r="AK14" s="20" t="n">
        <v>7</v>
      </c>
      <c r="AL14" s="26" t="n"/>
    </row>
    <row r="15" ht="23.5" customHeight="1">
      <c r="A15" s="6" t="inlineStr">
        <is>
          <t>8</t>
        </is>
      </c>
      <c r="B15" s="29" t="n"/>
      <c r="C15" s="57" t="n"/>
      <c r="D15" s="22" t="n"/>
      <c r="E15" s="27" t="n"/>
      <c r="F15" s="28" t="n"/>
      <c r="G15" s="28" t="n"/>
      <c r="H15" s="27" t="n"/>
      <c r="I15" s="11" t="n"/>
      <c r="J15" s="59" t="n"/>
      <c r="K15" s="12" t="n"/>
      <c r="L15" s="13" t="n"/>
      <c r="M15" s="13" t="n"/>
      <c r="N15" s="14">
        <f>ROUND(I15*(SUM(J15:M15))*85%,0)</f>
        <v/>
      </c>
      <c r="O15" s="75" t="n"/>
      <c r="P15" s="73" t="n"/>
      <c r="Q15" s="73" t="n"/>
      <c r="R15" s="60" t="n"/>
      <c r="S15" s="16">
        <f>I15*J15</f>
        <v/>
      </c>
      <c r="T15" s="16">
        <f>SUM(S15:S15)*85%</f>
        <v/>
      </c>
      <c r="U15" s="16">
        <f>I15*K15*40%*O15</f>
        <v/>
      </c>
      <c r="V15" s="16">
        <f>IF(P15&gt;=6750,(I15*K15*40%),0)</f>
        <v/>
      </c>
      <c r="W15" s="16">
        <f>IF(P15&lt;6750,0,IF(Q15="kurang",I15*K15*10%,I15*K15*20%))</f>
        <v/>
      </c>
      <c r="X15" s="16">
        <f>SUM(U15:W15)*85%</f>
        <v/>
      </c>
      <c r="Y15" s="16">
        <f>I15*L15</f>
        <v/>
      </c>
      <c r="Z15" s="16">
        <f>Y15 * 85%</f>
        <v/>
      </c>
      <c r="AA15" s="16">
        <f>I15*M15</f>
        <v/>
      </c>
      <c r="AB15" s="16">
        <f>AA15*85%</f>
        <v/>
      </c>
      <c r="AC15" s="17">
        <f>ROUND((T15+X15+Z15+AB15),0)</f>
        <v/>
      </c>
      <c r="AD15" s="17">
        <f>AG15</f>
        <v/>
      </c>
      <c r="AE15" s="17">
        <f>AI15</f>
        <v/>
      </c>
      <c r="AF15" s="17">
        <f>AC15+AD15+AE15</f>
        <v/>
      </c>
      <c r="AG15" s="17" t="n"/>
      <c r="AH15" s="19" t="n"/>
      <c r="AI15" s="19">
        <f>AH15*4</f>
        <v/>
      </c>
      <c r="AJ15" s="16">
        <f>AF15-AG15-AH15-AI15</f>
        <v/>
      </c>
      <c r="AK15" s="20" t="n">
        <v>8</v>
      </c>
      <c r="AL15" s="26" t="n"/>
    </row>
    <row r="16" ht="23.5" customHeight="1">
      <c r="A16" s="6" t="inlineStr">
        <is>
          <t>9</t>
        </is>
      </c>
      <c r="B16" s="29" t="n"/>
      <c r="C16" s="57" t="n"/>
      <c r="D16" s="22" t="n"/>
      <c r="E16" s="27" t="n"/>
      <c r="F16" s="28" t="n"/>
      <c r="G16" s="28" t="n"/>
      <c r="H16" s="27" t="n"/>
      <c r="I16" s="11" t="n"/>
      <c r="J16" s="59" t="n"/>
      <c r="K16" s="12" t="n"/>
      <c r="L16" s="13" t="n"/>
      <c r="M16" s="13" t="n"/>
      <c r="N16" s="14">
        <f>ROUND(I16*(SUM(J16:M16))*85%,0)</f>
        <v/>
      </c>
      <c r="O16" s="75" t="n"/>
      <c r="P16" s="73" t="n"/>
      <c r="Q16" s="73" t="n"/>
      <c r="R16" s="60" t="n"/>
      <c r="S16" s="16">
        <f>I16*J16</f>
        <v/>
      </c>
      <c r="T16" s="16">
        <f>SUM(S16:S16)*85%</f>
        <v/>
      </c>
      <c r="U16" s="16">
        <f>I16*K16*40%*O16</f>
        <v/>
      </c>
      <c r="V16" s="16">
        <f>IF(P16&gt;=6750,(I16*K16*40%),0)</f>
        <v/>
      </c>
      <c r="W16" s="16">
        <f>IF(P16&lt;6750,0,IF(Q16="kurang",I16*K16*10%,I16*K16*20%))</f>
        <v/>
      </c>
      <c r="X16" s="16">
        <f>SUM(U16:W16)*85%</f>
        <v/>
      </c>
      <c r="Y16" s="16">
        <f>I16*L16</f>
        <v/>
      </c>
      <c r="Z16" s="16">
        <f>Y16 * 85%</f>
        <v/>
      </c>
      <c r="AA16" s="16">
        <f>I16*M16</f>
        <v/>
      </c>
      <c r="AB16" s="16">
        <f>AA16*85%</f>
        <v/>
      </c>
      <c r="AC16" s="17">
        <f>ROUND((T16+X16+Z16+AB16),0)</f>
        <v/>
      </c>
      <c r="AD16" s="17">
        <f>AG16</f>
        <v/>
      </c>
      <c r="AE16" s="17">
        <f>AI16</f>
        <v/>
      </c>
      <c r="AF16" s="17">
        <f>AC16+AD16+AE16</f>
        <v/>
      </c>
      <c r="AG16" s="17" t="n"/>
      <c r="AH16" s="19" t="n"/>
      <c r="AI16" s="19">
        <f>AH16*4</f>
        <v/>
      </c>
      <c r="AJ16" s="16">
        <f>AF16-AG16-AH16-AI16</f>
        <v/>
      </c>
      <c r="AK16" s="20" t="n">
        <v>9</v>
      </c>
      <c r="AL16" s="37" t="n"/>
    </row>
    <row r="17" ht="23.5" customHeight="1">
      <c r="A17" s="6" t="inlineStr">
        <is>
          <t>10</t>
        </is>
      </c>
      <c r="B17" s="29" t="n"/>
      <c r="C17" s="57" t="n"/>
      <c r="D17" s="22" t="n"/>
      <c r="E17" s="27" t="n"/>
      <c r="F17" s="28" t="n"/>
      <c r="G17" s="28" t="n"/>
      <c r="H17" s="27" t="n"/>
      <c r="I17" s="11" t="n"/>
      <c r="J17" s="59" t="n"/>
      <c r="K17" s="12" t="n"/>
      <c r="L17" s="13" t="n"/>
      <c r="M17" s="13" t="n"/>
      <c r="N17" s="14">
        <f>ROUND(I17*(SUM(J17:M17))*85%,0)</f>
        <v/>
      </c>
      <c r="O17" s="75" t="n"/>
      <c r="P17" s="73" t="n"/>
      <c r="Q17" s="73" t="n"/>
      <c r="R17" s="60" t="n"/>
      <c r="S17" s="16">
        <f>I17*J17</f>
        <v/>
      </c>
      <c r="T17" s="16">
        <f>SUM(S17:S17)*85%</f>
        <v/>
      </c>
      <c r="U17" s="16">
        <f>I17*K17*40%*O17</f>
        <v/>
      </c>
      <c r="V17" s="16">
        <f>IF(P17&gt;=6750,(I17*K17*40%),0)</f>
        <v/>
      </c>
      <c r="W17" s="16">
        <f>IF(P17&lt;6750,0,IF(Q17="kurang",I17*K17*10%,I17*K17*20%))</f>
        <v/>
      </c>
      <c r="X17" s="16">
        <f>SUM(U17:W17)*85%</f>
        <v/>
      </c>
      <c r="Y17" s="16">
        <f>I17*L17</f>
        <v/>
      </c>
      <c r="Z17" s="16">
        <f>Y17 * 85%</f>
        <v/>
      </c>
      <c r="AA17" s="16">
        <f>I17*M17</f>
        <v/>
      </c>
      <c r="AB17" s="16">
        <f>AA17*85%</f>
        <v/>
      </c>
      <c r="AC17" s="17">
        <f>ROUND((T17+X17+Z17+AB17),0)</f>
        <v/>
      </c>
      <c r="AD17" s="17">
        <f>AG17</f>
        <v/>
      </c>
      <c r="AE17" s="17">
        <f>AI17</f>
        <v/>
      </c>
      <c r="AF17" s="17">
        <f>AC17+AD17+AE17</f>
        <v/>
      </c>
      <c r="AG17" s="17" t="n"/>
      <c r="AH17" s="19" t="n"/>
      <c r="AI17" s="19">
        <f>AH17*4</f>
        <v/>
      </c>
      <c r="AJ17" s="16">
        <f>AF17-AG17-AH17-AI17</f>
        <v/>
      </c>
      <c r="AK17" s="20" t="n">
        <v>10</v>
      </c>
      <c r="AL17" s="26" t="n"/>
    </row>
    <row r="18" ht="23.5" customHeight="1">
      <c r="A18" s="6" t="inlineStr">
        <is>
          <t>11</t>
        </is>
      </c>
      <c r="B18" s="29" t="n"/>
      <c r="C18" s="57" t="n"/>
      <c r="D18" s="22" t="n"/>
      <c r="E18" s="27" t="n"/>
      <c r="F18" s="28" t="n"/>
      <c r="G18" s="28" t="n"/>
      <c r="H18" s="27" t="n"/>
      <c r="I18" s="11" t="n"/>
      <c r="J18" s="59" t="n"/>
      <c r="K18" s="12" t="n"/>
      <c r="L18" s="13" t="n"/>
      <c r="M18" s="13" t="n"/>
      <c r="N18" s="14">
        <f>ROUND(I18*(SUM(J18:M18))*85%,0)</f>
        <v/>
      </c>
      <c r="O18" s="75" t="n"/>
      <c r="P18" s="73" t="n"/>
      <c r="Q18" s="73" t="n"/>
      <c r="R18" s="60" t="n"/>
      <c r="S18" s="16">
        <f>I18*J18</f>
        <v/>
      </c>
      <c r="T18" s="16">
        <f>SUM(S18:S18)*85%</f>
        <v/>
      </c>
      <c r="U18" s="16">
        <f>I18*K18*40%*O18</f>
        <v/>
      </c>
      <c r="V18" s="16">
        <f>IF(P18&gt;=6750,(I18*K18*40%),0)</f>
        <v/>
      </c>
      <c r="W18" s="16">
        <f>IF(P18&lt;6750,0,IF(Q18="kurang",I18*K18*10%,I18*K18*20%))</f>
        <v/>
      </c>
      <c r="X18" s="16">
        <f>SUM(U18:W18)*85%</f>
        <v/>
      </c>
      <c r="Y18" s="16">
        <f>I18*L18</f>
        <v/>
      </c>
      <c r="Z18" s="16">
        <f>Y18 * 85%</f>
        <v/>
      </c>
      <c r="AA18" s="16">
        <f>I18*M18</f>
        <v/>
      </c>
      <c r="AB18" s="16">
        <f>AA18*85%</f>
        <v/>
      </c>
      <c r="AC18" s="17">
        <f>ROUND((T18+X18+Z18+AB18),0)</f>
        <v/>
      </c>
      <c r="AD18" s="17">
        <f>AG18</f>
        <v/>
      </c>
      <c r="AE18" s="17">
        <f>AI18</f>
        <v/>
      </c>
      <c r="AF18" s="17">
        <f>AC18+AD18+AE18</f>
        <v/>
      </c>
      <c r="AG18" s="17" t="n"/>
      <c r="AH18" s="19" t="n"/>
      <c r="AI18" s="19">
        <f>AH18*4</f>
        <v/>
      </c>
      <c r="AJ18" s="16">
        <f>AF18-AG18-AH18-AI18</f>
        <v/>
      </c>
      <c r="AK18" s="20" t="n">
        <v>11</v>
      </c>
      <c r="AL18" s="37" t="n"/>
    </row>
    <row r="19" ht="23.5" customHeight="1">
      <c r="A19" s="6" t="inlineStr">
        <is>
          <t>12</t>
        </is>
      </c>
      <c r="B19" s="29" t="n"/>
      <c r="C19" s="57" t="n"/>
      <c r="D19" s="22" t="n"/>
      <c r="E19" s="27" t="n"/>
      <c r="F19" s="28" t="n"/>
      <c r="G19" s="28" t="n"/>
      <c r="H19" s="27" t="n"/>
      <c r="I19" s="11" t="n"/>
      <c r="J19" s="59" t="n"/>
      <c r="K19" s="12" t="n"/>
      <c r="L19" s="13" t="n"/>
      <c r="M19" s="13" t="n"/>
      <c r="N19" s="14">
        <f>ROUND(I19*(SUM(J19:M19))*85%,0)</f>
        <v/>
      </c>
      <c r="O19" s="75" t="n"/>
      <c r="P19" s="73" t="n"/>
      <c r="Q19" s="73" t="n"/>
      <c r="R19" s="60" t="n"/>
      <c r="S19" s="16">
        <f>I19*J19</f>
        <v/>
      </c>
      <c r="T19" s="16">
        <f>SUM(S19:S19)*85%</f>
        <v/>
      </c>
      <c r="U19" s="16">
        <f>I19*K19*40%*O19</f>
        <v/>
      </c>
      <c r="V19" s="16">
        <f>IF(P19&gt;=6750,(I19*K19*40%),0)</f>
        <v/>
      </c>
      <c r="W19" s="16">
        <f>IF(P19&lt;6750,0,IF(Q19="kurang",I19*K19*10%,I19*K19*20%))</f>
        <v/>
      </c>
      <c r="X19" s="16">
        <f>SUM(U19:W19)*85%</f>
        <v/>
      </c>
      <c r="Y19" s="16">
        <f>I19*L19</f>
        <v/>
      </c>
      <c r="Z19" s="16">
        <f>Y19 * 85%</f>
        <v/>
      </c>
      <c r="AA19" s="16">
        <f>I19*M19</f>
        <v/>
      </c>
      <c r="AB19" s="16">
        <f>AA19*85%</f>
        <v/>
      </c>
      <c r="AC19" s="17">
        <f>ROUND((T19+X19+Z19+AB19),0)</f>
        <v/>
      </c>
      <c r="AD19" s="17">
        <f>AG19</f>
        <v/>
      </c>
      <c r="AE19" s="17">
        <f>AI19</f>
        <v/>
      </c>
      <c r="AF19" s="17">
        <f>AC19+AD19+AE19</f>
        <v/>
      </c>
      <c r="AG19" s="17" t="n"/>
      <c r="AH19" s="19" t="n"/>
      <c r="AI19" s="19">
        <f>AH19*4</f>
        <v/>
      </c>
      <c r="AJ19" s="16">
        <f>AF19-AG19-AH19-AI19</f>
        <v/>
      </c>
      <c r="AK19" s="20" t="n">
        <v>12</v>
      </c>
      <c r="AL19" s="26" t="n"/>
    </row>
    <row r="20" ht="23.5" customHeight="1">
      <c r="A20" s="6" t="inlineStr">
        <is>
          <t>944</t>
        </is>
      </c>
      <c r="B20" s="27" t="n"/>
      <c r="C20" s="57" t="n"/>
      <c r="D20" s="22" t="n"/>
      <c r="E20" s="27" t="n"/>
      <c r="F20" s="28" t="n"/>
      <c r="G20" s="28" t="n"/>
      <c r="H20" s="28" t="n"/>
      <c r="I20" s="11" t="n"/>
      <c r="J20" s="59" t="n"/>
      <c r="K20" s="12" t="n"/>
      <c r="L20" s="25" t="n"/>
      <c r="M20" s="13" t="n"/>
      <c r="N20" s="14">
        <f>ROUND(I20*(SUM(J20:M20))*85%,0)</f>
        <v/>
      </c>
      <c r="O20" s="75" t="n"/>
      <c r="P20" s="73" t="n"/>
      <c r="Q20" s="73" t="n"/>
      <c r="R20" s="60" t="n"/>
      <c r="S20" s="16">
        <f>I20*J20</f>
        <v/>
      </c>
      <c r="T20" s="16">
        <f>SUM(S20:S20)*85%</f>
        <v/>
      </c>
      <c r="U20" s="16">
        <f>I20*K20*40%*O20</f>
        <v/>
      </c>
      <c r="V20" s="16">
        <f>IF(P20&gt;=6750,(I20*K20*40%),0)</f>
        <v/>
      </c>
      <c r="W20" s="16">
        <f>IF(P20&lt;6750,0,IF(Q20="kurang",I20*K20*10%,I20*K20*20%))</f>
        <v/>
      </c>
      <c r="X20" s="16">
        <f>SUM(U20:W20)*85%</f>
        <v/>
      </c>
      <c r="Y20" s="16">
        <f>I20*L20</f>
        <v/>
      </c>
      <c r="Z20" s="16">
        <f>Y20 * 85%</f>
        <v/>
      </c>
      <c r="AA20" s="16">
        <f>I20*M20</f>
        <v/>
      </c>
      <c r="AB20" s="16">
        <f>AA20*85%</f>
        <v/>
      </c>
      <c r="AC20" s="17">
        <f>ROUND((T20+X20+Z20+AB20),0)</f>
        <v/>
      </c>
      <c r="AD20" s="17">
        <f>AG20</f>
        <v/>
      </c>
      <c r="AE20" s="17">
        <f>AI20</f>
        <v/>
      </c>
      <c r="AF20" s="17">
        <f>AC20+AD20+AE20</f>
        <v/>
      </c>
      <c r="AG20" s="17" t="n"/>
      <c r="AH20" s="19" t="n"/>
      <c r="AI20" s="19">
        <f>AH20*4</f>
        <v/>
      </c>
      <c r="AJ20" s="16">
        <f>AF20-AG20-AH20-AI20</f>
        <v/>
      </c>
      <c r="AK20" s="20" t="n">
        <v>944</v>
      </c>
      <c r="AL20" s="37" t="n"/>
    </row>
    <row r="21">
      <c r="B21" s="30" t="n"/>
      <c r="C21" s="30" t="n"/>
      <c r="D21" s="30" t="n"/>
      <c r="E21" s="30" t="n"/>
      <c r="F21" s="30" t="n"/>
      <c r="G21" s="30" t="n"/>
      <c r="H21" s="30" t="n"/>
      <c r="I21" s="30" t="n"/>
      <c r="K21" s="31" t="n"/>
      <c r="L21" s="32" t="n"/>
      <c r="M21" s="32" t="n"/>
      <c r="N21" s="14">
        <f>I21*(SUM(K21:M21))</f>
        <v/>
      </c>
      <c r="O21" s="33" t="n"/>
      <c r="P21" s="34" t="n"/>
      <c r="Q21" s="34" t="n"/>
      <c r="R21" s="34" t="n"/>
      <c r="S21" s="35" t="n"/>
      <c r="T21" s="34">
        <f>SUM(T8:T20)</f>
        <v/>
      </c>
      <c r="U21" s="35" t="n"/>
      <c r="V21" s="35" t="n"/>
      <c r="W21" s="35" t="n"/>
      <c r="X21" s="34">
        <f>SUM(X8:X20)</f>
        <v/>
      </c>
      <c r="Y21" s="35" t="n"/>
      <c r="Z21" s="34">
        <f>SUM(Z8:Z20)</f>
        <v/>
      </c>
      <c r="AA21" s="35" t="n"/>
      <c r="AB21" s="34">
        <f>SUM(AB8:AB20)</f>
        <v/>
      </c>
      <c r="AC21" s="34">
        <f>SUM(AC8:AC20)</f>
        <v/>
      </c>
      <c r="AD21" s="34">
        <f>SUM(AD8:AD20)</f>
        <v/>
      </c>
      <c r="AE21" s="34">
        <f>SUM(AE8:AE20)</f>
        <v/>
      </c>
      <c r="AF21" s="34">
        <f>SUM(AF8:AF20)</f>
        <v/>
      </c>
      <c r="AG21" s="34">
        <f>SUM(AG8:AG20)</f>
        <v/>
      </c>
      <c r="AH21" s="34">
        <f>SUM(AH8:AH20)</f>
        <v/>
      </c>
      <c r="AI21" s="34">
        <f>SUM(AI8:AI20)</f>
        <v/>
      </c>
      <c r="AJ21" s="34">
        <f>SUM(AJ8:AJ20)</f>
        <v/>
      </c>
    </row>
    <row r="22">
      <c r="B22" s="30" t="n"/>
      <c r="C22" s="30" t="n"/>
      <c r="D22" s="30" t="n"/>
      <c r="E22" s="30" t="n"/>
      <c r="F22" s="30" t="n"/>
      <c r="G22" s="30" t="n"/>
      <c r="H22" s="30" t="n"/>
      <c r="I22" s="30" t="n"/>
      <c r="K22" s="38" t="n"/>
      <c r="L22" s="30" t="n"/>
      <c r="M22" s="30" t="n"/>
    </row>
    <row r="23">
      <c r="B23" s="78" t="inlineStr">
        <is>
          <t>Mengetahui</t>
        </is>
      </c>
      <c r="D23" s="30" t="n"/>
      <c r="E23" s="30" t="n"/>
      <c r="F23" s="30" t="n"/>
      <c r="G23" s="30" t="n"/>
      <c r="H23" s="30" t="n"/>
      <c r="I23" s="30" t="n"/>
      <c r="K23" s="38" t="n"/>
      <c r="L23" s="30" t="n"/>
      <c r="M23" s="30" t="n"/>
    </row>
    <row r="24" ht="14.5" customHeight="1">
      <c r="B24" s="39" t="inlineStr">
        <is>
          <t>Pengguna Anggaran,</t>
        </is>
      </c>
      <c r="C24" s="39" t="n"/>
      <c r="D24" s="30" t="n"/>
      <c r="E24" s="30" t="n"/>
      <c r="F24" s="30" t="n"/>
      <c r="G24" s="30" t="n"/>
      <c r="H24" s="30" t="n"/>
      <c r="I24" s="30" t="n"/>
      <c r="K24" s="30" t="n"/>
      <c r="L24" s="30" t="n"/>
      <c r="M24" s="30" t="n"/>
      <c r="AA24" s="30" t="n"/>
      <c r="AB24" s="30" t="n"/>
    </row>
    <row r="25">
      <c r="B25" s="42" t="n"/>
      <c r="C25" s="42" t="n"/>
      <c r="D25" s="30" t="n"/>
      <c r="E25" s="30" t="n"/>
      <c r="F25" s="30" t="n"/>
      <c r="G25" s="30" t="n"/>
      <c r="H25" s="30" t="n"/>
      <c r="I25" s="30" t="n"/>
      <c r="K25" s="30" t="n"/>
      <c r="L25" s="30" t="n"/>
      <c r="M25" s="30" t="n"/>
      <c r="AA25" s="30" t="n"/>
      <c r="AB25" s="30" t="n"/>
    </row>
    <row r="26">
      <c r="B26" s="42" t="n"/>
      <c r="C26" s="42" t="n"/>
      <c r="D26" s="30" t="n"/>
      <c r="E26" s="30" t="n"/>
      <c r="F26" s="30" t="n"/>
      <c r="G26" s="30" t="n"/>
      <c r="H26" s="30" t="n"/>
      <c r="I26" s="30" t="n"/>
      <c r="K26" s="30" t="n"/>
      <c r="L26" s="30" t="n"/>
      <c r="M26" s="30" t="n"/>
      <c r="AA26" s="30" t="n"/>
      <c r="AB26" s="30" t="n"/>
    </row>
    <row r="27">
      <c r="B27" s="45" t="n"/>
      <c r="C27" s="45" t="n"/>
      <c r="AB27" s="30" t="n"/>
    </row>
    <row r="28">
      <c r="B28" s="45" t="n"/>
      <c r="C28" s="45" t="n"/>
      <c r="S28" s="47" t="n"/>
      <c r="T28" s="48" t="n"/>
      <c r="U28" s="48" t="n"/>
    </row>
    <row r="29">
      <c r="B29" s="79" t="inlineStr">
        <is>
          <t>…</t>
        </is>
      </c>
      <c r="S29" s="77" t="n"/>
    </row>
    <row r="30">
      <c r="B30" s="49" t="inlineStr">
        <is>
          <t>NIP. …</t>
        </is>
      </c>
      <c r="C30" s="49" t="n"/>
      <c r="S30" s="77" t="n"/>
    </row>
    <row r="31">
      <c r="X31" s="30" t="n"/>
      <c r="Y31" s="30" t="n"/>
      <c r="Z31" s="30" t="n"/>
      <c r="AA31" s="30" t="n"/>
      <c r="AB31" s="30" t="n"/>
    </row>
    <row r="32">
      <c r="V32" s="30" t="n"/>
      <c r="W32" s="30" t="n"/>
      <c r="X32" s="30" t="n"/>
      <c r="Y32" s="30" t="n"/>
      <c r="Z32" s="30" t="n"/>
      <c r="AA32" s="30" t="n"/>
      <c r="AB32" s="30" t="n"/>
    </row>
    <row r="33">
      <c r="V33" s="30" t="n"/>
      <c r="W33" s="30" t="n"/>
      <c r="X33" s="30" t="n"/>
      <c r="Y33" s="30" t="n"/>
      <c r="Z33" s="30" t="n"/>
      <c r="AA33" s="30" t="n"/>
      <c r="AB33" s="30" t="n"/>
    </row>
    <row r="34">
      <c r="V34" s="30" t="n"/>
      <c r="W34" s="30" t="n"/>
      <c r="X34" s="30" t="n"/>
      <c r="Y34" s="30" t="n"/>
      <c r="Z34" s="30" t="n"/>
      <c r="AA34" s="30" t="n"/>
      <c r="AB34" s="30" t="n"/>
    </row>
    <row r="35">
      <c r="V35" s="30" t="n"/>
      <c r="W35" s="30" t="n"/>
      <c r="X35" s="30" t="n"/>
      <c r="Y35" s="30" t="n"/>
      <c r="Z35" s="30" t="n"/>
      <c r="AA35" s="30" t="n"/>
      <c r="AB35" s="30" t="n"/>
    </row>
    <row r="36">
      <c r="V36" s="30" t="n"/>
      <c r="W36" s="30" t="n"/>
      <c r="X36" s="30" t="n"/>
      <c r="Y36" s="30" t="n"/>
      <c r="Z36" s="30" t="n"/>
      <c r="AA36" s="30" t="n"/>
      <c r="AB36" s="30" t="n"/>
    </row>
    <row r="37">
      <c r="V37" s="30" t="n"/>
      <c r="W37" s="30" t="n"/>
      <c r="X37" s="30" t="n"/>
      <c r="Y37" s="30" t="n"/>
      <c r="Z37" s="30" t="n"/>
      <c r="AA37" s="30" t="n"/>
      <c r="AB37" s="30" t="n"/>
    </row>
    <row r="38">
      <c r="T38" s="52" t="n"/>
      <c r="V38" s="30" t="n"/>
      <c r="W38" s="30" t="n"/>
      <c r="X38" s="52" t="n"/>
      <c r="Y38" s="30" t="n"/>
      <c r="Z38" s="52" t="n"/>
      <c r="AA38" s="30" t="n"/>
      <c r="AB38" s="52" t="n"/>
    </row>
    <row r="39">
      <c r="T39" s="53" t="n"/>
      <c r="U39" s="53" t="n"/>
      <c r="V39" s="50" t="n"/>
      <c r="W39" s="50" t="n"/>
      <c r="X39" s="50" t="n"/>
      <c r="Y39" s="50" t="n"/>
      <c r="Z39" s="50" t="n"/>
      <c r="AA39" s="50" t="n"/>
      <c r="AB39" s="50" t="n"/>
    </row>
    <row r="40">
      <c r="T40" s="53" t="n"/>
      <c r="U40" s="53" t="n"/>
      <c r="V40" s="50" t="n"/>
      <c r="W40" s="50" t="n"/>
      <c r="X40" s="53" t="n"/>
      <c r="Y40" s="50" t="n"/>
      <c r="Z40" s="53" t="n"/>
      <c r="AA40" s="50" t="n"/>
      <c r="AB40" s="53" t="n"/>
    </row>
    <row r="41">
      <c r="T41" s="53" t="n"/>
      <c r="U41" s="54" t="n"/>
      <c r="V41" s="55" t="n"/>
      <c r="W41" s="55" t="n"/>
      <c r="X41" s="53" t="n"/>
      <c r="Y41" s="55" t="n"/>
      <c r="Z41" s="53" t="n"/>
      <c r="AA41" s="55" t="n"/>
      <c r="AB41" s="53" t="n"/>
    </row>
    <row r="42">
      <c r="T42" s="54" t="n"/>
      <c r="U42" s="54" t="n"/>
      <c r="V42" s="55" t="n"/>
      <c r="W42" s="55" t="n"/>
      <c r="X42" s="55" t="n"/>
      <c r="Y42" s="55" t="n"/>
      <c r="Z42" s="55" t="n"/>
      <c r="AA42" s="55" t="n"/>
      <c r="AB42" s="55" t="n"/>
    </row>
    <row r="43">
      <c r="T43" s="54" t="n"/>
      <c r="U43" s="54" t="n"/>
      <c r="V43" s="55" t="n"/>
      <c r="W43" s="55" t="n"/>
      <c r="X43" s="55" t="n"/>
      <c r="Y43" s="55" t="n"/>
      <c r="Z43" s="55" t="n"/>
      <c r="AA43" s="55" t="n"/>
      <c r="AB43" s="55" t="n"/>
    </row>
    <row r="44">
      <c r="V44" s="30" t="n"/>
      <c r="W44" s="30" t="n"/>
      <c r="X44" s="30" t="n"/>
      <c r="Y44" s="30" t="n"/>
      <c r="Z44" s="30" t="n"/>
      <c r="AA44" s="30" t="n"/>
      <c r="AB44" s="30" t="n"/>
    </row>
    <row r="45">
      <c r="V45" s="30" t="n"/>
      <c r="W45" s="30" t="n"/>
      <c r="X45" s="30" t="n"/>
      <c r="Y45" s="30" t="n"/>
      <c r="Z45" s="30" t="n"/>
      <c r="AA45" s="30" t="n"/>
      <c r="AB45" s="30" t="n"/>
    </row>
    <row r="46">
      <c r="V46" s="30" t="n"/>
      <c r="W46" s="30" t="n"/>
      <c r="X46" s="30" t="n"/>
      <c r="Y46" s="30" t="n"/>
      <c r="Z46" s="30" t="n"/>
      <c r="AA46" s="30" t="n"/>
      <c r="AB46" s="30" t="n"/>
    </row>
    <row r="47">
      <c r="V47" s="30" t="n"/>
      <c r="W47" s="30" t="n"/>
      <c r="X47" s="30" t="n"/>
      <c r="Y47" s="30" t="n"/>
      <c r="Z47" s="30" t="n"/>
      <c r="AA47" s="30" t="n"/>
      <c r="AB47" s="30" t="n"/>
    </row>
    <row r="48">
      <c r="V48" s="30" t="n"/>
      <c r="W48" s="30" t="n"/>
      <c r="X48" s="30" t="n"/>
      <c r="Y48" s="30" t="n"/>
      <c r="Z48" s="30" t="n"/>
      <c r="AA48" s="30" t="n"/>
      <c r="AB48" s="30" t="n"/>
    </row>
    <row r="49">
      <c r="V49" s="30" t="n"/>
      <c r="W49" s="30" t="n"/>
      <c r="X49" s="30" t="n"/>
      <c r="Y49" s="30" t="n"/>
      <c r="Z49" s="30" t="n"/>
      <c r="AA49" s="30" t="n"/>
      <c r="AB49" s="30" t="n"/>
    </row>
    <row r="50">
      <c r="V50" s="30" t="n"/>
      <c r="W50" s="30" t="n"/>
      <c r="X50" s="30" t="n"/>
      <c r="Y50" s="30" t="n"/>
      <c r="Z50" s="30" t="n"/>
      <c r="AA50" s="30" t="n"/>
      <c r="AB50" s="30" t="n"/>
    </row>
    <row r="51">
      <c r="V51" s="30" t="n"/>
      <c r="W51" s="30" t="n"/>
      <c r="X51" s="30" t="n"/>
      <c r="Y51" s="30" t="n"/>
      <c r="Z51" s="30" t="n"/>
      <c r="AA51" s="30" t="n"/>
      <c r="AB51" s="30" t="n"/>
    </row>
    <row r="52">
      <c r="V52" s="30" t="n"/>
      <c r="W52" s="30" t="n"/>
      <c r="X52" s="30" t="n"/>
      <c r="Y52" s="30" t="n"/>
      <c r="Z52" s="30" t="n"/>
      <c r="AA52" s="30" t="n"/>
      <c r="AB52" s="30" t="n"/>
    </row>
    <row r="53">
      <c r="V53" s="30" t="n"/>
      <c r="W53" s="30" t="n"/>
      <c r="X53" s="30" t="n"/>
      <c r="Y53" s="30" t="n"/>
      <c r="Z53" s="30" t="n"/>
      <c r="AA53" s="30" t="n"/>
      <c r="AB53" s="30" t="n"/>
    </row>
    <row r="54">
      <c r="V54" s="30" t="n"/>
      <c r="W54" s="30" t="n"/>
      <c r="X54" s="30" t="n"/>
      <c r="Y54" s="30" t="n"/>
      <c r="Z54" s="30" t="n"/>
      <c r="AA54" s="30" t="n"/>
      <c r="AB54" s="30" t="n"/>
    </row>
    <row r="55">
      <c r="V55" s="30" t="n"/>
      <c r="W55" s="30" t="n"/>
      <c r="X55" s="30" t="n"/>
      <c r="Y55" s="30" t="n"/>
      <c r="Z55" s="30" t="n"/>
      <c r="AA55" s="30" t="n"/>
      <c r="AB55" s="30" t="n"/>
    </row>
    <row r="56">
      <c r="V56" s="30" t="n"/>
      <c r="W56" s="30" t="n"/>
      <c r="X56" s="30" t="n"/>
      <c r="Y56" s="30" t="n"/>
      <c r="Z56" s="30" t="n"/>
      <c r="AA56" s="30" t="n"/>
      <c r="AB56" s="30" t="n"/>
    </row>
    <row r="57">
      <c r="V57" s="30" t="n"/>
      <c r="W57" s="30" t="n"/>
      <c r="X57" s="30" t="n"/>
      <c r="Y57" s="30" t="n"/>
      <c r="Z57" s="30" t="n"/>
      <c r="AA57" s="30" t="n"/>
      <c r="AB57" s="30" t="n"/>
    </row>
  </sheetData>
  <mergeCells count="44">
    <mergeCell ref="I5:I7"/>
    <mergeCell ref="AF5:AF7"/>
    <mergeCell ref="O5:Q5"/>
    <mergeCell ref="D5:D7"/>
    <mergeCell ref="J6:J7"/>
    <mergeCell ref="P6:P7"/>
    <mergeCell ref="G5:G7"/>
    <mergeCell ref="A5:A7"/>
    <mergeCell ref="AJ5:AJ7"/>
    <mergeCell ref="AA6:AA7"/>
    <mergeCell ref="B5:B7"/>
    <mergeCell ref="X6:X7"/>
    <mergeCell ref="AE5:AE7"/>
    <mergeCell ref="R5:R7"/>
    <mergeCell ref="A1:AI1"/>
    <mergeCell ref="B23:C23"/>
    <mergeCell ref="M6:M7"/>
    <mergeCell ref="AG5:AG7"/>
    <mergeCell ref="Q6:Q7"/>
    <mergeCell ref="AI5:AI7"/>
    <mergeCell ref="H5:H7"/>
    <mergeCell ref="J5:M5"/>
    <mergeCell ref="Y6:Y7"/>
    <mergeCell ref="AD5:AD7"/>
    <mergeCell ref="B29:C29"/>
    <mergeCell ref="AK5:AL7"/>
    <mergeCell ref="L6:L7"/>
    <mergeCell ref="C5:C7"/>
    <mergeCell ref="A3:AI3"/>
    <mergeCell ref="AC6:AC7"/>
    <mergeCell ref="E5:E7"/>
    <mergeCell ref="T6:T7"/>
    <mergeCell ref="AH5:AH7"/>
    <mergeCell ref="F5:F7"/>
    <mergeCell ref="Z6:Z7"/>
    <mergeCell ref="S30:W30"/>
    <mergeCell ref="U6:W6"/>
    <mergeCell ref="A2:AI2"/>
    <mergeCell ref="AB6:AB7"/>
    <mergeCell ref="N5:N7"/>
    <mergeCell ref="S29:W29"/>
    <mergeCell ref="S5:AC5"/>
    <mergeCell ref="K6:K7"/>
    <mergeCell ref="O6:O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tabSelected="1" topLeftCell="P1" workbookViewId="0">
      <selection activeCell="AC8" sqref="AC8:AC17"/>
    </sheetView>
  </sheetViews>
  <sheetFormatPr baseColWidth="10" defaultColWidth="8.83203125" defaultRowHeight="16"/>
  <cols>
    <col width="4.5" customWidth="1" style="3" min="1" max="1"/>
    <col width="34.83203125" customWidth="1" min="2" max="2"/>
    <col width="30.5" customWidth="1" min="3" max="3"/>
    <col width="18.5" customWidth="1" min="4" max="4"/>
    <col width="23.5" customWidth="1" min="5" max="5"/>
    <col width="14.1640625" customWidth="1" min="6" max="6"/>
    <col width="6.5" customWidth="1" min="7" max="7"/>
    <col width="14.1640625" customWidth="1" min="8" max="8"/>
    <col width="12.5" customWidth="1" min="9" max="9"/>
    <col hidden="1" width="8.5" customWidth="1" min="10" max="13"/>
    <col width="14.1640625" customWidth="1" min="14" max="14"/>
    <col width="9.5" customWidth="1" style="46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2.5" customWidth="1" min="27" max="27"/>
    <col width="13.5" customWidth="1" min="28" max="28"/>
    <col width="13" customWidth="1" min="29" max="29"/>
    <col width="11.5" customWidth="1" min="30" max="32"/>
    <col width="13" customWidth="1" min="33" max="33"/>
    <col width="3.5" customWidth="1" min="34" max="34"/>
    <col width="17" customWidth="1" min="35" max="35"/>
  </cols>
  <sheetData>
    <row r="1" ht="20" customHeight="1">
      <c r="A1" s="80" t="inlineStr">
        <is>
          <t>DAFTAR TANDA TERIMA PEMBAYARAN TPP ASN (CPNS)</t>
        </is>
      </c>
      <c r="AJ1" s="1" t="n"/>
    </row>
    <row r="2" ht="20" customHeight="1">
      <c r="A2" s="80" t="inlineStr">
        <is>
          <t>BULAN FEBRUARI 2023 UNTUK KINERJA JANUARI 2023</t>
        </is>
      </c>
      <c r="AJ2" s="2" t="n"/>
    </row>
    <row r="3" ht="20" customHeight="1">
      <c r="A3" s="81" t="inlineStr">
        <is>
          <t>BADAN KEPEGAWAIAN DAERAH, PENDIDIKAN DAN PELATIHAN KOTA BANJARMASIN</t>
        </is>
      </c>
      <c r="AJ3" s="2" t="n"/>
    </row>
    <row r="4"/>
    <row r="5" ht="16" customHeight="1">
      <c r="A5" s="97" t="inlineStr">
        <is>
          <t>NO</t>
        </is>
      </c>
      <c r="B5" s="97" t="inlineStr">
        <is>
          <t>NAMA</t>
        </is>
      </c>
      <c r="C5" s="98" t="inlineStr">
        <is>
          <t>NIP</t>
        </is>
      </c>
      <c r="D5" s="100" t="inlineStr">
        <is>
          <t>PANGKAT/
GOLONGAN</t>
        </is>
      </c>
      <c r="E5" s="97" t="inlineStr">
        <is>
          <t>JABATAN</t>
        </is>
      </c>
      <c r="F5" s="105" t="inlineStr">
        <is>
          <t>JENIS JABATAN</t>
        </is>
      </c>
      <c r="G5" s="97" t="inlineStr">
        <is>
          <t>KELAS</t>
        </is>
      </c>
      <c r="H5" s="128" t="inlineStr">
        <is>
          <t>KET</t>
        </is>
      </c>
      <c r="I5" s="108" t="inlineStr">
        <is>
          <t>Basic TPP</t>
        </is>
      </c>
      <c r="J5" s="129" t="inlineStr">
        <is>
          <t>Persentase</t>
        </is>
      </c>
      <c r="K5" s="130" t="n"/>
      <c r="L5" s="130" t="n"/>
      <c r="M5" s="131" t="n"/>
      <c r="N5" s="92" t="inlineStr">
        <is>
          <t>Pagu TPP ASN</t>
        </is>
      </c>
      <c r="O5" s="132" t="inlineStr">
        <is>
          <t>Disiplin dan Produktivitas</t>
        </is>
      </c>
      <c r="P5" s="130" t="n"/>
      <c r="Q5" s="131" t="n"/>
      <c r="R5" s="114" t="n"/>
      <c r="S5" s="127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8" t="inlineStr">
        <is>
          <t>PPh 21</t>
        </is>
      </c>
      <c r="AE5" s="138" t="inlineStr">
        <is>
          <t>BPJS 1%</t>
        </is>
      </c>
      <c r="AF5" s="138" t="inlineStr">
        <is>
          <t>BPJS 4%</t>
        </is>
      </c>
      <c r="AG5" s="148" t="inlineStr">
        <is>
          <t>TPP DITERIMA/
TRANSFER</t>
        </is>
      </c>
      <c r="AH5" s="149" t="inlineStr">
        <is>
          <t>TANDA TANGAN</t>
        </is>
      </c>
      <c r="AI5" s="150" t="n"/>
      <c r="AJ5" s="3" t="n"/>
    </row>
    <row r="6" ht="14.5" customHeight="1">
      <c r="A6" s="140" t="n"/>
      <c r="B6" s="140" t="n"/>
      <c r="C6" s="141" t="n"/>
      <c r="D6" s="141" t="n"/>
      <c r="E6" s="140" t="n"/>
      <c r="F6" s="140" t="n"/>
      <c r="G6" s="140" t="n"/>
      <c r="H6" s="141" t="n"/>
      <c r="I6" s="140" t="n"/>
      <c r="J6" s="92" t="inlineStr">
        <is>
          <t>Beban Kerja</t>
        </is>
      </c>
      <c r="K6" s="92" t="inlineStr">
        <is>
          <t>Prestasi Kerja</t>
        </is>
      </c>
      <c r="L6" s="92" t="inlineStr">
        <is>
          <t>Kondisi Kerja</t>
        </is>
      </c>
      <c r="M6" s="92" t="inlineStr">
        <is>
          <t>Kelangkaan Profesi</t>
        </is>
      </c>
      <c r="N6" s="141" t="n"/>
      <c r="O6" s="94" t="inlineStr">
        <is>
          <t>Absensi</t>
        </is>
      </c>
      <c r="P6" s="94" t="inlineStr">
        <is>
          <t>Aktivitas (menit)</t>
        </is>
      </c>
      <c r="Q6" s="94" t="inlineStr">
        <is>
          <t>Penilaian Kinerja</t>
        </is>
      </c>
      <c r="R6" s="72" t="inlineStr">
        <is>
          <t>PPH21</t>
        </is>
      </c>
      <c r="S6" s="76" t="n"/>
      <c r="T6" s="86" t="inlineStr">
        <is>
          <t>Jumlah Beban Kerja</t>
        </is>
      </c>
      <c r="U6" s="87" t="inlineStr">
        <is>
          <t>Prestasi Kerja</t>
        </is>
      </c>
      <c r="V6" s="134" t="n"/>
      <c r="W6" s="135" t="n"/>
      <c r="X6" s="91" t="inlineStr">
        <is>
          <t>Jumlah Prestasi Kerja</t>
        </is>
      </c>
      <c r="Y6" s="88" t="inlineStr">
        <is>
          <t>Kondisi Kerja</t>
        </is>
      </c>
      <c r="Z6" s="88" t="inlineStr">
        <is>
          <t>Jumlah Kondisi Kerja</t>
        </is>
      </c>
      <c r="AA6" s="89" t="inlineStr">
        <is>
          <t>Kelangkaan Profesi</t>
        </is>
      </c>
      <c r="AB6" s="89" t="inlineStr">
        <is>
          <t>Jumlah Kelangaan Profesi</t>
        </is>
      </c>
      <c r="AC6" s="90" t="inlineStr">
        <is>
          <t>Jumlah Pembayaran</t>
        </is>
      </c>
      <c r="AD6" s="141" t="n"/>
      <c r="AE6" s="141" t="n"/>
      <c r="AF6" s="141" t="n"/>
      <c r="AG6" s="141" t="n"/>
      <c r="AH6" s="151" t="n"/>
      <c r="AI6" s="152" t="n"/>
      <c r="AJ6" s="3" t="n"/>
    </row>
    <row r="7" ht="34" customHeight="1">
      <c r="A7" s="144" t="n"/>
      <c r="B7" s="144" t="n"/>
      <c r="C7" s="141" t="n"/>
      <c r="D7" s="141" t="n"/>
      <c r="E7" s="144" t="n"/>
      <c r="F7" s="144" t="n"/>
      <c r="G7" s="144" t="n"/>
      <c r="H7" s="145" t="n"/>
      <c r="I7" s="144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95" t="inlineStr">
        <is>
          <t>%</t>
        </is>
      </c>
      <c r="S7" s="5" t="inlineStr">
        <is>
          <t>beban kerja</t>
        </is>
      </c>
      <c r="T7" s="144" t="n"/>
      <c r="U7" s="91" t="inlineStr">
        <is>
          <t>Absensi (40%)</t>
        </is>
      </c>
      <c r="V7" s="91" t="inlineStr">
        <is>
          <t>Aktivitas (40%)</t>
        </is>
      </c>
      <c r="W7" s="91" t="inlineStr">
        <is>
          <t>Kinerja (20%)</t>
        </is>
      </c>
      <c r="X7" s="144" t="n"/>
      <c r="Y7" s="144" t="n"/>
      <c r="Z7" s="144" t="n"/>
      <c r="AA7" s="144" t="n"/>
      <c r="AB7" s="144" t="n"/>
      <c r="AC7" s="144" t="n"/>
      <c r="AD7" s="145" t="n"/>
      <c r="AE7" s="145" t="n"/>
      <c r="AF7" s="145" t="n"/>
      <c r="AG7" s="145" t="n"/>
      <c r="AH7" s="151" t="n"/>
      <c r="AI7" s="152" t="n"/>
      <c r="AJ7" s="3" t="n"/>
    </row>
    <row r="8" ht="23.5" customHeight="1">
      <c r="A8" s="6" t="n">
        <v>1</v>
      </c>
      <c r="B8" s="7" t="n"/>
      <c r="C8" s="8" t="inlineStr">
        <is>
          <t>NIP. …</t>
        </is>
      </c>
      <c r="D8" s="9" t="n"/>
      <c r="E8" s="8" t="n"/>
      <c r="F8" s="10" t="n"/>
      <c r="G8" s="10" t="n"/>
      <c r="H8" s="8" t="n"/>
      <c r="I8" s="11" t="n"/>
      <c r="J8" s="61" t="n"/>
      <c r="K8" s="12" t="n"/>
      <c r="L8" s="13" t="n"/>
      <c r="M8" s="13" t="n"/>
      <c r="N8" s="14">
        <f>I8*(SUM(J8:M8))*80% * 85%</f>
        <v/>
      </c>
      <c r="O8" s="75" t="n"/>
      <c r="P8" s="73" t="n"/>
      <c r="Q8" s="73" t="n"/>
      <c r="R8" s="15" t="n"/>
      <c r="S8" s="16">
        <f>I8*J8</f>
        <v/>
      </c>
      <c r="T8" s="16">
        <f>SUM(S8:S8)*80%*85%</f>
        <v/>
      </c>
      <c r="U8" s="16">
        <f>I8*K8*40%*O8</f>
        <v/>
      </c>
      <c r="V8" s="16">
        <f>IF(P8&gt;=6750,(I8*K8*40%),0)</f>
        <v/>
      </c>
      <c r="W8" s="16">
        <f>IF(P8&lt;6750,0,IF(Q8="kurang",I8*K8*10%,I8*K8*20%))</f>
        <v/>
      </c>
      <c r="X8" s="16">
        <f>SUM(U8:W8)*80%*85%</f>
        <v/>
      </c>
      <c r="Y8" s="16">
        <f>I8*L8</f>
        <v/>
      </c>
      <c r="Z8" s="16">
        <f>Y8*80%*85%</f>
        <v/>
      </c>
      <c r="AA8" s="16">
        <f>I8*M8</f>
        <v/>
      </c>
      <c r="AB8" s="16">
        <f>AA8*80%*85%</f>
        <v/>
      </c>
      <c r="AC8" s="17">
        <f>ROUND((T8+X8+Z8+AB8),0)</f>
        <v/>
      </c>
      <c r="AD8" s="18">
        <f>ROUND(AC8*R8,0)</f>
        <v/>
      </c>
      <c r="AE8" s="19" t="n"/>
      <c r="AF8" s="19" t="n"/>
      <c r="AG8" s="16">
        <f>AC8-AD8-AE8</f>
        <v/>
      </c>
      <c r="AH8" s="20" t="n">
        <v>1</v>
      </c>
      <c r="AI8" s="21" t="n"/>
      <c r="AJ8" s="3" t="n"/>
    </row>
    <row r="9" ht="23.5" customHeight="1">
      <c r="A9" s="6" t="n">
        <v>2</v>
      </c>
      <c r="B9" s="7" t="n"/>
      <c r="C9" s="8" t="inlineStr">
        <is>
          <t>NIP. …</t>
        </is>
      </c>
      <c r="D9" s="9" t="n"/>
      <c r="E9" s="8" t="n"/>
      <c r="F9" s="10" t="n"/>
      <c r="G9" s="10" t="n"/>
      <c r="H9" s="8" t="n"/>
      <c r="I9" s="11" t="n"/>
      <c r="J9" s="61" t="n"/>
      <c r="K9" s="12" t="n"/>
      <c r="L9" s="13" t="n"/>
      <c r="M9" s="13" t="n"/>
      <c r="N9" s="14">
        <f>I9*(SUM(J9:M9))*80% * 85%</f>
        <v/>
      </c>
      <c r="O9" s="75" t="n"/>
      <c r="P9" s="73" t="n"/>
      <c r="Q9" s="73" t="n"/>
      <c r="R9" s="15" t="n"/>
      <c r="S9" s="16">
        <f>I9*J9</f>
        <v/>
      </c>
      <c r="T9" s="16">
        <f>SUM(S9:S9)*80%*85%</f>
        <v/>
      </c>
      <c r="U9" s="16">
        <f>I9*K9*40%*O9</f>
        <v/>
      </c>
      <c r="V9" s="16">
        <f>IF(P9&gt;=6750,(I9*K9*40%),0)</f>
        <v/>
      </c>
      <c r="W9" s="16">
        <f>IF(P9&lt;6750,0,IF(Q9="kurang",I9*K9*10%,I9*K9*20%))</f>
        <v/>
      </c>
      <c r="X9" s="16">
        <f>SUM(U9:W9)*80%*85%</f>
        <v/>
      </c>
      <c r="Y9" s="16">
        <f>I9*L9</f>
        <v/>
      </c>
      <c r="Z9" s="16">
        <f>Y9*80%*85%</f>
        <v/>
      </c>
      <c r="AA9" s="16">
        <f>I9*M9</f>
        <v/>
      </c>
      <c r="AB9" s="16">
        <f>AA9*80%*85%</f>
        <v/>
      </c>
      <c r="AC9" s="17">
        <f>ROUND((T9+X9+Z9+AB9),0)</f>
        <v/>
      </c>
      <c r="AD9" s="18">
        <f>ROUND(AC9*R9,0)</f>
        <v/>
      </c>
      <c r="AE9" s="19" t="n"/>
      <c r="AF9" s="19" t="n"/>
      <c r="AG9" s="16">
        <f>AC9-AD9-AE9</f>
        <v/>
      </c>
      <c r="AH9" s="20" t="n">
        <v>2</v>
      </c>
      <c r="AI9" s="26" t="n"/>
      <c r="AJ9" s="3" t="n"/>
    </row>
    <row r="10" ht="23.5" customHeight="1">
      <c r="A10" s="6" t="n">
        <v>3</v>
      </c>
      <c r="B10" s="7" t="n"/>
      <c r="C10" s="8" t="inlineStr">
        <is>
          <t>NIP. …</t>
        </is>
      </c>
      <c r="D10" s="9" t="n"/>
      <c r="E10" s="8" t="n"/>
      <c r="F10" s="10" t="n"/>
      <c r="G10" s="10" t="n"/>
      <c r="H10" s="8" t="n"/>
      <c r="I10" s="11" t="n"/>
      <c r="J10" s="61" t="n"/>
      <c r="K10" s="12" t="n"/>
      <c r="L10" s="13" t="n"/>
      <c r="M10" s="13" t="n"/>
      <c r="N10" s="14">
        <f>I10*(SUM(J10:M10))*80% * 85%</f>
        <v/>
      </c>
      <c r="O10" s="75" t="n"/>
      <c r="P10" s="73" t="n"/>
      <c r="Q10" s="73" t="n"/>
      <c r="R10" s="15" t="n"/>
      <c r="S10" s="16">
        <f>I10*J10</f>
        <v/>
      </c>
      <c r="T10" s="16">
        <f>SUM(S10:S10)*80%*85%</f>
        <v/>
      </c>
      <c r="U10" s="16">
        <f>I10*K10*40%*O10</f>
        <v/>
      </c>
      <c r="V10" s="16">
        <f>IF(P10&gt;=6750,(I10*K10*40%),0)</f>
        <v/>
      </c>
      <c r="W10" s="16">
        <f>IF(P10&lt;6750,0,IF(Q10="kurang",I10*K10*10%,I10*K10*20%))</f>
        <v/>
      </c>
      <c r="X10" s="16">
        <f>SUM(U10:W10)*80%*85%</f>
        <v/>
      </c>
      <c r="Y10" s="16">
        <f>I10*L10</f>
        <v/>
      </c>
      <c r="Z10" s="16">
        <f>Y10*80%*85%</f>
        <v/>
      </c>
      <c r="AA10" s="16">
        <f>I10*M10</f>
        <v/>
      </c>
      <c r="AB10" s="16">
        <f>AA10*80%*85%</f>
        <v/>
      </c>
      <c r="AC10" s="17">
        <f>ROUND((T10+X10+Z10+AB10),0)</f>
        <v/>
      </c>
      <c r="AD10" s="18">
        <f>ROUND(AC10*R10,0)</f>
        <v/>
      </c>
      <c r="AE10" s="19" t="n"/>
      <c r="AF10" s="19" t="n"/>
      <c r="AG10" s="16">
        <f>AC10-AD10-AE10</f>
        <v/>
      </c>
      <c r="AH10" s="20" t="n">
        <v>3</v>
      </c>
      <c r="AI10" s="26" t="n"/>
      <c r="AJ10" s="3" t="n"/>
    </row>
    <row r="11" ht="23.5" customHeight="1">
      <c r="A11" s="6" t="n">
        <v>4</v>
      </c>
      <c r="B11" s="7" t="n"/>
      <c r="C11" s="8" t="inlineStr">
        <is>
          <t>NIP. …</t>
        </is>
      </c>
      <c r="D11" s="9" t="n"/>
      <c r="E11" s="8" t="n"/>
      <c r="F11" s="10" t="n"/>
      <c r="G11" s="10" t="n"/>
      <c r="H11" s="8" t="n"/>
      <c r="I11" s="11" t="n"/>
      <c r="J11" s="61" t="n"/>
      <c r="K11" s="12" t="n"/>
      <c r="L11" s="13" t="n"/>
      <c r="M11" s="13" t="n"/>
      <c r="N11" s="14">
        <f>I11*(SUM(J11:M11))*80% * 85%</f>
        <v/>
      </c>
      <c r="O11" s="75" t="n"/>
      <c r="P11" s="73" t="n"/>
      <c r="Q11" s="73" t="n"/>
      <c r="R11" s="15" t="n"/>
      <c r="S11" s="16">
        <f>I11*J11</f>
        <v/>
      </c>
      <c r="T11" s="16">
        <f>SUM(S11:S11)*80%*85%</f>
        <v/>
      </c>
      <c r="U11" s="16">
        <f>I11*K11*40%*O11</f>
        <v/>
      </c>
      <c r="V11" s="16">
        <f>IF(P11&gt;=6750,(I11*K11*40%),0)</f>
        <v/>
      </c>
      <c r="W11" s="16">
        <f>IF(P11&lt;6750,0,IF(Q11="kurang",I11*K11*10%,I11*K11*20%))</f>
        <v/>
      </c>
      <c r="X11" s="16">
        <f>SUM(U11:W11)*80%*85%</f>
        <v/>
      </c>
      <c r="Y11" s="16">
        <f>I11*L11</f>
        <v/>
      </c>
      <c r="Z11" s="16">
        <f>Y11*80%*85%</f>
        <v/>
      </c>
      <c r="AA11" s="16">
        <f>I11*M11</f>
        <v/>
      </c>
      <c r="AB11" s="16">
        <f>AA11*80%*85%</f>
        <v/>
      </c>
      <c r="AC11" s="17">
        <f>ROUND((T11+X11+Z11+AB11),0)</f>
        <v/>
      </c>
      <c r="AD11" s="18">
        <f>ROUND(AC11*R11,0)</f>
        <v/>
      </c>
      <c r="AE11" s="19" t="n"/>
      <c r="AF11" s="19" t="n"/>
      <c r="AG11" s="16">
        <f>AC11-AD11-AE11</f>
        <v/>
      </c>
      <c r="AH11" s="20" t="n">
        <v>4</v>
      </c>
      <c r="AI11" s="26" t="n"/>
      <c r="AJ11" s="3" t="n"/>
    </row>
    <row r="12" ht="23.5" customHeight="1">
      <c r="A12" s="6" t="n">
        <v>5</v>
      </c>
      <c r="B12" s="7" t="n"/>
      <c r="C12" s="8" t="inlineStr">
        <is>
          <t>NIP. …</t>
        </is>
      </c>
      <c r="D12" s="9" t="n"/>
      <c r="E12" s="8" t="n"/>
      <c r="F12" s="10" t="n"/>
      <c r="G12" s="10" t="n"/>
      <c r="H12" s="8" t="n"/>
      <c r="I12" s="11" t="n"/>
      <c r="J12" s="61" t="n"/>
      <c r="K12" s="12" t="n"/>
      <c r="L12" s="13" t="n"/>
      <c r="M12" s="13" t="n"/>
      <c r="N12" s="14">
        <f>I12*(SUM(J12:M12))*80% * 85%</f>
        <v/>
      </c>
      <c r="O12" s="75" t="n"/>
      <c r="P12" s="73" t="n"/>
      <c r="Q12" s="73" t="n"/>
      <c r="R12" s="15" t="n"/>
      <c r="S12" s="16">
        <f>I12*J12</f>
        <v/>
      </c>
      <c r="T12" s="16">
        <f>SUM(S12:S12)*80%*85%</f>
        <v/>
      </c>
      <c r="U12" s="16">
        <f>I12*K12*40%*O12</f>
        <v/>
      </c>
      <c r="V12" s="16">
        <f>IF(P12&gt;=6750,(I12*K12*40%),0)</f>
        <v/>
      </c>
      <c r="W12" s="16">
        <f>IF(P12&lt;6750,0,IF(Q12="kurang",I12*K12*10%,I12*K12*20%))</f>
        <v/>
      </c>
      <c r="X12" s="16">
        <f>SUM(U12:W12)*80%*85%</f>
        <v/>
      </c>
      <c r="Y12" s="16">
        <f>I12*L12</f>
        <v/>
      </c>
      <c r="Z12" s="16">
        <f>Y12*80%*85%</f>
        <v/>
      </c>
      <c r="AA12" s="16">
        <f>I12*M12</f>
        <v/>
      </c>
      <c r="AB12" s="16">
        <f>AA12*80%*85%</f>
        <v/>
      </c>
      <c r="AC12" s="17">
        <f>ROUND((T12+X12+Z12+AB12),0)</f>
        <v/>
      </c>
      <c r="AD12" s="18">
        <f>ROUND(AC12*R12,0)</f>
        <v/>
      </c>
      <c r="AE12" s="19" t="n"/>
      <c r="AF12" s="19" t="n"/>
      <c r="AG12" s="16">
        <f>AC12-AD12-AE12</f>
        <v/>
      </c>
      <c r="AH12" s="20" t="n">
        <v>5</v>
      </c>
      <c r="AI12" s="26" t="n"/>
      <c r="AJ12" s="3" t="n"/>
    </row>
    <row r="13" ht="23.5" customHeight="1">
      <c r="A13" s="6" t="n">
        <v>6</v>
      </c>
      <c r="B13" s="7" t="n"/>
      <c r="C13" s="8" t="inlineStr">
        <is>
          <t>NIP. …</t>
        </is>
      </c>
      <c r="D13" s="9" t="n"/>
      <c r="E13" s="8" t="n"/>
      <c r="F13" s="10" t="n"/>
      <c r="G13" s="10" t="n"/>
      <c r="H13" s="8" t="n"/>
      <c r="I13" s="11" t="n"/>
      <c r="J13" s="61" t="n"/>
      <c r="K13" s="12" t="n"/>
      <c r="L13" s="13" t="n"/>
      <c r="M13" s="13" t="n"/>
      <c r="N13" s="14">
        <f>I13*(SUM(J13:M13))*80% * 85%</f>
        <v/>
      </c>
      <c r="O13" s="75" t="n"/>
      <c r="P13" s="73" t="n"/>
      <c r="Q13" s="73" t="n"/>
      <c r="R13" s="15" t="n"/>
      <c r="S13" s="16">
        <f>I13*J13</f>
        <v/>
      </c>
      <c r="T13" s="16">
        <f>SUM(S13:S13)*80%*85%</f>
        <v/>
      </c>
      <c r="U13" s="16">
        <f>I13*K13*40%*O13</f>
        <v/>
      </c>
      <c r="V13" s="16">
        <f>IF(P13&gt;=6750,(I13*K13*40%),0)</f>
        <v/>
      </c>
      <c r="W13" s="16">
        <f>IF(P13&lt;6750,0,IF(Q13="kurang",I13*K13*10%,I13*K13*20%))</f>
        <v/>
      </c>
      <c r="X13" s="16">
        <f>SUM(U13:W13)*80%*85%</f>
        <v/>
      </c>
      <c r="Y13" s="16">
        <f>I13*L13</f>
        <v/>
      </c>
      <c r="Z13" s="16">
        <f>Y13*80%*85%</f>
        <v/>
      </c>
      <c r="AA13" s="16">
        <f>I13*M13</f>
        <v/>
      </c>
      <c r="AB13" s="16">
        <f>AA13*80%*85%</f>
        <v/>
      </c>
      <c r="AC13" s="17">
        <f>ROUND((T13+X13+Z13+AB13),0)</f>
        <v/>
      </c>
      <c r="AD13" s="18">
        <f>ROUND(AC13*R13,0)</f>
        <v/>
      </c>
      <c r="AE13" s="19" t="n"/>
      <c r="AF13" s="19" t="n"/>
      <c r="AG13" s="16">
        <f>AC13-AD13-AE13</f>
        <v/>
      </c>
      <c r="AH13" s="20" t="n">
        <v>6</v>
      </c>
      <c r="AI13" s="26" t="n"/>
      <c r="AJ13" s="3" t="n"/>
    </row>
    <row r="14" ht="23.5" customHeight="1">
      <c r="A14" s="6" t="n">
        <v>7</v>
      </c>
      <c r="B14" s="7" t="n"/>
      <c r="C14" s="8" t="inlineStr">
        <is>
          <t>NIP. …</t>
        </is>
      </c>
      <c r="D14" s="9" t="n"/>
      <c r="E14" s="8" t="n"/>
      <c r="F14" s="10" t="n"/>
      <c r="G14" s="10" t="n"/>
      <c r="H14" s="8" t="n"/>
      <c r="I14" s="11" t="n"/>
      <c r="J14" s="61" t="n"/>
      <c r="K14" s="12" t="n"/>
      <c r="L14" s="13" t="n"/>
      <c r="M14" s="13" t="n"/>
      <c r="N14" s="14">
        <f>I14*(SUM(J14:M14))*80% * 85%</f>
        <v/>
      </c>
      <c r="O14" s="75" t="n"/>
      <c r="P14" s="73" t="n"/>
      <c r="Q14" s="73" t="n"/>
      <c r="R14" s="15" t="n"/>
      <c r="S14" s="16">
        <f>I14*J14</f>
        <v/>
      </c>
      <c r="T14" s="16">
        <f>SUM(S14:S14)*80%*85%</f>
        <v/>
      </c>
      <c r="U14" s="16">
        <f>I14*K14*40%*O14</f>
        <v/>
      </c>
      <c r="V14" s="16">
        <f>IF(P14&gt;=6750,(I14*K14*40%),0)</f>
        <v/>
      </c>
      <c r="W14" s="16">
        <f>IF(P14&lt;6750,0,IF(Q14="kurang",I14*K14*10%,I14*K14*20%))</f>
        <v/>
      </c>
      <c r="X14" s="16">
        <f>SUM(U14:W14)*80%*85%</f>
        <v/>
      </c>
      <c r="Y14" s="16">
        <f>I14*L14</f>
        <v/>
      </c>
      <c r="Z14" s="16">
        <f>Y14*80%*85%</f>
        <v/>
      </c>
      <c r="AA14" s="16">
        <f>I14*M14</f>
        <v/>
      </c>
      <c r="AB14" s="16">
        <f>AA14*80%*85%</f>
        <v/>
      </c>
      <c r="AC14" s="17">
        <f>ROUND((T14+X14+Z14+AB14),0)</f>
        <v/>
      </c>
      <c r="AD14" s="18">
        <f>ROUND(AC14*R14,0)</f>
        <v/>
      </c>
      <c r="AE14" s="19" t="n"/>
      <c r="AF14" s="19" t="n"/>
      <c r="AG14" s="16">
        <f>AC14-AD14-AE14</f>
        <v/>
      </c>
      <c r="AH14" s="20" t="n">
        <v>7</v>
      </c>
      <c r="AI14" s="26" t="n"/>
      <c r="AJ14" s="3" t="n"/>
    </row>
    <row r="15" ht="23.5" customHeight="1">
      <c r="A15" s="6" t="n">
        <v>8</v>
      </c>
      <c r="B15" s="7" t="n"/>
      <c r="C15" s="8" t="inlineStr">
        <is>
          <t>NIP. …</t>
        </is>
      </c>
      <c r="D15" s="9" t="n"/>
      <c r="E15" s="8" t="n"/>
      <c r="F15" s="10" t="n"/>
      <c r="G15" s="10" t="n"/>
      <c r="H15" s="8" t="n"/>
      <c r="I15" s="11" t="n"/>
      <c r="J15" s="61" t="n"/>
      <c r="K15" s="12" t="n"/>
      <c r="L15" s="13" t="n"/>
      <c r="M15" s="13" t="n"/>
      <c r="N15" s="14">
        <f>I15*(SUM(J15:M15))*80% * 85%</f>
        <v/>
      </c>
      <c r="O15" s="75" t="n"/>
      <c r="P15" s="73" t="n"/>
      <c r="Q15" s="73" t="n"/>
      <c r="R15" s="15" t="n"/>
      <c r="S15" s="16">
        <f>I15*J15</f>
        <v/>
      </c>
      <c r="T15" s="16">
        <f>SUM(S15:S15)*80%*85%</f>
        <v/>
      </c>
      <c r="U15" s="16">
        <f>I15*K15*40%*O15</f>
        <v/>
      </c>
      <c r="V15" s="16">
        <f>IF(P15&gt;=6750,(I15*K15*40%),0)</f>
        <v/>
      </c>
      <c r="W15" s="16">
        <f>IF(P15&lt;6750,0,IF(Q15="kurang",I15*K15*10%,I15*K15*20%))</f>
        <v/>
      </c>
      <c r="X15" s="16">
        <f>SUM(U15:W15)*80%*85%</f>
        <v/>
      </c>
      <c r="Y15" s="16">
        <f>I15*L15</f>
        <v/>
      </c>
      <c r="Z15" s="16">
        <f>Y15*80%*85%</f>
        <v/>
      </c>
      <c r="AA15" s="16">
        <f>I15*M15</f>
        <v/>
      </c>
      <c r="AB15" s="16">
        <f>AA15*80%*85%</f>
        <v/>
      </c>
      <c r="AC15" s="17">
        <f>ROUND((T15+X15+Z15+AB15),0)</f>
        <v/>
      </c>
      <c r="AD15" s="18">
        <f>ROUND(AC15*R15,0)</f>
        <v/>
      </c>
      <c r="AE15" s="19" t="n"/>
      <c r="AF15" s="19" t="n"/>
      <c r="AG15" s="16">
        <f>AC15-AD15-AE15</f>
        <v/>
      </c>
      <c r="AH15" s="20" t="n">
        <v>8</v>
      </c>
      <c r="AI15" s="26" t="n"/>
      <c r="AJ15" s="3" t="n"/>
    </row>
    <row r="16" ht="23.5" customHeight="1">
      <c r="A16" s="6" t="n">
        <v>9</v>
      </c>
      <c r="B16" s="7" t="n"/>
      <c r="C16" s="8" t="inlineStr">
        <is>
          <t>NIP. …</t>
        </is>
      </c>
      <c r="D16" s="9" t="n"/>
      <c r="E16" s="8" t="n"/>
      <c r="F16" s="10" t="n"/>
      <c r="G16" s="10" t="n"/>
      <c r="H16" s="8" t="n"/>
      <c r="I16" s="11" t="n"/>
      <c r="J16" s="61" t="n"/>
      <c r="K16" s="12" t="n"/>
      <c r="L16" s="13" t="n"/>
      <c r="M16" s="13" t="n"/>
      <c r="N16" s="14">
        <f>I16*(SUM(J16:M16))*80% * 85%</f>
        <v/>
      </c>
      <c r="O16" s="75" t="n"/>
      <c r="P16" s="73" t="n"/>
      <c r="Q16" s="73" t="n"/>
      <c r="R16" s="15" t="n"/>
      <c r="S16" s="16">
        <f>I16*J16</f>
        <v/>
      </c>
      <c r="T16" s="16">
        <f>SUM(S16:S16)*80%*85%</f>
        <v/>
      </c>
      <c r="U16" s="16">
        <f>I16*K16*40%*O16</f>
        <v/>
      </c>
      <c r="V16" s="16">
        <f>IF(P16&gt;=6750,(I16*K16*40%),0)</f>
        <v/>
      </c>
      <c r="W16" s="16">
        <f>IF(P16&lt;6750,0,IF(Q16="kurang",I16*K16*10%,I16*K16*20%))</f>
        <v/>
      </c>
      <c r="X16" s="16">
        <f>SUM(U16:W16)*80%*85%</f>
        <v/>
      </c>
      <c r="Y16" s="16">
        <f>I16*L16</f>
        <v/>
      </c>
      <c r="Z16" s="16">
        <f>Y16*80%*85%</f>
        <v/>
      </c>
      <c r="AA16" s="16">
        <f>I16*M16</f>
        <v/>
      </c>
      <c r="AB16" s="16">
        <f>AA16*80%*85%</f>
        <v/>
      </c>
      <c r="AC16" s="17">
        <f>ROUND((T16+X16+Z16+AB16),0)</f>
        <v/>
      </c>
      <c r="AD16" s="18">
        <f>ROUND(AC16*R16,0)</f>
        <v/>
      </c>
      <c r="AE16" s="19" t="n"/>
      <c r="AF16" s="19" t="n"/>
      <c r="AG16" s="16">
        <f>AC16-AD16-AE16</f>
        <v/>
      </c>
      <c r="AH16" s="20" t="n">
        <v>9</v>
      </c>
      <c r="AI16" s="26" t="n"/>
      <c r="AJ16" s="3" t="n"/>
    </row>
    <row r="17" ht="23.5" customHeight="1">
      <c r="A17" s="6" t="n">
        <v>10</v>
      </c>
      <c r="B17" s="7" t="n"/>
      <c r="C17" s="8" t="inlineStr">
        <is>
          <t>NIP. …</t>
        </is>
      </c>
      <c r="D17" s="9" t="n"/>
      <c r="E17" s="8" t="n"/>
      <c r="F17" s="10" t="n"/>
      <c r="G17" s="10" t="n"/>
      <c r="H17" s="8" t="n"/>
      <c r="I17" s="11" t="n"/>
      <c r="J17" s="61" t="n"/>
      <c r="K17" s="12" t="n"/>
      <c r="L17" s="13" t="n"/>
      <c r="M17" s="13" t="n"/>
      <c r="N17" s="14">
        <f>I17*(SUM(J17:M17))*80% * 85%</f>
        <v/>
      </c>
      <c r="O17" s="75" t="n"/>
      <c r="P17" s="73" t="n"/>
      <c r="Q17" s="73" t="n"/>
      <c r="R17" s="15" t="n"/>
      <c r="S17" s="16">
        <f>I17*J17</f>
        <v/>
      </c>
      <c r="T17" s="16">
        <f>SUM(S17:S17)*80%*85%</f>
        <v/>
      </c>
      <c r="U17" s="16">
        <f>I17*K17*40%*O17</f>
        <v/>
      </c>
      <c r="V17" s="16">
        <f>IF(P17&gt;=6750,(I17*K17*40%),0)</f>
        <v/>
      </c>
      <c r="W17" s="16">
        <f>IF(P17&lt;6750,0,IF(Q17="kurang",I17*K17*10%,I17*K17*20%))</f>
        <v/>
      </c>
      <c r="X17" s="16">
        <f>SUM(U17:W17)*80%*85%</f>
        <v/>
      </c>
      <c r="Y17" s="16">
        <f>I17*L17</f>
        <v/>
      </c>
      <c r="Z17" s="16">
        <f>Y17*80%*85%</f>
        <v/>
      </c>
      <c r="AA17" s="16">
        <f>I17*M17</f>
        <v/>
      </c>
      <c r="AB17" s="16">
        <f>AA17*80%*85%</f>
        <v/>
      </c>
      <c r="AC17" s="17">
        <f>ROUND((T17+X17+Z17+AB17),0)</f>
        <v/>
      </c>
      <c r="AD17" s="18">
        <f>ROUND(AC17*R17,0)</f>
        <v/>
      </c>
      <c r="AE17" s="19" t="n"/>
      <c r="AF17" s="19" t="n"/>
      <c r="AG17" s="16">
        <f>AC17-AD17-AE17</f>
        <v/>
      </c>
      <c r="AH17" s="20" t="n">
        <v>10</v>
      </c>
      <c r="AI17" s="26" t="n"/>
      <c r="AJ17" s="3" t="n"/>
    </row>
    <row r="18">
      <c r="B18" s="30" t="n"/>
      <c r="C18" s="30" t="n"/>
      <c r="D18" s="30" t="n"/>
      <c r="E18" s="30" t="n"/>
      <c r="F18" s="30" t="n"/>
      <c r="G18" s="30" t="n"/>
      <c r="H18" s="30" t="n"/>
      <c r="I18" s="30" t="n"/>
      <c r="K18" s="31" t="n"/>
      <c r="L18" s="32" t="n"/>
      <c r="M18" s="32" t="n"/>
      <c r="N18" s="14">
        <f>I18*(SUM(K18:M18))</f>
        <v/>
      </c>
      <c r="O18" s="33" t="n"/>
      <c r="P18" s="34" t="n"/>
      <c r="Q18" s="34" t="n"/>
      <c r="R18" s="34" t="n"/>
      <c r="S18" s="35" t="n"/>
      <c r="T18" s="34">
        <f>SUM(T8:T17)</f>
        <v/>
      </c>
      <c r="U18" s="35" t="n"/>
      <c r="V18" s="35" t="n"/>
      <c r="W18" s="35" t="n"/>
      <c r="X18" s="34">
        <f>SUM(X8:X17)</f>
        <v/>
      </c>
      <c r="Y18" s="35" t="n"/>
      <c r="Z18" s="16">
        <f>Y18</f>
        <v/>
      </c>
      <c r="AA18" s="35" t="n"/>
      <c r="AB18" s="16">
        <f>AA18</f>
        <v/>
      </c>
      <c r="AC18" s="34">
        <f>SUM(AC8:AC17)</f>
        <v/>
      </c>
      <c r="AD18" s="34">
        <f>SUM(AD8:AD17)</f>
        <v/>
      </c>
      <c r="AE18" s="34">
        <f>SUM(AE8:AE17)</f>
        <v/>
      </c>
      <c r="AF18" s="34">
        <f>SUM(AF8:AF17)</f>
        <v/>
      </c>
      <c r="AG18" s="34">
        <f>SUM(AG8:AG17)</f>
        <v/>
      </c>
      <c r="AH18" s="36" t="n"/>
      <c r="AI18" s="37" t="n"/>
    </row>
    <row r="19" ht="20" customHeight="1">
      <c r="B19" s="30" t="n"/>
      <c r="C19" s="30" t="n"/>
      <c r="D19" s="30" t="n"/>
      <c r="E19" s="30" t="n"/>
      <c r="F19" s="30" t="n"/>
      <c r="G19" s="30" t="n"/>
      <c r="H19" s="30" t="n"/>
      <c r="I19" s="30" t="n"/>
      <c r="K19" s="30" t="n"/>
      <c r="L19" s="30" t="n"/>
      <c r="M19" s="30" t="n"/>
      <c r="N19" s="62" t="n"/>
      <c r="O19" s="63" t="n"/>
      <c r="P19" s="62" t="n"/>
      <c r="Q19" s="62" t="n"/>
      <c r="R19" s="62" t="n"/>
      <c r="S19" s="64" t="n"/>
      <c r="T19" s="65" t="n"/>
      <c r="U19" s="66" t="n"/>
      <c r="V19" s="66" t="n"/>
      <c r="W19" s="66" t="n"/>
      <c r="X19" s="62" t="n"/>
      <c r="Y19" s="64" t="n"/>
      <c r="Z19" s="16" t="n"/>
      <c r="AA19" s="64" t="n"/>
      <c r="AB19" s="16" t="n"/>
      <c r="AD19" s="62" t="n"/>
      <c r="AE19" s="62" t="n"/>
      <c r="AF19" s="62" t="n"/>
      <c r="AG19" s="62" t="n"/>
      <c r="AH19" s="30" t="n"/>
      <c r="AI19" s="30" t="n"/>
      <c r="AJ19" s="67" t="n"/>
    </row>
    <row r="20">
      <c r="B20" s="78" t="inlineStr">
        <is>
          <t>Mengetahui</t>
        </is>
      </c>
      <c r="D20" s="30" t="n"/>
      <c r="E20" s="30" t="n"/>
      <c r="F20" s="30" t="n"/>
      <c r="G20" s="30" t="n"/>
      <c r="H20" s="30" t="n"/>
      <c r="I20" s="30" t="n"/>
      <c r="K20" s="30" t="n"/>
      <c r="L20" s="30" t="n"/>
      <c r="M20" s="30" t="n"/>
      <c r="N20" s="38" t="n"/>
      <c r="O20" s="68" t="n"/>
      <c r="P20" s="38" t="n"/>
      <c r="Q20" s="38" t="n"/>
      <c r="R20" s="38" t="n"/>
      <c r="S20" s="118" t="n"/>
      <c r="X20" s="30" t="n"/>
      <c r="Y20" s="30" t="n"/>
      <c r="Z20" s="30" t="n"/>
      <c r="AA20" s="30" t="n"/>
      <c r="AB20" s="30" t="n"/>
      <c r="AD20" s="69" t="n"/>
      <c r="AE20" s="69" t="n"/>
      <c r="AF20" s="69" t="n"/>
      <c r="AG20" s="69" t="n"/>
      <c r="AH20" s="30" t="n"/>
      <c r="AI20" s="41" t="n"/>
      <c r="AJ20" s="67" t="n"/>
    </row>
    <row r="21" ht="14.5" customHeight="1">
      <c r="B21" s="39" t="inlineStr">
        <is>
          <t>Pengguna Anggaran,</t>
        </is>
      </c>
      <c r="C21" s="39" t="n"/>
      <c r="D21" s="30" t="n"/>
      <c r="E21" s="30" t="n"/>
      <c r="F21" s="30" t="n"/>
      <c r="G21" s="30" t="n"/>
      <c r="H21" s="30" t="n"/>
      <c r="I21" s="30" t="n"/>
      <c r="K21" s="30" t="n"/>
      <c r="L21" s="30" t="n"/>
      <c r="M21" s="30" t="n"/>
      <c r="N21" s="38" t="n"/>
      <c r="O21" s="68" t="n"/>
      <c r="P21" s="38" t="n"/>
      <c r="Q21" s="38" t="n"/>
      <c r="R21" s="38" t="n"/>
      <c r="Y21" s="30" t="n"/>
      <c r="Z21" s="30" t="n"/>
      <c r="AA21" s="30" t="n"/>
      <c r="AB21" s="30" t="n"/>
      <c r="AD21" s="119" t="inlineStr">
        <is>
          <t>Bendahara Pengeluaran</t>
        </is>
      </c>
      <c r="AH21" s="30" t="n"/>
      <c r="AI21" s="41" t="n"/>
    </row>
    <row r="22">
      <c r="B22" s="42" t="n"/>
      <c r="C22" s="42" t="n"/>
      <c r="D22" s="30" t="n"/>
      <c r="E22" s="30" t="n"/>
      <c r="F22" s="30" t="n"/>
      <c r="G22" s="30" t="n"/>
      <c r="H22" s="30" t="n"/>
      <c r="I22" s="30" t="n"/>
      <c r="K22" s="30" t="n"/>
      <c r="L22" s="30" t="n"/>
      <c r="M22" s="30" t="n"/>
      <c r="N22" s="43" t="n"/>
      <c r="O22" s="68" t="n"/>
      <c r="P22" s="43" t="n"/>
      <c r="Q22" s="43" t="n"/>
      <c r="R22" s="43" t="n"/>
      <c r="Y22" s="30" t="n"/>
      <c r="Z22" s="30" t="n"/>
      <c r="AA22" s="30" t="n"/>
      <c r="AB22" s="30" t="n"/>
      <c r="AD22" s="38" t="n"/>
      <c r="AE22" s="38" t="n"/>
      <c r="AF22" s="38" t="n"/>
      <c r="AG22" s="38" t="n"/>
      <c r="AH22" s="30" t="n"/>
      <c r="AI22" s="43" t="n"/>
    </row>
    <row r="23">
      <c r="B23" s="42" t="n"/>
      <c r="C23" s="42" t="n"/>
      <c r="D23" s="30" t="n"/>
      <c r="E23" s="30" t="n"/>
      <c r="F23" s="30" t="n"/>
      <c r="G23" s="30" t="n"/>
      <c r="H23" s="30" t="n"/>
      <c r="I23" s="30" t="n"/>
      <c r="K23" s="30" t="n"/>
      <c r="L23" s="30" t="n"/>
      <c r="M23" s="30" t="n"/>
      <c r="N23" s="38" t="n"/>
      <c r="O23" s="68" t="n"/>
      <c r="P23" s="38" t="n"/>
      <c r="Q23" s="38" t="n"/>
      <c r="R23" s="38" t="n"/>
      <c r="Y23" s="30" t="n"/>
      <c r="Z23" s="30" t="n"/>
      <c r="AA23" s="30" t="n"/>
      <c r="AB23" s="30" t="n"/>
      <c r="AD23" s="44" t="n"/>
      <c r="AE23" s="119" t="n"/>
      <c r="AF23" s="119" t="n"/>
      <c r="AG23" s="44" t="n"/>
      <c r="AH23" s="30" t="n"/>
      <c r="AI23" s="30" t="n"/>
    </row>
    <row r="24">
      <c r="B24" s="45" t="n"/>
      <c r="C24" s="45" t="n"/>
      <c r="Z24" s="30" t="n"/>
      <c r="AB24" s="30" t="n"/>
      <c r="AD24" s="44" t="n"/>
      <c r="AE24" s="119" t="n"/>
      <c r="AF24" s="119" t="n"/>
      <c r="AG24" s="44" t="n"/>
    </row>
    <row r="25">
      <c r="B25" s="45" t="n"/>
      <c r="C25" s="45" t="n"/>
      <c r="AC25" s="30" t="n"/>
      <c r="AD25" s="44" t="n"/>
      <c r="AE25" s="119" t="n"/>
      <c r="AF25" s="119" t="n"/>
      <c r="AG25" s="44" t="n"/>
    </row>
    <row r="26">
      <c r="B26" s="79" t="inlineStr">
        <is>
          <t>…</t>
        </is>
      </c>
      <c r="AC26" s="30" t="n"/>
      <c r="AD26" s="79" t="inlineStr">
        <is>
          <t>…</t>
        </is>
      </c>
    </row>
    <row r="27">
      <c r="B27" s="49" t="inlineStr">
        <is>
          <t>NIP. …</t>
        </is>
      </c>
      <c r="C27" s="49" t="n"/>
      <c r="S27" s="77" t="n"/>
      <c r="AD27" s="79" t="inlineStr">
        <is>
          <t>NIP. …</t>
        </is>
      </c>
    </row>
    <row r="28"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</row>
    <row r="29">
      <c r="V29" s="30" t="n"/>
      <c r="W29" s="30" t="n"/>
      <c r="X29" s="30" t="n"/>
      <c r="Y29" s="30" t="n"/>
      <c r="Z29" s="30" t="n"/>
      <c r="AA29" s="30" t="n"/>
      <c r="AB29" s="30" t="n"/>
      <c r="AC29" s="50" t="inlineStr">
        <is>
          <t xml:space="preserve"> </t>
        </is>
      </c>
      <c r="AD29" s="50" t="n"/>
      <c r="AE29" s="50" t="n"/>
      <c r="AF29" s="50" t="n"/>
      <c r="AG29" s="50" t="n"/>
      <c r="AH29" s="30" t="n"/>
    </row>
    <row r="30">
      <c r="V30" s="30" t="n"/>
      <c r="W30" s="30" t="n"/>
      <c r="X30" s="30" t="n"/>
      <c r="Y30" s="30" t="n"/>
      <c r="Z30" s="30" t="n"/>
      <c r="AA30" s="30" t="n"/>
      <c r="AB30" s="30" t="n"/>
      <c r="AC30" s="50" t="n"/>
      <c r="AD30" s="50" t="n"/>
      <c r="AE30" s="50" t="n"/>
      <c r="AF30" s="50" t="n"/>
      <c r="AG30" s="50" t="n"/>
      <c r="AH30" s="30" t="n"/>
    </row>
    <row r="31">
      <c r="V31" s="30" t="n"/>
      <c r="W31" s="30" t="n"/>
      <c r="X31" s="30" t="n"/>
      <c r="Y31" s="30" t="n"/>
      <c r="Z31" s="30" t="n"/>
      <c r="AA31" s="30" t="n"/>
      <c r="AB31" s="30" t="n"/>
      <c r="AC31" s="69" t="n"/>
      <c r="AD31" s="69" t="n"/>
      <c r="AE31" s="69" t="n"/>
      <c r="AF31" s="69" t="n"/>
      <c r="AG31" s="69" t="n"/>
      <c r="AH31" s="30" t="n"/>
    </row>
    <row r="32">
      <c r="V32" s="30" t="n"/>
      <c r="W32" s="30" t="n"/>
      <c r="X32" s="30" t="n"/>
      <c r="Y32" s="30" t="n"/>
      <c r="Z32" s="30" t="n"/>
      <c r="AA32" s="30" t="n"/>
      <c r="AB32" s="30" t="n"/>
      <c r="AC32" s="50" t="n"/>
      <c r="AD32" s="50" t="n"/>
      <c r="AE32" s="50" t="n"/>
      <c r="AF32" s="50" t="n"/>
      <c r="AG32" s="50" t="n"/>
      <c r="AH32" s="30" t="n"/>
      <c r="AI32" s="30" t="n"/>
    </row>
    <row r="33">
      <c r="V33" s="30" t="n"/>
      <c r="W33" s="30" t="n"/>
      <c r="X33" s="30" t="n"/>
      <c r="Y33" s="30" t="n"/>
      <c r="Z33" s="30" t="n"/>
      <c r="AA33" s="30" t="n"/>
      <c r="AB33" s="30" t="n"/>
      <c r="AC33" s="50" t="n"/>
      <c r="AD33" s="50" t="n"/>
      <c r="AE33" s="50" t="n"/>
      <c r="AF33" s="50" t="n"/>
      <c r="AG33" s="50" t="n"/>
      <c r="AH33" s="30" t="n"/>
      <c r="AI33" s="30" t="n"/>
    </row>
    <row r="34"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</row>
    <row r="35">
      <c r="T35" s="52" t="n"/>
      <c r="V35" s="30" t="n"/>
      <c r="W35" s="30" t="n"/>
      <c r="X35" s="52" t="n"/>
      <c r="Y35" s="30" t="n"/>
      <c r="Z35" s="52" t="n"/>
      <c r="AA35" s="30" t="n"/>
      <c r="AB35" s="52" t="n"/>
      <c r="AC35" s="52" t="n"/>
      <c r="AD35" s="52" t="n"/>
      <c r="AE35" s="52" t="n"/>
      <c r="AF35" s="52" t="n"/>
      <c r="AG35" s="52" t="n"/>
      <c r="AH35" s="30" t="n"/>
      <c r="AI35" s="30" t="n"/>
    </row>
    <row r="36">
      <c r="T36" s="53" t="n"/>
      <c r="U36" s="53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30" t="n"/>
      <c r="AI36" s="30" t="n"/>
    </row>
    <row r="37">
      <c r="T37" s="53" t="n"/>
      <c r="U37" s="53" t="n"/>
      <c r="V37" s="50" t="n"/>
      <c r="W37" s="50" t="n"/>
      <c r="X37" s="53" t="n"/>
      <c r="Y37" s="50" t="n"/>
      <c r="Z37" s="53" t="n"/>
      <c r="AA37" s="50" t="n"/>
      <c r="AB37" s="53" t="n"/>
      <c r="AC37" s="53" t="n"/>
      <c r="AD37" s="53" t="n"/>
      <c r="AE37" s="53" t="n"/>
      <c r="AF37" s="53" t="n"/>
      <c r="AG37" s="53" t="n"/>
      <c r="AH37" s="30" t="n"/>
      <c r="AI37" s="30" t="n"/>
    </row>
    <row r="38">
      <c r="T38" s="53" t="n"/>
      <c r="U38" s="54" t="n"/>
      <c r="V38" s="55" t="n"/>
      <c r="W38" s="55" t="n"/>
      <c r="X38" s="53" t="n"/>
      <c r="Y38" s="55" t="n"/>
      <c r="Z38" s="53" t="n"/>
      <c r="AA38" s="55" t="n"/>
      <c r="AB38" s="53" t="n"/>
      <c r="AC38" s="53" t="n"/>
      <c r="AD38" s="53" t="n"/>
      <c r="AE38" s="53" t="n"/>
      <c r="AF38" s="53" t="n"/>
      <c r="AG38" s="53" t="n"/>
      <c r="AH38" s="30" t="n"/>
      <c r="AI38" s="30" t="n"/>
    </row>
    <row r="39">
      <c r="T39" s="54" t="n"/>
      <c r="U39" s="54" t="n"/>
      <c r="V39" s="55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5" t="n"/>
      <c r="AF39" s="55" t="n"/>
      <c r="AG39" s="55" t="n"/>
      <c r="AH39" s="30" t="n"/>
      <c r="AI39" s="30" t="n"/>
    </row>
    <row r="40">
      <c r="T40" s="54" t="n"/>
      <c r="U40" s="54" t="n"/>
      <c r="V40" s="55" t="n"/>
      <c r="W40" s="55" t="n"/>
      <c r="X40" s="55" t="n"/>
      <c r="Y40" s="55" t="n"/>
      <c r="Z40" s="55" t="n"/>
      <c r="AA40" s="55" t="n"/>
      <c r="AB40" s="55" t="n"/>
      <c r="AC40" s="55" t="n"/>
      <c r="AD40" s="55" t="n"/>
      <c r="AE40" s="55" t="n"/>
      <c r="AF40" s="55" t="n"/>
      <c r="AG40" s="55" t="n"/>
      <c r="AH40" s="30" t="n"/>
      <c r="AI40" s="30" t="n"/>
    </row>
    <row r="41"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</row>
    <row r="42"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</row>
    <row r="43">
      <c r="V43" s="30" t="n"/>
      <c r="W43" s="30" t="n"/>
      <c r="X43" s="30" t="n"/>
      <c r="Y43" s="30" t="n"/>
      <c r="Z43" s="30" t="n"/>
      <c r="AA43" s="30" t="n"/>
      <c r="AB43" s="30" t="n"/>
      <c r="AC43" s="30" t="n"/>
      <c r="AD43" s="30" t="n"/>
      <c r="AE43" s="30" t="n"/>
      <c r="AF43" s="30" t="n"/>
      <c r="AG43" s="30" t="n"/>
      <c r="AH43" s="30" t="n"/>
      <c r="AI43" s="30" t="n"/>
    </row>
    <row r="44">
      <c r="V44" s="30" t="n"/>
      <c r="W44" s="30" t="n"/>
      <c r="X44" s="30" t="n"/>
      <c r="Y44" s="30" t="n"/>
      <c r="Z44" s="30" t="n"/>
      <c r="AA44" s="30" t="n"/>
      <c r="AB44" s="30" t="n"/>
      <c r="AC44" s="30" t="n"/>
      <c r="AD44" s="30" t="n"/>
      <c r="AE44" s="30" t="n"/>
      <c r="AF44" s="30" t="n"/>
      <c r="AG44" s="30" t="n"/>
      <c r="AH44" s="30" t="n"/>
      <c r="AI44" s="30" t="n"/>
    </row>
    <row r="45">
      <c r="V45" s="30" t="n"/>
      <c r="W45" s="30" t="n"/>
      <c r="X45" s="30" t="n"/>
      <c r="Y45" s="30" t="n"/>
      <c r="Z45" s="30" t="n"/>
      <c r="AA45" s="30" t="n"/>
      <c r="AB45" s="30" t="n"/>
      <c r="AC45" s="30" t="n"/>
      <c r="AD45" s="30" t="n"/>
      <c r="AE45" s="30" t="n"/>
      <c r="AF45" s="30" t="n"/>
      <c r="AG45" s="30" t="n"/>
      <c r="AH45" s="30" t="n"/>
      <c r="AI45" s="30" t="n"/>
    </row>
    <row r="46">
      <c r="V46" s="30" t="n"/>
      <c r="W46" s="30" t="n"/>
      <c r="X46" s="30" t="n"/>
      <c r="Y46" s="30" t="n"/>
      <c r="Z46" s="30" t="n"/>
      <c r="AA46" s="30" t="n"/>
      <c r="AB46" s="30" t="n"/>
      <c r="AC46" s="30" t="n"/>
      <c r="AD46" s="30" t="n"/>
      <c r="AE46" s="30" t="n"/>
      <c r="AF46" s="30" t="n"/>
      <c r="AG46" s="30" t="n"/>
      <c r="AH46" s="30" t="n"/>
      <c r="AI46" s="30" t="n"/>
    </row>
    <row r="47">
      <c r="V47" s="30" t="n"/>
      <c r="W47" s="30" t="n"/>
      <c r="X47" s="30" t="n"/>
      <c r="Y47" s="30" t="n"/>
      <c r="Z47" s="30" t="n"/>
      <c r="AA47" s="30" t="n"/>
      <c r="AB47" s="30" t="n"/>
      <c r="AC47" s="30" t="n"/>
      <c r="AD47" s="30" t="n"/>
      <c r="AE47" s="30" t="n"/>
      <c r="AF47" s="30" t="n"/>
      <c r="AG47" s="30" t="n"/>
      <c r="AH47" s="30" t="n"/>
      <c r="AI47" s="30" t="n"/>
    </row>
    <row r="48">
      <c r="V48" s="30" t="n"/>
      <c r="W48" s="30" t="n"/>
      <c r="X48" s="30" t="n"/>
      <c r="Y48" s="30" t="n"/>
      <c r="Z48" s="30" t="n"/>
      <c r="AA48" s="30" t="n"/>
      <c r="AB48" s="30" t="n"/>
      <c r="AC48" s="30" t="n"/>
      <c r="AD48" s="30" t="n"/>
      <c r="AE48" s="30" t="n"/>
      <c r="AF48" s="30" t="n"/>
      <c r="AG48" s="30" t="n"/>
      <c r="AH48" s="30" t="n"/>
      <c r="AI48" s="30" t="n"/>
    </row>
    <row r="49">
      <c r="V49" s="30" t="n"/>
      <c r="W49" s="30" t="n"/>
      <c r="X49" s="30" t="n"/>
      <c r="Y49" s="30" t="n"/>
      <c r="Z49" s="30" t="n"/>
      <c r="AA49" s="30" t="n"/>
      <c r="AB49" s="30" t="n"/>
      <c r="AC49" s="30" t="n"/>
      <c r="AD49" s="30" t="n"/>
      <c r="AE49" s="30" t="n"/>
      <c r="AF49" s="30" t="n"/>
      <c r="AG49" s="30" t="n"/>
      <c r="AH49" s="30" t="n"/>
      <c r="AI49" s="30" t="n"/>
    </row>
    <row r="50">
      <c r="V50" s="30" t="n"/>
      <c r="W50" s="30" t="n"/>
      <c r="X50" s="30" t="n"/>
      <c r="Y50" s="30" t="n"/>
      <c r="Z50" s="30" t="n"/>
      <c r="AA50" s="30" t="n"/>
      <c r="AB50" s="30" t="n"/>
      <c r="AC50" s="30" t="n"/>
      <c r="AD50" s="30" t="n"/>
      <c r="AE50" s="30" t="n"/>
      <c r="AF50" s="30" t="n"/>
      <c r="AG50" s="30" t="n"/>
      <c r="AH50" s="30" t="n"/>
      <c r="AI50" s="30" t="n"/>
    </row>
    <row r="51">
      <c r="V51" s="30" t="n"/>
      <c r="W51" s="30" t="n"/>
      <c r="X51" s="30" t="n"/>
      <c r="Y51" s="30" t="n"/>
      <c r="Z51" s="30" t="n"/>
      <c r="AA51" s="30" t="n"/>
      <c r="AB51" s="30" t="n"/>
      <c r="AC51" s="30" t="n"/>
      <c r="AD51" s="30" t="n"/>
      <c r="AE51" s="30" t="n"/>
      <c r="AF51" s="30" t="n"/>
      <c r="AG51" s="30" t="n"/>
      <c r="AH51" s="30" t="n"/>
      <c r="AI51" s="30" t="n"/>
    </row>
    <row r="52">
      <c r="V52" s="30" t="n"/>
      <c r="W52" s="30" t="n"/>
      <c r="X52" s="30" t="n"/>
      <c r="Y52" s="30" t="n"/>
      <c r="Z52" s="30" t="n"/>
      <c r="AA52" s="30" t="n"/>
      <c r="AB52" s="30" t="n"/>
      <c r="AC52" s="30" t="n"/>
      <c r="AD52" s="30" t="n"/>
      <c r="AE52" s="30" t="n"/>
      <c r="AF52" s="30" t="n"/>
      <c r="AG52" s="30" t="n"/>
      <c r="AH52" s="30" t="n"/>
    </row>
    <row r="53">
      <c r="V53" s="30" t="n"/>
      <c r="W53" s="30" t="n"/>
      <c r="X53" s="30" t="n"/>
      <c r="Y53" s="30" t="n"/>
      <c r="Z53" s="30" t="n"/>
      <c r="AA53" s="30" t="n"/>
      <c r="AB53" s="30" t="n"/>
      <c r="AC53" s="30" t="n"/>
      <c r="AD53" s="30" t="n"/>
      <c r="AE53" s="30" t="n"/>
      <c r="AF53" s="30" t="n"/>
      <c r="AG53" s="30" t="n"/>
      <c r="AH53" s="30" t="n"/>
    </row>
    <row r="54">
      <c r="V54" s="30" t="n"/>
      <c r="W54" s="30" t="n"/>
      <c r="X54" s="30" t="n"/>
      <c r="Y54" s="30" t="n"/>
      <c r="Z54" s="30" t="n"/>
      <c r="AA54" s="30" t="n"/>
      <c r="AB54" s="30" t="n"/>
      <c r="AC54" s="30" t="n"/>
      <c r="AD54" s="30" t="n"/>
      <c r="AE54" s="30" t="n"/>
      <c r="AF54" s="30" t="n"/>
      <c r="AG54" s="30" t="n"/>
      <c r="AH54" s="30" t="n"/>
    </row>
  </sheetData>
  <mergeCells count="43">
    <mergeCell ref="I5:I7"/>
    <mergeCell ref="AF5:AF7"/>
    <mergeCell ref="O5:Q5"/>
    <mergeCell ref="AD26:AG26"/>
    <mergeCell ref="D5:D7"/>
    <mergeCell ref="J6:J7"/>
    <mergeCell ref="A5:A7"/>
    <mergeCell ref="G5:G7"/>
    <mergeCell ref="P6:P7"/>
    <mergeCell ref="AA6:AA7"/>
    <mergeCell ref="S27:W27"/>
    <mergeCell ref="B5:B7"/>
    <mergeCell ref="X6:X7"/>
    <mergeCell ref="AE5:AE7"/>
    <mergeCell ref="A1:AI1"/>
    <mergeCell ref="AD21:AG21"/>
    <mergeCell ref="AH5:AI7"/>
    <mergeCell ref="M6:M7"/>
    <mergeCell ref="AG5:AG7"/>
    <mergeCell ref="Q6:Q7"/>
    <mergeCell ref="H5:H7"/>
    <mergeCell ref="J5:M5"/>
    <mergeCell ref="Y6:Y7"/>
    <mergeCell ref="AD5:AD7"/>
    <mergeCell ref="A3:AI3"/>
    <mergeCell ref="C5:C7"/>
    <mergeCell ref="L6:L7"/>
    <mergeCell ref="AC6:AC7"/>
    <mergeCell ref="E5:E7"/>
    <mergeCell ref="T6:T7"/>
    <mergeCell ref="F5:F7"/>
    <mergeCell ref="Z6:Z7"/>
    <mergeCell ref="U6:W6"/>
    <mergeCell ref="A2:AI2"/>
    <mergeCell ref="AB6:AB7"/>
    <mergeCell ref="N5:N7"/>
    <mergeCell ref="S20:W20"/>
    <mergeCell ref="B20:C20"/>
    <mergeCell ref="AD27:AG27"/>
    <mergeCell ref="S5:AC5"/>
    <mergeCell ref="K6:K7"/>
    <mergeCell ref="B26:C26"/>
    <mergeCell ref="O6:O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2023-03-02T04:49:43Z</dcterms:created>
  <dcterms:modified xmlns:dcterms="http://purl.org/dc/terms/" xmlns:xsi="http://www.w3.org/2001/XMLSchema-instance" xsi:type="dcterms:W3CDTF">2026-02-24T04:33:45Z</dcterms:modified>
  <cp:lastModifiedBy>asrani.27@gmail.com</cp:lastModifiedBy>
</cp:coreProperties>
</file>