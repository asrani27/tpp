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1900C84D-A752-3545-833D-4E88EA29CAE3}" xr6:coauthVersionLast="47" xr6:coauthVersionMax="47" xr10:uidLastSave="{00000000-0000-0000-0000-000000000000}"/>
  <bookViews>
    <workbookView xWindow="4100" yWindow="2240" windowWidth="28800" windowHeight="16080" xr2:uid="{8F073424-8FDC-4E4B-8D16-403F1B0F818F}"/>
  </bookViews>
  <sheets>
    <sheet name="REGULER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5" l="1"/>
  <c r="T9" i="5" s="1"/>
  <c r="S10" i="5"/>
  <c r="S11" i="5"/>
  <c r="T11" i="5" s="1"/>
  <c r="AC11" i="5" s="1"/>
  <c r="S12" i="5"/>
  <c r="S13" i="5"/>
  <c r="S14" i="5"/>
  <c r="S15" i="5"/>
  <c r="S16" i="5"/>
  <c r="S17" i="5"/>
  <c r="T17" i="5" s="1"/>
  <c r="S8" i="5"/>
  <c r="N9" i="5"/>
  <c r="N10" i="5"/>
  <c r="N11" i="5"/>
  <c r="N12" i="5"/>
  <c r="N13" i="5"/>
  <c r="N14" i="5"/>
  <c r="N15" i="5"/>
  <c r="N16" i="5"/>
  <c r="N17" i="5"/>
  <c r="T12" i="5"/>
  <c r="T13" i="5"/>
  <c r="T14" i="5"/>
  <c r="T15" i="5"/>
  <c r="AB12" i="5"/>
  <c r="AB13" i="5"/>
  <c r="Z9" i="5"/>
  <c r="Z11" i="5"/>
  <c r="Z17" i="5"/>
  <c r="N8" i="5"/>
  <c r="AH18" i="5"/>
  <c r="AG18" i="5"/>
  <c r="N18" i="5"/>
  <c r="AI17" i="5"/>
  <c r="AE17" i="5" s="1"/>
  <c r="AD17" i="5"/>
  <c r="AA17" i="5"/>
  <c r="AB17" i="5" s="1"/>
  <c r="Y17" i="5"/>
  <c r="W17" i="5"/>
  <c r="V17" i="5"/>
  <c r="U17" i="5"/>
  <c r="X17" i="5" s="1"/>
  <c r="AI16" i="5"/>
  <c r="AE16" i="5" s="1"/>
  <c r="AD16" i="5"/>
  <c r="AA16" i="5"/>
  <c r="AB16" i="5" s="1"/>
  <c r="Y16" i="5"/>
  <c r="Z16" i="5" s="1"/>
  <c r="W16" i="5"/>
  <c r="V16" i="5"/>
  <c r="U16" i="5"/>
  <c r="X16" i="5" s="1"/>
  <c r="T16" i="5"/>
  <c r="AI15" i="5"/>
  <c r="AE15" i="5" s="1"/>
  <c r="AD15" i="5"/>
  <c r="AA15" i="5"/>
  <c r="AB15" i="5" s="1"/>
  <c r="Y15" i="5"/>
  <c r="Z15" i="5" s="1"/>
  <c r="W15" i="5"/>
  <c r="V15" i="5"/>
  <c r="U15" i="5"/>
  <c r="X15" i="5" s="1"/>
  <c r="AI14" i="5"/>
  <c r="AE14" i="5" s="1"/>
  <c r="AD14" i="5"/>
  <c r="AA14" i="5"/>
  <c r="AB14" i="5" s="1"/>
  <c r="Y14" i="5"/>
  <c r="Z14" i="5" s="1"/>
  <c r="W14" i="5"/>
  <c r="V14" i="5"/>
  <c r="X14" i="5" s="1"/>
  <c r="U14" i="5"/>
  <c r="AI13" i="5"/>
  <c r="AE13" i="5" s="1"/>
  <c r="AD13" i="5"/>
  <c r="AA13" i="5"/>
  <c r="Y13" i="5"/>
  <c r="Z13" i="5" s="1"/>
  <c r="W13" i="5"/>
  <c r="V13" i="5"/>
  <c r="X13" i="5" s="1"/>
  <c r="U13" i="5"/>
  <c r="AI12" i="5"/>
  <c r="AE12" i="5"/>
  <c r="AD12" i="5"/>
  <c r="AA12" i="5"/>
  <c r="Y12" i="5"/>
  <c r="Z12" i="5" s="1"/>
  <c r="W12" i="5"/>
  <c r="X12" i="5" s="1"/>
  <c r="V12" i="5"/>
  <c r="U12" i="5"/>
  <c r="AI11" i="5"/>
  <c r="AE11" i="5" s="1"/>
  <c r="AD11" i="5"/>
  <c r="AA11" i="5"/>
  <c r="AB11" i="5" s="1"/>
  <c r="Y11" i="5"/>
  <c r="W11" i="5"/>
  <c r="X11" i="5" s="1"/>
  <c r="V11" i="5"/>
  <c r="U11" i="5"/>
  <c r="AI10" i="5"/>
  <c r="AE10" i="5"/>
  <c r="AD10" i="5"/>
  <c r="AA10" i="5"/>
  <c r="AB10" i="5" s="1"/>
  <c r="Y10" i="5"/>
  <c r="Z10" i="5" s="1"/>
  <c r="W10" i="5"/>
  <c r="V10" i="5"/>
  <c r="U10" i="5"/>
  <c r="X10" i="5" s="1"/>
  <c r="T10" i="5"/>
  <c r="AC10" i="5" s="1"/>
  <c r="AI9" i="5"/>
  <c r="AE9" i="5"/>
  <c r="AD9" i="5"/>
  <c r="AA9" i="5"/>
  <c r="AB9" i="5" s="1"/>
  <c r="Y9" i="5"/>
  <c r="W9" i="5"/>
  <c r="V9" i="5"/>
  <c r="U9" i="5"/>
  <c r="X9" i="5" s="1"/>
  <c r="AI8" i="5"/>
  <c r="AD8" i="5"/>
  <c r="AA8" i="5"/>
  <c r="AB8" i="5" s="1"/>
  <c r="Y8" i="5"/>
  <c r="Z8" i="5" s="1"/>
  <c r="W8" i="5"/>
  <c r="V8" i="5"/>
  <c r="U8" i="5"/>
  <c r="T8" i="5"/>
  <c r="AC13" i="5" l="1"/>
  <c r="X8" i="5"/>
  <c r="AC8" i="5" s="1"/>
  <c r="AC17" i="5"/>
  <c r="AC9" i="5"/>
  <c r="AF9" i="5" s="1"/>
  <c r="AJ9" i="5" s="1"/>
  <c r="AC14" i="5"/>
  <c r="AF14" i="5" s="1"/>
  <c r="AJ14" i="5" s="1"/>
  <c r="AC12" i="5"/>
  <c r="AF12" i="5" s="1"/>
  <c r="AJ12" i="5" s="1"/>
  <c r="AC16" i="5"/>
  <c r="AC15" i="5"/>
  <c r="AF15" i="5" s="1"/>
  <c r="AJ15" i="5" s="1"/>
  <c r="AF10" i="5"/>
  <c r="AJ10" i="5" s="1"/>
  <c r="AF13" i="5"/>
  <c r="AJ13" i="5" s="1"/>
  <c r="AF17" i="5"/>
  <c r="AJ17" i="5" s="1"/>
  <c r="AI18" i="5"/>
  <c r="AE8" i="5"/>
  <c r="AE18" i="5" s="1"/>
  <c r="AF16" i="5"/>
  <c r="AJ16" i="5" s="1"/>
  <c r="Z18" i="5"/>
  <c r="AB18" i="5"/>
  <c r="AF11" i="5"/>
  <c r="AJ11" i="5" s="1"/>
  <c r="AD18" i="5"/>
  <c r="AF8" i="5" l="1"/>
  <c r="T18" i="5"/>
  <c r="X18" i="5"/>
  <c r="AF18" i="5" l="1"/>
  <c r="AJ8" i="5"/>
  <c r="AJ18" i="5" s="1"/>
  <c r="AC18" i="5"/>
</calcChain>
</file>

<file path=xl/sharedStrings.xml><?xml version="1.0" encoding="utf-8"?>
<sst xmlns="http://schemas.openxmlformats.org/spreadsheetml/2006/main" count="58" uniqueCount="53">
  <si>
    <t xml:space="preserve">DAFTAR TANDA TERIMA PEMBAYARAN TPP ASN 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</si>
  <si>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</si>
  <si>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</si>
  <si>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</si>
  <si>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</si>
  <si>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</si>
  <si>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</si>
  <si>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</si>
  <si>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</si>
  <si>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</si>
  <si>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</si>
  <si>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</si>
  <si>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</si>
  <si>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</si>
  <si>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</si>
  <si>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</si>
  <si>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</si>
  <si>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</si>
  <si>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</si>
  <si>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</si>
  <si>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</si>
  <si>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</si>
  <si>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</si>
  <si>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</si>
  <si>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</si>
  <si>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</si>
  <si>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</si>
  <si>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</si>
  <si>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</si>
  <si>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</si>
  <si>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</si>
  <si>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</si>
  <si>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</si>
  <si>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</si>
  <si>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</si>
  <si>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</si>
  <si>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</si>
  <si>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</si>
  <si>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</si>
  <si>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</si>
  <si>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</si>
  <si>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</si>
  <si>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Mengetahui</t>
  </si>
  <si>
    <t>Pengguna Anggaran,</t>
  </si>
  <si>
    <t>…</t>
  </si>
  <si>
    <t>NIP. …</t>
  </si>
  <si>
    <t>Persen PPH21</t>
  </si>
  <si>
    <t>.</t>
  </si>
  <si>
    <t>Tunjangan PPH 21 (TER)</t>
  </si>
  <si>
    <t>Tunjangan BPJS 4%</t>
  </si>
  <si>
    <t>PPH 21 (TER)</t>
  </si>
  <si>
    <t>Jumlah Berdasarkan Komponen TPP</t>
  </si>
  <si>
    <t>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</si>
</sst>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 * #,##0_ ;_ * \-#,##0_ ;_ * &quot;-&quot;_ ;_ @_ "/>
    <numFmt numFmtId="166" formatCode="_-* #,##0_-;\-* #,##0_-;_-* &quot;-&quot;??_-;_-@_-"/>
    <numFmt numFmtId="167" formatCode="00000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16"/>
      <color theme="1"/>
      <name val="Arial"/>
      <family val="2"/>
    </font>
    <font>
      <sz val="13"/>
      <color rgb="FF000000"/>
      <name val="Calibri"/>
      <family val="2"/>
      <charset val="1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2CB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>
      <alignment vertical="center"/>
    </xf>
    <xf numFmtId="0" fontId="6" fillId="0" borderId="0"/>
    <xf numFmtId="0" fontId="11" fillId="0" borderId="0"/>
    <xf numFmtId="0" fontId="15" fillId="0" borderId="0"/>
  </cellStyleXfs>
  <cellXfs count="101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quotePrefix="1" applyFont="1" applyFill="1" applyBorder="1" applyAlignment="1">
      <alignment horizontal="center" vertical="center"/>
    </xf>
    <xf numFmtId="0" fontId="7" fillId="0" borderId="1" xfId="5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41" fontId="6" fillId="0" borderId="1" xfId="2" applyFont="1" applyFill="1" applyBorder="1" applyAlignment="1">
      <alignment vertical="center"/>
    </xf>
    <xf numFmtId="164" fontId="7" fillId="0" borderId="1" xfId="3" applyNumberFormat="1" applyFont="1" applyBorder="1" applyAlignment="1">
      <alignment vertical="center"/>
    </xf>
    <xf numFmtId="9" fontId="7" fillId="0" borderId="1" xfId="3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7" fillId="11" borderId="1" xfId="0" applyNumberFormat="1" applyFont="1" applyFill="1" applyBorder="1" applyAlignment="1">
      <alignment vertical="center"/>
    </xf>
    <xf numFmtId="41" fontId="6" fillId="11" borderId="1" xfId="0" applyNumberFormat="1" applyFont="1" applyFill="1" applyBorder="1" applyAlignment="1">
      <alignment vertical="center"/>
    </xf>
    <xf numFmtId="165" fontId="6" fillId="0" borderId="8" xfId="0" quotePrefix="1" applyNumberFormat="1" applyFont="1" applyBorder="1" applyAlignment="1">
      <alignment horizontal="left" vertical="top"/>
    </xf>
    <xf numFmtId="0" fontId="6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3" fontId="9" fillId="0" borderId="9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7" fillId="0" borderId="0" xfId="0" applyFont="1"/>
    <xf numFmtId="165" fontId="7" fillId="0" borderId="10" xfId="0" applyNumberFormat="1" applyFont="1" applyBorder="1"/>
    <xf numFmtId="0" fontId="7" fillId="0" borderId="10" xfId="0" applyFont="1" applyBorder="1"/>
    <xf numFmtId="9" fontId="10" fillId="11" borderId="1" xfId="3" applyFont="1" applyFill="1" applyBorder="1"/>
    <xf numFmtId="165" fontId="10" fillId="11" borderId="1" xfId="0" applyNumberFormat="1" applyFont="1" applyFill="1" applyBorder="1"/>
    <xf numFmtId="0" fontId="10" fillId="11" borderId="1" xfId="0" applyFont="1" applyFill="1" applyBorder="1"/>
    <xf numFmtId="0" fontId="7" fillId="0" borderId="5" xfId="0" applyFont="1" applyBorder="1"/>
    <xf numFmtId="165" fontId="7" fillId="0" borderId="0" xfId="0" applyNumberFormat="1" applyFont="1"/>
    <xf numFmtId="0" fontId="7" fillId="0" borderId="0" xfId="8" applyFont="1" applyAlignment="1">
      <alignment horizontal="centerContinuous"/>
    </xf>
    <xf numFmtId="0" fontId="7" fillId="0" borderId="0" xfId="8" applyFont="1"/>
    <xf numFmtId="0" fontId="12" fillId="0" borderId="0" xfId="8" applyFont="1"/>
    <xf numFmtId="9" fontId="0" fillId="0" borderId="0" xfId="3" applyFont="1"/>
    <xf numFmtId="0" fontId="7" fillId="0" borderId="0" xfId="4" applyFont="1"/>
    <xf numFmtId="9" fontId="7" fillId="0" borderId="0" xfId="4" applyNumberFormat="1" applyFont="1"/>
    <xf numFmtId="0" fontId="12" fillId="0" borderId="0" xfId="8" applyFont="1" applyAlignment="1">
      <alignment horizontal="centerContinuous"/>
    </xf>
    <xf numFmtId="166" fontId="7" fillId="0" borderId="0" xfId="1" applyNumberFormat="1" applyFont="1"/>
    <xf numFmtId="165" fontId="0" fillId="0" borderId="0" xfId="0" applyNumberFormat="1"/>
    <xf numFmtId="166" fontId="0" fillId="0" borderId="0" xfId="1" applyNumberFormat="1" applyFont="1"/>
    <xf numFmtId="43" fontId="0" fillId="0" borderId="0" xfId="1" applyFont="1"/>
    <xf numFmtId="43" fontId="7" fillId="0" borderId="0" xfId="1" applyFont="1"/>
    <xf numFmtId="0" fontId="7" fillId="0" borderId="1" xfId="5" applyFont="1" applyBorder="1" applyAlignment="1">
      <alignment horizontal="left" vertical="center"/>
    </xf>
    <xf numFmtId="167" fontId="6" fillId="0" borderId="1" xfId="0" quotePrefix="1" applyNumberFormat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10" fontId="6" fillId="0" borderId="1" xfId="3" applyNumberFormat="1" applyFont="1" applyFill="1" applyBorder="1" applyAlignment="1">
      <alignment vertical="center"/>
    </xf>
    <xf numFmtId="9" fontId="7" fillId="12" borderId="1" xfId="0" applyNumberFormat="1" applyFont="1" applyFill="1" applyBorder="1" applyAlignment="1">
      <alignment vertical="center"/>
    </xf>
    <xf numFmtId="165" fontId="6" fillId="12" borderId="1" xfId="0" applyNumberFormat="1" applyFont="1" applyFill="1" applyBorder="1" applyAlignment="1">
      <alignment vertical="center"/>
    </xf>
    <xf numFmtId="165" fontId="6" fillId="12" borderId="1" xfId="0" quotePrefix="1" applyNumberFormat="1" applyFont="1" applyFill="1" applyBorder="1" applyAlignment="1">
      <alignment vertical="center"/>
    </xf>
    <xf numFmtId="10" fontId="7" fillId="12" borderId="1" xfId="3" applyNumberFormat="1" applyFont="1" applyFill="1" applyBorder="1" applyAlignment="1">
      <alignment vertical="center"/>
    </xf>
    <xf numFmtId="10" fontId="14" fillId="0" borderId="11" xfId="0" applyNumberFormat="1" applyFont="1" applyBorder="1" applyAlignment="1">
      <alignment vertical="center"/>
    </xf>
    <xf numFmtId="164" fontId="14" fillId="0" borderId="11" xfId="0" applyNumberFormat="1" applyFont="1" applyBorder="1" applyAlignment="1">
      <alignment vertical="center"/>
    </xf>
    <xf numFmtId="9" fontId="14" fillId="0" borderId="11" xfId="0" applyNumberFormat="1" applyFont="1" applyBorder="1" applyAlignment="1">
      <alignment vertical="center"/>
    </xf>
    <xf numFmtId="10" fontId="14" fillId="15" borderId="11" xfId="0" applyNumberFormat="1" applyFont="1" applyFill="1" applyBorder="1" applyAlignment="1">
      <alignment vertical="center"/>
    </xf>
    <xf numFmtId="165" fontId="14" fillId="15" borderId="11" xfId="0" applyNumberFormat="1" applyFont="1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7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12" fillId="0" borderId="0" xfId="8" applyFont="1" applyAlignment="1">
      <alignment horizontal="center"/>
    </xf>
    <xf numFmtId="0" fontId="7" fillId="0" borderId="0" xfId="6" applyFont="1" applyAlignment="1">
      <alignment horizontal="center" vertical="top"/>
    </xf>
    <xf numFmtId="0" fontId="0" fillId="9" borderId="1" xfId="0" applyFill="1" applyBorder="1" applyAlignment="1">
      <alignment horizontal="center" vertical="center" wrapText="1"/>
    </xf>
    <xf numFmtId="0" fontId="7" fillId="0" borderId="0" xfId="8" applyFont="1" applyAlignment="1">
      <alignment horizontal="center"/>
    </xf>
  </cellXfs>
  <cellStyles count="10">
    <cellStyle name="Comma" xfId="1" builtinId="3"/>
    <cellStyle name="Comma [0]" xfId="2" builtinId="6"/>
    <cellStyle name="Normal" xfId="0" builtinId="0"/>
    <cellStyle name="Normal 2" xfId="4" xr:uid="{DE32DEDD-1204-DF45-A222-08ABB6DB9B35}"/>
    <cellStyle name="Normal 2 2" xfId="9" xr:uid="{5CB79441-D759-6A41-A2AB-24BA327E6C05}"/>
    <cellStyle name="Normal 2 2 2" xfId="8" xr:uid="{F9CE8CC7-D6F8-7843-B9CF-41DBB84E2F2E}"/>
    <cellStyle name="Normal 3 2 2" xfId="5" xr:uid="{37C6539F-C088-1B44-8594-8D53B7B2A5C2}"/>
    <cellStyle name="Normal 4" xfId="6" xr:uid="{2DD883A2-138D-1340-9759-14338AE2E7F6}"/>
    <cellStyle name="Normal 5" xfId="7" xr:uid="{02223DE4-3374-D749-A334-E6DE3DFA607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E71A-84E6-B149-ACE7-F6ACC942C3A7}">
  <dimension ref="A1:AL54"/>
  <sheetViews>
    <sheetView tabSelected="1" topLeftCell="W1" workbookViewId="0">
      <selection activeCell="AC11" sqref="AC11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37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4.83203125" bestFit="1" customWidth="1"/>
    <col min="38" max="38" width="17" customWidth="1"/>
  </cols>
  <sheetData>
    <row r="1" spans="1:38" ht="28" customHeight="1" x14ac:dyDescent="0.2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1"/>
    </row>
    <row r="2" spans="1:38" ht="28" customHeight="1" x14ac:dyDescent="0.2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2"/>
    </row>
    <row r="3" spans="1:38" ht="28" customHeight="1" x14ac:dyDescent="0.2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2"/>
    </row>
    <row r="4" spans="1:38" x14ac:dyDescent="0.2">
      <c r="A4" s="3" t="s">
        <v>47</v>
      </c>
      <c r="D4" t="s">
        <v>47</v>
      </c>
      <c r="O4"/>
    </row>
    <row r="5" spans="1:38" ht="16" customHeight="1" x14ac:dyDescent="0.2">
      <c r="A5" s="62" t="s">
        <v>1</v>
      </c>
      <c r="B5" s="62" t="s">
        <v>2</v>
      </c>
      <c r="C5" s="63" t="s">
        <v>3</v>
      </c>
      <c r="D5" s="65" t="s">
        <v>4</v>
      </c>
      <c r="E5" s="62" t="s">
        <v>5</v>
      </c>
      <c r="F5" s="66" t="s">
        <v>6</v>
      </c>
      <c r="G5" s="62" t="s">
        <v>7</v>
      </c>
      <c r="H5" s="87" t="s">
        <v>8</v>
      </c>
      <c r="I5" s="89" t="s">
        <v>9</v>
      </c>
      <c r="J5" s="90" t="s">
        <v>10</v>
      </c>
      <c r="K5" s="91"/>
      <c r="L5" s="91"/>
      <c r="M5" s="92"/>
      <c r="N5" s="71" t="s">
        <v>11</v>
      </c>
      <c r="O5" s="93" t="s">
        <v>12</v>
      </c>
      <c r="P5" s="94"/>
      <c r="Q5" s="95"/>
      <c r="R5" s="73" t="s">
        <v>46</v>
      </c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6" t="s">
        <v>48</v>
      </c>
      <c r="AE5" s="76" t="s">
        <v>49</v>
      </c>
      <c r="AF5" s="79" t="s">
        <v>28</v>
      </c>
      <c r="AG5" s="82" t="s">
        <v>50</v>
      </c>
      <c r="AH5" s="82" t="s">
        <v>13</v>
      </c>
      <c r="AI5" s="82" t="s">
        <v>14</v>
      </c>
      <c r="AJ5" s="69" t="s">
        <v>15</v>
      </c>
      <c r="AK5" s="70" t="s">
        <v>16</v>
      </c>
      <c r="AL5" s="70"/>
    </row>
    <row r="6" spans="1:38" ht="14.5" customHeight="1" x14ac:dyDescent="0.2">
      <c r="A6" s="62"/>
      <c r="B6" s="62"/>
      <c r="C6" s="64"/>
      <c r="D6" s="64"/>
      <c r="E6" s="62"/>
      <c r="F6" s="66"/>
      <c r="G6" s="62"/>
      <c r="H6" s="64"/>
      <c r="I6" s="89"/>
      <c r="J6" s="71" t="s">
        <v>17</v>
      </c>
      <c r="K6" s="71" t="s">
        <v>18</v>
      </c>
      <c r="L6" s="71" t="s">
        <v>19</v>
      </c>
      <c r="M6" s="71" t="s">
        <v>20</v>
      </c>
      <c r="N6" s="72"/>
      <c r="O6" s="73" t="s">
        <v>21</v>
      </c>
      <c r="P6" s="73" t="s">
        <v>22</v>
      </c>
      <c r="Q6" s="73" t="s">
        <v>23</v>
      </c>
      <c r="R6" s="74"/>
      <c r="S6" s="59"/>
      <c r="T6" s="69" t="s">
        <v>24</v>
      </c>
      <c r="U6" s="85" t="s">
        <v>18</v>
      </c>
      <c r="V6" s="85"/>
      <c r="W6" s="85"/>
      <c r="X6" s="86" t="s">
        <v>25</v>
      </c>
      <c r="Y6" s="99" t="s">
        <v>19</v>
      </c>
      <c r="Z6" s="99" t="s">
        <v>26</v>
      </c>
      <c r="AA6" s="67" t="s">
        <v>20</v>
      </c>
      <c r="AB6" s="67" t="s">
        <v>27</v>
      </c>
      <c r="AC6" s="68" t="s">
        <v>51</v>
      </c>
      <c r="AD6" s="77"/>
      <c r="AE6" s="77"/>
      <c r="AF6" s="80"/>
      <c r="AG6" s="83"/>
      <c r="AH6" s="83"/>
      <c r="AI6" s="83"/>
      <c r="AJ6" s="69"/>
      <c r="AK6" s="70"/>
      <c r="AL6" s="70"/>
    </row>
    <row r="7" spans="1:38" ht="34" x14ac:dyDescent="0.2">
      <c r="A7" s="62"/>
      <c r="B7" s="62"/>
      <c r="C7" s="64"/>
      <c r="D7" s="64"/>
      <c r="E7" s="62"/>
      <c r="F7" s="66"/>
      <c r="G7" s="62"/>
      <c r="H7" s="88"/>
      <c r="I7" s="89"/>
      <c r="J7" s="72"/>
      <c r="K7" s="72"/>
      <c r="L7" s="72"/>
      <c r="M7" s="72"/>
      <c r="N7" s="72"/>
      <c r="O7" s="74"/>
      <c r="P7" s="74"/>
      <c r="Q7" s="74"/>
      <c r="R7" s="96"/>
      <c r="S7" s="5" t="s">
        <v>31</v>
      </c>
      <c r="T7" s="69"/>
      <c r="U7" s="4" t="s">
        <v>29</v>
      </c>
      <c r="V7" s="4" t="s">
        <v>30</v>
      </c>
      <c r="W7" s="4" t="s">
        <v>31</v>
      </c>
      <c r="X7" s="86"/>
      <c r="Y7" s="99"/>
      <c r="Z7" s="99"/>
      <c r="AA7" s="67"/>
      <c r="AB7" s="67"/>
      <c r="AC7" s="68"/>
      <c r="AD7" s="78"/>
      <c r="AE7" s="78"/>
      <c r="AF7" s="81"/>
      <c r="AG7" s="84"/>
      <c r="AH7" s="84"/>
      <c r="AI7" s="83"/>
      <c r="AJ7" s="69"/>
      <c r="AK7" s="70"/>
      <c r="AL7" s="70"/>
    </row>
    <row r="8" spans="1:38" ht="23.5" customHeight="1" x14ac:dyDescent="0.2">
      <c r="A8" s="6" t="s">
        <v>32</v>
      </c>
      <c r="B8" s="7"/>
      <c r="C8" s="48"/>
      <c r="D8" s="9"/>
      <c r="E8" s="8"/>
      <c r="F8" s="10"/>
      <c r="G8" s="10"/>
      <c r="H8" s="8"/>
      <c r="I8" s="11">
        <v>7856316</v>
      </c>
      <c r="J8" s="54">
        <v>0.34</v>
      </c>
      <c r="K8" s="55">
        <v>0.46</v>
      </c>
      <c r="L8" s="56">
        <v>0.12</v>
      </c>
      <c r="M8" s="56">
        <v>0</v>
      </c>
      <c r="N8" s="14">
        <f>ROUND(I8*(SUM(J8:M8)),0)</f>
        <v>7227811</v>
      </c>
      <c r="O8" s="57">
        <v>1</v>
      </c>
      <c r="P8" s="58">
        <v>10130</v>
      </c>
      <c r="Q8" s="58" t="s">
        <v>52</v>
      </c>
      <c r="R8" s="50"/>
      <c r="S8" s="15">
        <f>I8*J8</f>
        <v>2671147.4400000004</v>
      </c>
      <c r="T8" s="15">
        <f t="shared" ref="T8:T17" si="0">ROUND(SUM(S8:S8),0)</f>
        <v>2671147</v>
      </c>
      <c r="U8" s="15">
        <f t="shared" ref="U8:U17" si="1">I8*K8*40%*O8</f>
        <v>1445562.1440000003</v>
      </c>
      <c r="V8" s="15">
        <f t="shared" ref="V8:V17" si="2">IF(P8&gt;=6750,(I8*K8*40%),0)</f>
        <v>1445562.1440000003</v>
      </c>
      <c r="W8" s="15">
        <f t="shared" ref="W8:W17" si="3">IF(P8&lt;6750,0,IF(Q8="",0,IF(OR(Q8="KURANG",Q8="SANGAT KURANG"),I8*K8*10%,I8*K8*20%)))</f>
        <v>722781.07200000016</v>
      </c>
      <c r="X8" s="15">
        <f>ROUND(SUM(U8:W8),0)</f>
        <v>3613905</v>
      </c>
      <c r="Y8" s="15">
        <f t="shared" ref="Y8:Y17" si="4">I8*L8</f>
        <v>942757.91999999993</v>
      </c>
      <c r="Z8" s="15">
        <f>ROUND(Y8,0)</f>
        <v>942758</v>
      </c>
      <c r="AA8" s="15">
        <f t="shared" ref="AA8:AA17" si="5">I8*M8</f>
        <v>0</v>
      </c>
      <c r="AB8" s="15">
        <f>ROUND(AA8,0)</f>
        <v>0</v>
      </c>
      <c r="AC8" s="16">
        <f>ROUND((T8+X8+Z8+AB8),0)</f>
        <v>7227810</v>
      </c>
      <c r="AD8" s="16">
        <f>AG8</f>
        <v>0</v>
      </c>
      <c r="AE8" s="16">
        <f>AI8</f>
        <v>0</v>
      </c>
      <c r="AF8" s="16">
        <f>AC8+AD8+AE8</f>
        <v>7227810</v>
      </c>
      <c r="AG8" s="16"/>
      <c r="AH8" s="17"/>
      <c r="AI8" s="17">
        <f>AH8*4</f>
        <v>0</v>
      </c>
      <c r="AJ8" s="15">
        <f>AF8-AG8-AH8-AI8</f>
        <v>7227810</v>
      </c>
      <c r="AK8" s="18">
        <v>1</v>
      </c>
      <c r="AL8" s="22"/>
    </row>
    <row r="9" spans="1:38" ht="23.5" customHeight="1" x14ac:dyDescent="0.2">
      <c r="A9" s="6" t="s">
        <v>33</v>
      </c>
      <c r="B9" s="46"/>
      <c r="C9" s="47"/>
      <c r="D9" s="19"/>
      <c r="E9" s="8"/>
      <c r="F9" s="20"/>
      <c r="G9" s="20"/>
      <c r="H9" s="21"/>
      <c r="I9" s="11"/>
      <c r="J9" s="49"/>
      <c r="K9" s="12"/>
      <c r="L9" s="13"/>
      <c r="M9" s="13"/>
      <c r="N9" s="14">
        <f t="shared" ref="N9:N17" si="6">ROUND(I9*(SUM(J9:M9)),0)</f>
        <v>0</v>
      </c>
      <c r="O9" s="53"/>
      <c r="P9" s="51"/>
      <c r="Q9" s="52"/>
      <c r="R9" s="50"/>
      <c r="S9" s="15">
        <f t="shared" ref="S9:S17" si="7">I9*J9</f>
        <v>0</v>
      </c>
      <c r="T9" s="15">
        <f t="shared" si="0"/>
        <v>0</v>
      </c>
      <c r="U9" s="15">
        <f t="shared" si="1"/>
        <v>0</v>
      </c>
      <c r="V9" s="15">
        <f t="shared" si="2"/>
        <v>0</v>
      </c>
      <c r="W9" s="15">
        <f t="shared" si="3"/>
        <v>0</v>
      </c>
      <c r="X9" s="15">
        <f t="shared" ref="X9:X17" si="8">ROUND(SUM(U9:W9),0)</f>
        <v>0</v>
      </c>
      <c r="Y9" s="15">
        <f t="shared" si="4"/>
        <v>0</v>
      </c>
      <c r="Z9" s="15">
        <f t="shared" ref="Z9:Z17" si="9">ROUND(Y9,0)</f>
        <v>0</v>
      </c>
      <c r="AA9" s="15">
        <f t="shared" si="5"/>
        <v>0</v>
      </c>
      <c r="AB9" s="15">
        <f t="shared" ref="AB9:AB17" si="10">ROUND(AA9,0)</f>
        <v>0</v>
      </c>
      <c r="AC9" s="16">
        <f t="shared" ref="AC9:AC17" si="11">ROUND((T9+X9+Z9+AB9),0)</f>
        <v>0</v>
      </c>
      <c r="AD9" s="16">
        <f t="shared" ref="AD9:AD17" si="12">AG9</f>
        <v>0</v>
      </c>
      <c r="AE9" s="16">
        <f t="shared" ref="AE9:AE17" si="13">AI9</f>
        <v>0</v>
      </c>
      <c r="AF9" s="16">
        <f t="shared" ref="AF9:AF17" si="14">AC9+AD9+AE9</f>
        <v>0</v>
      </c>
      <c r="AG9" s="16"/>
      <c r="AH9" s="17"/>
      <c r="AI9" s="17">
        <f t="shared" ref="AI9:AI17" si="15">AH9*4</f>
        <v>0</v>
      </c>
      <c r="AJ9" s="15">
        <f t="shared" ref="AJ9:AJ17" si="16">AF9-AG9-AH9-AI9</f>
        <v>0</v>
      </c>
      <c r="AK9" s="18">
        <v>2</v>
      </c>
      <c r="AL9" s="22"/>
    </row>
    <row r="10" spans="1:38" ht="23.5" customHeight="1" x14ac:dyDescent="0.2">
      <c r="A10" s="6" t="s">
        <v>34</v>
      </c>
      <c r="B10" s="46"/>
      <c r="C10" s="47"/>
      <c r="D10" s="19"/>
      <c r="E10" s="23"/>
      <c r="F10" s="24"/>
      <c r="G10" s="24"/>
      <c r="H10" s="23"/>
      <c r="I10" s="11"/>
      <c r="J10" s="49"/>
      <c r="K10" s="12"/>
      <c r="L10" s="13"/>
      <c r="M10" s="13"/>
      <c r="N10" s="14">
        <f t="shared" si="6"/>
        <v>0</v>
      </c>
      <c r="O10" s="53"/>
      <c r="P10" s="51"/>
      <c r="Q10" s="51"/>
      <c r="R10" s="50"/>
      <c r="S10" s="15">
        <f t="shared" si="7"/>
        <v>0</v>
      </c>
      <c r="T10" s="15">
        <f t="shared" si="0"/>
        <v>0</v>
      </c>
      <c r="U10" s="15">
        <f t="shared" si="1"/>
        <v>0</v>
      </c>
      <c r="V10" s="15">
        <f t="shared" si="2"/>
        <v>0</v>
      </c>
      <c r="W10" s="15">
        <f t="shared" si="3"/>
        <v>0</v>
      </c>
      <c r="X10" s="15">
        <f t="shared" si="8"/>
        <v>0</v>
      </c>
      <c r="Y10" s="15">
        <f t="shared" si="4"/>
        <v>0</v>
      </c>
      <c r="Z10" s="15">
        <f t="shared" si="9"/>
        <v>0</v>
      </c>
      <c r="AA10" s="15">
        <f t="shared" si="5"/>
        <v>0</v>
      </c>
      <c r="AB10" s="15">
        <f t="shared" si="10"/>
        <v>0</v>
      </c>
      <c r="AC10" s="16">
        <f t="shared" si="11"/>
        <v>0</v>
      </c>
      <c r="AD10" s="16">
        <f t="shared" si="12"/>
        <v>0</v>
      </c>
      <c r="AE10" s="16">
        <f t="shared" si="13"/>
        <v>0</v>
      </c>
      <c r="AF10" s="16">
        <f t="shared" si="14"/>
        <v>0</v>
      </c>
      <c r="AG10" s="16"/>
      <c r="AH10" s="17"/>
      <c r="AI10" s="17">
        <f t="shared" si="15"/>
        <v>0</v>
      </c>
      <c r="AJ10" s="15">
        <f t="shared" si="16"/>
        <v>0</v>
      </c>
      <c r="AK10" s="18">
        <v>3</v>
      </c>
      <c r="AL10" s="22"/>
    </row>
    <row r="11" spans="1:38" ht="23.5" customHeight="1" x14ac:dyDescent="0.2">
      <c r="A11" s="6" t="s">
        <v>35</v>
      </c>
      <c r="B11" s="25"/>
      <c r="C11" s="47"/>
      <c r="D11" s="19"/>
      <c r="E11" s="23"/>
      <c r="F11" s="24"/>
      <c r="G11" s="24"/>
      <c r="H11" s="23"/>
      <c r="I11" s="11"/>
      <c r="J11" s="49"/>
      <c r="K11" s="12"/>
      <c r="L11" s="13"/>
      <c r="M11" s="13"/>
      <c r="N11" s="14">
        <f t="shared" si="6"/>
        <v>0</v>
      </c>
      <c r="O11" s="53"/>
      <c r="P11" s="51"/>
      <c r="Q11" s="51"/>
      <c r="R11" s="50"/>
      <c r="S11" s="15">
        <f t="shared" si="7"/>
        <v>0</v>
      </c>
      <c r="T11" s="15">
        <f t="shared" si="0"/>
        <v>0</v>
      </c>
      <c r="U11" s="15">
        <f t="shared" si="1"/>
        <v>0</v>
      </c>
      <c r="V11" s="15">
        <f t="shared" si="2"/>
        <v>0</v>
      </c>
      <c r="W11" s="15">
        <f t="shared" si="3"/>
        <v>0</v>
      </c>
      <c r="X11" s="15">
        <f t="shared" si="8"/>
        <v>0</v>
      </c>
      <c r="Y11" s="15">
        <f t="shared" si="4"/>
        <v>0</v>
      </c>
      <c r="Z11" s="15">
        <f t="shared" si="9"/>
        <v>0</v>
      </c>
      <c r="AA11" s="15">
        <f t="shared" si="5"/>
        <v>0</v>
      </c>
      <c r="AB11" s="15">
        <f t="shared" si="10"/>
        <v>0</v>
      </c>
      <c r="AC11" s="16">
        <f t="shared" si="11"/>
        <v>0</v>
      </c>
      <c r="AD11" s="16">
        <f t="shared" si="12"/>
        <v>0</v>
      </c>
      <c r="AE11" s="16">
        <f t="shared" si="13"/>
        <v>0</v>
      </c>
      <c r="AF11" s="16">
        <f t="shared" si="14"/>
        <v>0</v>
      </c>
      <c r="AG11" s="16"/>
      <c r="AH11" s="17"/>
      <c r="AI11" s="17">
        <f t="shared" si="15"/>
        <v>0</v>
      </c>
      <c r="AJ11" s="15">
        <f t="shared" si="16"/>
        <v>0</v>
      </c>
      <c r="AK11" s="18">
        <v>4</v>
      </c>
      <c r="AL11" s="22"/>
    </row>
    <row r="12" spans="1:38" ht="23.5" customHeight="1" x14ac:dyDescent="0.2">
      <c r="A12" s="6" t="s">
        <v>36</v>
      </c>
      <c r="B12" s="25"/>
      <c r="C12" s="47"/>
      <c r="D12" s="19"/>
      <c r="E12" s="23"/>
      <c r="F12" s="24"/>
      <c r="G12" s="24"/>
      <c r="H12" s="23"/>
      <c r="I12" s="11"/>
      <c r="J12" s="49"/>
      <c r="K12" s="12"/>
      <c r="L12" s="13"/>
      <c r="M12" s="13"/>
      <c r="N12" s="14">
        <f t="shared" si="6"/>
        <v>0</v>
      </c>
      <c r="O12" s="53"/>
      <c r="P12" s="51"/>
      <c r="Q12" s="51"/>
      <c r="R12" s="50"/>
      <c r="S12" s="15">
        <f t="shared" si="7"/>
        <v>0</v>
      </c>
      <c r="T12" s="15">
        <f t="shared" si="0"/>
        <v>0</v>
      </c>
      <c r="U12" s="15">
        <f t="shared" si="1"/>
        <v>0</v>
      </c>
      <c r="V12" s="15">
        <f t="shared" si="2"/>
        <v>0</v>
      </c>
      <c r="W12" s="15">
        <f t="shared" si="3"/>
        <v>0</v>
      </c>
      <c r="X12" s="15">
        <f t="shared" si="8"/>
        <v>0</v>
      </c>
      <c r="Y12" s="15">
        <f t="shared" si="4"/>
        <v>0</v>
      </c>
      <c r="Z12" s="15">
        <f t="shared" si="9"/>
        <v>0</v>
      </c>
      <c r="AA12" s="15">
        <f t="shared" si="5"/>
        <v>0</v>
      </c>
      <c r="AB12" s="15">
        <f t="shared" si="10"/>
        <v>0</v>
      </c>
      <c r="AC12" s="16">
        <f t="shared" si="11"/>
        <v>0</v>
      </c>
      <c r="AD12" s="16">
        <f t="shared" si="12"/>
        <v>0</v>
      </c>
      <c r="AE12" s="16">
        <f t="shared" si="13"/>
        <v>0</v>
      </c>
      <c r="AF12" s="16">
        <f t="shared" si="14"/>
        <v>0</v>
      </c>
      <c r="AG12" s="16"/>
      <c r="AH12" s="17"/>
      <c r="AI12" s="17">
        <f t="shared" si="15"/>
        <v>0</v>
      </c>
      <c r="AJ12" s="15">
        <f t="shared" si="16"/>
        <v>0</v>
      </c>
      <c r="AK12" s="18">
        <v>5</v>
      </c>
      <c r="AL12" s="22"/>
    </row>
    <row r="13" spans="1:38" ht="23.5" customHeight="1" x14ac:dyDescent="0.2">
      <c r="A13" s="6" t="s">
        <v>37</v>
      </c>
      <c r="B13" s="25"/>
      <c r="C13" s="47"/>
      <c r="D13" s="19"/>
      <c r="E13" s="23"/>
      <c r="F13" s="24"/>
      <c r="G13" s="24"/>
      <c r="H13" s="23"/>
      <c r="I13" s="11"/>
      <c r="J13" s="49"/>
      <c r="K13" s="12"/>
      <c r="L13" s="13"/>
      <c r="M13" s="13"/>
      <c r="N13" s="14">
        <f t="shared" si="6"/>
        <v>0</v>
      </c>
      <c r="O13" s="53"/>
      <c r="P13" s="51"/>
      <c r="Q13" s="51"/>
      <c r="R13" s="50"/>
      <c r="S13" s="15">
        <f t="shared" si="7"/>
        <v>0</v>
      </c>
      <c r="T13" s="15">
        <f t="shared" si="0"/>
        <v>0</v>
      </c>
      <c r="U13" s="15">
        <f t="shared" si="1"/>
        <v>0</v>
      </c>
      <c r="V13" s="15">
        <f t="shared" si="2"/>
        <v>0</v>
      </c>
      <c r="W13" s="15">
        <f t="shared" si="3"/>
        <v>0</v>
      </c>
      <c r="X13" s="15">
        <f t="shared" si="8"/>
        <v>0</v>
      </c>
      <c r="Y13" s="15">
        <f t="shared" si="4"/>
        <v>0</v>
      </c>
      <c r="Z13" s="15">
        <f t="shared" si="9"/>
        <v>0</v>
      </c>
      <c r="AA13" s="15">
        <f t="shared" si="5"/>
        <v>0</v>
      </c>
      <c r="AB13" s="15">
        <f t="shared" si="10"/>
        <v>0</v>
      </c>
      <c r="AC13" s="16">
        <f t="shared" si="11"/>
        <v>0</v>
      </c>
      <c r="AD13" s="16">
        <f t="shared" si="12"/>
        <v>0</v>
      </c>
      <c r="AE13" s="16">
        <f t="shared" si="13"/>
        <v>0</v>
      </c>
      <c r="AF13" s="16">
        <f t="shared" si="14"/>
        <v>0</v>
      </c>
      <c r="AG13" s="16"/>
      <c r="AH13" s="17"/>
      <c r="AI13" s="17">
        <f t="shared" si="15"/>
        <v>0</v>
      </c>
      <c r="AJ13" s="15">
        <f t="shared" si="16"/>
        <v>0</v>
      </c>
      <c r="AK13" s="18">
        <v>6</v>
      </c>
      <c r="AL13" s="22"/>
    </row>
    <row r="14" spans="1:38" ht="23.5" customHeight="1" x14ac:dyDescent="0.2">
      <c r="A14" s="6" t="s">
        <v>38</v>
      </c>
      <c r="B14" s="25"/>
      <c r="C14" s="47"/>
      <c r="D14" s="19"/>
      <c r="E14" s="23"/>
      <c r="F14" s="24"/>
      <c r="G14" s="24"/>
      <c r="H14" s="23"/>
      <c r="I14" s="11"/>
      <c r="J14" s="49"/>
      <c r="K14" s="12"/>
      <c r="L14" s="13"/>
      <c r="M14" s="13"/>
      <c r="N14" s="14">
        <f t="shared" si="6"/>
        <v>0</v>
      </c>
      <c r="O14" s="53"/>
      <c r="P14" s="51"/>
      <c r="Q14" s="51"/>
      <c r="R14" s="50"/>
      <c r="S14" s="15">
        <f t="shared" si="7"/>
        <v>0</v>
      </c>
      <c r="T14" s="15">
        <f t="shared" si="0"/>
        <v>0</v>
      </c>
      <c r="U14" s="15">
        <f t="shared" si="1"/>
        <v>0</v>
      </c>
      <c r="V14" s="15">
        <f t="shared" si="2"/>
        <v>0</v>
      </c>
      <c r="W14" s="15">
        <f t="shared" si="3"/>
        <v>0</v>
      </c>
      <c r="X14" s="15">
        <f t="shared" si="8"/>
        <v>0</v>
      </c>
      <c r="Y14" s="15">
        <f t="shared" si="4"/>
        <v>0</v>
      </c>
      <c r="Z14" s="15">
        <f t="shared" si="9"/>
        <v>0</v>
      </c>
      <c r="AA14" s="15">
        <f t="shared" si="5"/>
        <v>0</v>
      </c>
      <c r="AB14" s="15">
        <f t="shared" si="10"/>
        <v>0</v>
      </c>
      <c r="AC14" s="16">
        <f t="shared" si="11"/>
        <v>0</v>
      </c>
      <c r="AD14" s="16">
        <f t="shared" si="12"/>
        <v>0</v>
      </c>
      <c r="AE14" s="16">
        <f t="shared" si="13"/>
        <v>0</v>
      </c>
      <c r="AF14" s="16">
        <f t="shared" si="14"/>
        <v>0</v>
      </c>
      <c r="AG14" s="16"/>
      <c r="AH14" s="17"/>
      <c r="AI14" s="17">
        <f t="shared" si="15"/>
        <v>0</v>
      </c>
      <c r="AJ14" s="15">
        <f t="shared" si="16"/>
        <v>0</v>
      </c>
      <c r="AK14" s="18">
        <v>7</v>
      </c>
      <c r="AL14" s="22"/>
    </row>
    <row r="15" spans="1:38" ht="23.5" customHeight="1" x14ac:dyDescent="0.2">
      <c r="A15" s="6" t="s">
        <v>39</v>
      </c>
      <c r="B15" s="25"/>
      <c r="C15" s="47"/>
      <c r="D15" s="19"/>
      <c r="E15" s="23"/>
      <c r="F15" s="24"/>
      <c r="G15" s="24"/>
      <c r="H15" s="23"/>
      <c r="I15" s="11"/>
      <c r="J15" s="49"/>
      <c r="K15" s="12"/>
      <c r="L15" s="13"/>
      <c r="M15" s="13"/>
      <c r="N15" s="14">
        <f t="shared" si="6"/>
        <v>0</v>
      </c>
      <c r="O15" s="53"/>
      <c r="P15" s="51"/>
      <c r="Q15" s="51"/>
      <c r="R15" s="50"/>
      <c r="S15" s="15">
        <f t="shared" si="7"/>
        <v>0</v>
      </c>
      <c r="T15" s="15">
        <f t="shared" si="0"/>
        <v>0</v>
      </c>
      <c r="U15" s="15">
        <f t="shared" si="1"/>
        <v>0</v>
      </c>
      <c r="V15" s="15">
        <f t="shared" si="2"/>
        <v>0</v>
      </c>
      <c r="W15" s="15">
        <f t="shared" si="3"/>
        <v>0</v>
      </c>
      <c r="X15" s="15">
        <f t="shared" si="8"/>
        <v>0</v>
      </c>
      <c r="Y15" s="15">
        <f t="shared" si="4"/>
        <v>0</v>
      </c>
      <c r="Z15" s="15">
        <f t="shared" si="9"/>
        <v>0</v>
      </c>
      <c r="AA15" s="15">
        <f t="shared" si="5"/>
        <v>0</v>
      </c>
      <c r="AB15" s="15">
        <f t="shared" si="10"/>
        <v>0</v>
      </c>
      <c r="AC15" s="16">
        <f t="shared" si="11"/>
        <v>0</v>
      </c>
      <c r="AD15" s="16">
        <f t="shared" si="12"/>
        <v>0</v>
      </c>
      <c r="AE15" s="16">
        <f t="shared" si="13"/>
        <v>0</v>
      </c>
      <c r="AF15" s="16">
        <f t="shared" si="14"/>
        <v>0</v>
      </c>
      <c r="AG15" s="16"/>
      <c r="AH15" s="17"/>
      <c r="AI15" s="17">
        <f t="shared" si="15"/>
        <v>0</v>
      </c>
      <c r="AJ15" s="15">
        <f t="shared" si="16"/>
        <v>0</v>
      </c>
      <c r="AK15" s="18">
        <v>8</v>
      </c>
      <c r="AL15" s="22"/>
    </row>
    <row r="16" spans="1:38" ht="23.5" customHeight="1" x14ac:dyDescent="0.2">
      <c r="A16" s="6" t="s">
        <v>40</v>
      </c>
      <c r="B16" s="25"/>
      <c r="C16" s="47"/>
      <c r="D16" s="19"/>
      <c r="E16" s="23"/>
      <c r="F16" s="24"/>
      <c r="G16" s="24"/>
      <c r="H16" s="23"/>
      <c r="I16" s="11"/>
      <c r="J16" s="49"/>
      <c r="K16" s="12"/>
      <c r="L16" s="13"/>
      <c r="M16" s="13"/>
      <c r="N16" s="14">
        <f t="shared" si="6"/>
        <v>0</v>
      </c>
      <c r="O16" s="53"/>
      <c r="P16" s="51"/>
      <c r="Q16" s="51"/>
      <c r="R16" s="50"/>
      <c r="S16" s="15">
        <f t="shared" si="7"/>
        <v>0</v>
      </c>
      <c r="T16" s="15">
        <f t="shared" si="0"/>
        <v>0</v>
      </c>
      <c r="U16" s="15">
        <f t="shared" si="1"/>
        <v>0</v>
      </c>
      <c r="V16" s="15">
        <f t="shared" si="2"/>
        <v>0</v>
      </c>
      <c r="W16" s="15">
        <f t="shared" si="3"/>
        <v>0</v>
      </c>
      <c r="X16" s="15">
        <f t="shared" si="8"/>
        <v>0</v>
      </c>
      <c r="Y16" s="15">
        <f t="shared" si="4"/>
        <v>0</v>
      </c>
      <c r="Z16" s="15">
        <f t="shared" si="9"/>
        <v>0</v>
      </c>
      <c r="AA16" s="15">
        <f t="shared" si="5"/>
        <v>0</v>
      </c>
      <c r="AB16" s="15">
        <f t="shared" si="10"/>
        <v>0</v>
      </c>
      <c r="AC16" s="16">
        <f t="shared" si="11"/>
        <v>0</v>
      </c>
      <c r="AD16" s="16">
        <f t="shared" si="12"/>
        <v>0</v>
      </c>
      <c r="AE16" s="16">
        <f t="shared" si="13"/>
        <v>0</v>
      </c>
      <c r="AF16" s="16">
        <f t="shared" si="14"/>
        <v>0</v>
      </c>
      <c r="AG16" s="16"/>
      <c r="AH16" s="17"/>
      <c r="AI16" s="17">
        <f t="shared" si="15"/>
        <v>0</v>
      </c>
      <c r="AJ16" s="15">
        <f t="shared" si="16"/>
        <v>0</v>
      </c>
      <c r="AK16" s="18">
        <v>9</v>
      </c>
      <c r="AL16" s="32"/>
    </row>
    <row r="17" spans="1:38" ht="23.5" customHeight="1" x14ac:dyDescent="0.2">
      <c r="A17" s="6" t="s">
        <v>41</v>
      </c>
      <c r="B17" s="25"/>
      <c r="C17" s="47"/>
      <c r="D17" s="19"/>
      <c r="E17" s="23"/>
      <c r="F17" s="24"/>
      <c r="G17" s="24"/>
      <c r="H17" s="23"/>
      <c r="I17" s="11"/>
      <c r="J17" s="49"/>
      <c r="K17" s="12"/>
      <c r="L17" s="13"/>
      <c r="M17" s="13"/>
      <c r="N17" s="14">
        <f t="shared" si="6"/>
        <v>0</v>
      </c>
      <c r="O17" s="53"/>
      <c r="P17" s="51"/>
      <c r="Q17" s="51"/>
      <c r="R17" s="50"/>
      <c r="S17" s="15">
        <f t="shared" si="7"/>
        <v>0</v>
      </c>
      <c r="T17" s="15">
        <f t="shared" si="0"/>
        <v>0</v>
      </c>
      <c r="U17" s="15">
        <f t="shared" si="1"/>
        <v>0</v>
      </c>
      <c r="V17" s="15">
        <f t="shared" si="2"/>
        <v>0</v>
      </c>
      <c r="W17" s="15">
        <f t="shared" si="3"/>
        <v>0</v>
      </c>
      <c r="X17" s="15">
        <f t="shared" si="8"/>
        <v>0</v>
      </c>
      <c r="Y17" s="15">
        <f t="shared" si="4"/>
        <v>0</v>
      </c>
      <c r="Z17" s="15">
        <f t="shared" si="9"/>
        <v>0</v>
      </c>
      <c r="AA17" s="15">
        <f t="shared" si="5"/>
        <v>0</v>
      </c>
      <c r="AB17" s="15">
        <f t="shared" si="10"/>
        <v>0</v>
      </c>
      <c r="AC17" s="16">
        <f t="shared" si="11"/>
        <v>0</v>
      </c>
      <c r="AD17" s="16">
        <f t="shared" si="12"/>
        <v>0</v>
      </c>
      <c r="AE17" s="16">
        <f t="shared" si="13"/>
        <v>0</v>
      </c>
      <c r="AF17" s="16">
        <f t="shared" si="14"/>
        <v>0</v>
      </c>
      <c r="AG17" s="16"/>
      <c r="AH17" s="17"/>
      <c r="AI17" s="17">
        <f t="shared" si="15"/>
        <v>0</v>
      </c>
      <c r="AJ17" s="15">
        <f t="shared" si="16"/>
        <v>0</v>
      </c>
      <c r="AK17" s="18">
        <v>10</v>
      </c>
      <c r="AL17" s="22"/>
    </row>
    <row r="18" spans="1:38" x14ac:dyDescent="0.2">
      <c r="B18" s="26"/>
      <c r="C18" s="26"/>
      <c r="D18" s="26"/>
      <c r="E18" s="26"/>
      <c r="F18" s="26"/>
      <c r="G18" s="26"/>
      <c r="H18" s="26"/>
      <c r="I18" s="26"/>
      <c r="K18" s="27"/>
      <c r="L18" s="28"/>
      <c r="M18" s="28"/>
      <c r="N18" s="14">
        <f>I18*(SUM(K18:M18))</f>
        <v>0</v>
      </c>
      <c r="O18" s="29"/>
      <c r="P18" s="30"/>
      <c r="Q18" s="30"/>
      <c r="R18" s="30"/>
      <c r="S18" s="31"/>
      <c r="T18" s="30">
        <f>SUM(T8:T17)</f>
        <v>2671147</v>
      </c>
      <c r="U18" s="31"/>
      <c r="V18" s="31"/>
      <c r="W18" s="31"/>
      <c r="X18" s="30">
        <f>SUM(X8:X17)</f>
        <v>3613905</v>
      </c>
      <c r="Y18" s="31"/>
      <c r="Z18" s="30">
        <f>SUM(Z8:Z17)</f>
        <v>942758</v>
      </c>
      <c r="AA18" s="31"/>
      <c r="AB18" s="30">
        <f t="shared" ref="AB18:AJ18" si="17">SUM(AB8:AB17)</f>
        <v>0</v>
      </c>
      <c r="AC18" s="30">
        <f t="shared" si="17"/>
        <v>7227810</v>
      </c>
      <c r="AD18" s="30">
        <f t="shared" si="17"/>
        <v>0</v>
      </c>
      <c r="AE18" s="30">
        <f t="shared" si="17"/>
        <v>0</v>
      </c>
      <c r="AF18" s="30">
        <f t="shared" si="17"/>
        <v>7227810</v>
      </c>
      <c r="AG18" s="30">
        <f t="shared" si="17"/>
        <v>0</v>
      </c>
      <c r="AH18" s="30">
        <f t="shared" si="17"/>
        <v>0</v>
      </c>
      <c r="AI18" s="30">
        <f t="shared" si="17"/>
        <v>0</v>
      </c>
      <c r="AJ18" s="30">
        <f t="shared" si="17"/>
        <v>7227810</v>
      </c>
    </row>
    <row r="19" spans="1:38" x14ac:dyDescent="0.2">
      <c r="B19" s="26"/>
      <c r="C19" s="26"/>
      <c r="D19" s="26"/>
      <c r="E19" s="26"/>
      <c r="F19" s="26"/>
      <c r="G19" s="26"/>
      <c r="H19" s="26"/>
      <c r="I19" s="26"/>
      <c r="K19" s="33"/>
      <c r="L19" s="26"/>
      <c r="M19" s="26"/>
      <c r="O19"/>
    </row>
    <row r="20" spans="1:38" x14ac:dyDescent="0.2">
      <c r="B20" s="100" t="s">
        <v>42</v>
      </c>
      <c r="C20" s="100"/>
      <c r="D20" s="26"/>
      <c r="E20" s="26"/>
      <c r="F20" s="26"/>
      <c r="G20" s="26"/>
      <c r="H20" s="26"/>
      <c r="I20" s="26"/>
      <c r="K20" s="33"/>
      <c r="L20" s="26"/>
      <c r="M20" s="26"/>
      <c r="O20"/>
    </row>
    <row r="21" spans="1:38" ht="14.5" customHeight="1" x14ac:dyDescent="0.2">
      <c r="B21" s="34" t="s">
        <v>43</v>
      </c>
      <c r="C21" s="34"/>
      <c r="D21" s="26"/>
      <c r="E21" s="26"/>
      <c r="F21" s="26"/>
      <c r="G21" s="26"/>
      <c r="H21" s="26"/>
      <c r="I21" s="26"/>
      <c r="K21" s="26"/>
      <c r="L21" s="26"/>
      <c r="M21" s="26"/>
      <c r="O21"/>
      <c r="AA21" s="26"/>
      <c r="AB21" s="26"/>
    </row>
    <row r="22" spans="1:38" x14ac:dyDescent="0.2">
      <c r="B22" s="35"/>
      <c r="C22" s="35"/>
      <c r="D22" s="26"/>
      <c r="E22" s="26"/>
      <c r="F22" s="26"/>
      <c r="G22" s="26"/>
      <c r="H22" s="26"/>
      <c r="I22" s="26"/>
      <c r="K22" s="26"/>
      <c r="L22" s="26"/>
      <c r="M22" s="26"/>
      <c r="O22"/>
      <c r="AA22" s="26"/>
      <c r="AB22" s="26"/>
    </row>
    <row r="23" spans="1:38" x14ac:dyDescent="0.2">
      <c r="B23" s="35"/>
      <c r="C23" s="35"/>
      <c r="D23" s="26"/>
      <c r="E23" s="26"/>
      <c r="F23" s="26"/>
      <c r="G23" s="26"/>
      <c r="H23" s="26"/>
      <c r="I23" s="26"/>
      <c r="K23" s="26"/>
      <c r="L23" s="26"/>
      <c r="M23" s="26"/>
      <c r="O23"/>
      <c r="AA23" s="26"/>
      <c r="AB23" s="26"/>
    </row>
    <row r="24" spans="1:38" x14ac:dyDescent="0.2">
      <c r="B24" s="36"/>
      <c r="C24" s="36"/>
      <c r="O24"/>
      <c r="AB24" s="26"/>
    </row>
    <row r="25" spans="1:38" x14ac:dyDescent="0.2">
      <c r="B25" s="36"/>
      <c r="C25" s="36"/>
      <c r="S25" s="38"/>
      <c r="T25" s="39"/>
      <c r="U25" s="39"/>
    </row>
    <row r="26" spans="1:38" x14ac:dyDescent="0.2">
      <c r="B26" s="97" t="s">
        <v>44</v>
      </c>
      <c r="C26" s="97"/>
      <c r="S26" s="98"/>
      <c r="T26" s="98"/>
      <c r="U26" s="98"/>
      <c r="V26" s="98"/>
      <c r="W26" s="98"/>
    </row>
    <row r="27" spans="1:38" x14ac:dyDescent="0.2">
      <c r="B27" s="40" t="s">
        <v>45</v>
      </c>
      <c r="C27" s="40"/>
      <c r="S27" s="98"/>
      <c r="T27" s="98"/>
      <c r="U27" s="98"/>
      <c r="V27" s="98"/>
      <c r="W27" s="98"/>
    </row>
    <row r="28" spans="1:38" x14ac:dyDescent="0.2">
      <c r="X28" s="26"/>
      <c r="Y28" s="26"/>
      <c r="Z28" s="26"/>
      <c r="AA28" s="26"/>
      <c r="AB28" s="26"/>
    </row>
    <row r="29" spans="1:38" x14ac:dyDescent="0.2">
      <c r="V29" s="26"/>
      <c r="W29" s="26"/>
      <c r="X29" s="26"/>
      <c r="Y29" s="26"/>
      <c r="Z29" s="26"/>
      <c r="AA29" s="26"/>
      <c r="AB29" s="26"/>
    </row>
    <row r="30" spans="1:38" x14ac:dyDescent="0.2">
      <c r="V30" s="26"/>
      <c r="W30" s="26"/>
      <c r="X30" s="26"/>
      <c r="Y30" s="26"/>
      <c r="Z30" s="26"/>
      <c r="AA30" s="26"/>
      <c r="AB30" s="26"/>
    </row>
    <row r="31" spans="1:38" x14ac:dyDescent="0.2">
      <c r="V31" s="26"/>
      <c r="W31" s="26"/>
      <c r="X31" s="26"/>
      <c r="Y31" s="26"/>
      <c r="Z31" s="26"/>
      <c r="AA31" s="26"/>
      <c r="AB31" s="26"/>
    </row>
    <row r="32" spans="1:38" x14ac:dyDescent="0.2">
      <c r="V32" s="26"/>
      <c r="W32" s="26"/>
      <c r="X32" s="26"/>
      <c r="Y32" s="26"/>
      <c r="Z32" s="26"/>
      <c r="AA32" s="26"/>
      <c r="AB32" s="26"/>
    </row>
    <row r="33" spans="20:28" x14ac:dyDescent="0.2">
      <c r="V33" s="26"/>
      <c r="W33" s="26"/>
      <c r="X33" s="26"/>
      <c r="Y33" s="26"/>
      <c r="Z33" s="26"/>
      <c r="AA33" s="26"/>
      <c r="AB33" s="26"/>
    </row>
    <row r="34" spans="20:28" x14ac:dyDescent="0.2">
      <c r="V34" s="26"/>
      <c r="W34" s="26"/>
      <c r="X34" s="26"/>
      <c r="Y34" s="26"/>
      <c r="Z34" s="26"/>
      <c r="AA34" s="26"/>
      <c r="AB34" s="26"/>
    </row>
    <row r="35" spans="20:28" x14ac:dyDescent="0.2">
      <c r="T35" s="42"/>
      <c r="V35" s="26"/>
      <c r="W35" s="26"/>
      <c r="X35" s="42"/>
      <c r="Y35" s="26"/>
      <c r="Z35" s="42"/>
      <c r="AA35" s="26"/>
      <c r="AB35" s="42"/>
    </row>
    <row r="36" spans="20:28" x14ac:dyDescent="0.2">
      <c r="T36" s="43"/>
      <c r="U36" s="43"/>
      <c r="V36" s="41"/>
      <c r="W36" s="41"/>
      <c r="X36" s="41"/>
      <c r="Y36" s="41"/>
      <c r="Z36" s="41"/>
      <c r="AA36" s="41"/>
      <c r="AB36" s="41"/>
    </row>
    <row r="37" spans="20:28" x14ac:dyDescent="0.2">
      <c r="T37" s="43"/>
      <c r="U37" s="43"/>
      <c r="V37" s="41"/>
      <c r="W37" s="41"/>
      <c r="X37" s="43"/>
      <c r="Y37" s="41"/>
      <c r="Z37" s="43"/>
      <c r="AA37" s="41"/>
      <c r="AB37" s="43"/>
    </row>
    <row r="38" spans="20:28" x14ac:dyDescent="0.2">
      <c r="T38" s="43"/>
      <c r="U38" s="44"/>
      <c r="V38" s="45"/>
      <c r="W38" s="45"/>
      <c r="X38" s="43"/>
      <c r="Y38" s="45"/>
      <c r="Z38" s="43"/>
      <c r="AA38" s="45"/>
      <c r="AB38" s="43"/>
    </row>
    <row r="39" spans="20:28" x14ac:dyDescent="0.2">
      <c r="T39" s="44"/>
      <c r="U39" s="44"/>
      <c r="V39" s="45"/>
      <c r="W39" s="45"/>
      <c r="X39" s="45"/>
      <c r="Y39" s="45"/>
      <c r="Z39" s="45"/>
      <c r="AA39" s="45"/>
      <c r="AB39" s="45"/>
    </row>
    <row r="40" spans="20:28" x14ac:dyDescent="0.2">
      <c r="T40" s="44"/>
      <c r="U40" s="44"/>
      <c r="V40" s="45"/>
      <c r="W40" s="45"/>
      <c r="X40" s="45"/>
      <c r="Y40" s="45"/>
      <c r="Z40" s="45"/>
      <c r="AA40" s="45"/>
      <c r="AB40" s="45"/>
    </row>
    <row r="41" spans="20:28" x14ac:dyDescent="0.2">
      <c r="V41" s="26"/>
      <c r="W41" s="26"/>
      <c r="X41" s="26"/>
      <c r="Y41" s="26"/>
      <c r="Z41" s="26"/>
      <c r="AA41" s="26"/>
      <c r="AB41" s="26"/>
    </row>
    <row r="42" spans="20:28" x14ac:dyDescent="0.2">
      <c r="V42" s="26"/>
      <c r="W42" s="26"/>
      <c r="X42" s="26"/>
      <c r="Y42" s="26"/>
      <c r="Z42" s="26"/>
      <c r="AA42" s="26"/>
      <c r="AB42" s="26"/>
    </row>
    <row r="43" spans="20:28" x14ac:dyDescent="0.2">
      <c r="V43" s="26"/>
      <c r="W43" s="26"/>
      <c r="X43" s="26"/>
      <c r="Y43" s="26"/>
      <c r="Z43" s="26"/>
      <c r="AA43" s="26"/>
      <c r="AB43" s="26"/>
    </row>
    <row r="44" spans="20:28" x14ac:dyDescent="0.2">
      <c r="V44" s="26"/>
      <c r="W44" s="26"/>
      <c r="X44" s="26"/>
      <c r="Y44" s="26"/>
      <c r="Z44" s="26"/>
      <c r="AA44" s="26"/>
      <c r="AB44" s="26"/>
    </row>
    <row r="45" spans="20:28" x14ac:dyDescent="0.2">
      <c r="V45" s="26"/>
      <c r="W45" s="26"/>
      <c r="X45" s="26"/>
      <c r="Y45" s="26"/>
      <c r="Z45" s="26"/>
      <c r="AA45" s="26"/>
      <c r="AB45" s="26"/>
    </row>
    <row r="46" spans="20:28" x14ac:dyDescent="0.2">
      <c r="V46" s="26"/>
      <c r="W46" s="26"/>
      <c r="X46" s="26"/>
      <c r="Y46" s="26"/>
      <c r="Z46" s="26"/>
      <c r="AA46" s="26"/>
      <c r="AB46" s="26"/>
    </row>
    <row r="47" spans="20:28" x14ac:dyDescent="0.2">
      <c r="V47" s="26"/>
      <c r="W47" s="26"/>
      <c r="X47" s="26"/>
      <c r="Y47" s="26"/>
      <c r="Z47" s="26"/>
      <c r="AA47" s="26"/>
      <c r="AB47" s="26"/>
    </row>
    <row r="48" spans="20:28" x14ac:dyDescent="0.2">
      <c r="V48" s="26"/>
      <c r="W48" s="26"/>
      <c r="X48" s="26"/>
      <c r="Y48" s="26"/>
      <c r="Z48" s="26"/>
      <c r="AA48" s="26"/>
      <c r="AB48" s="26"/>
    </row>
    <row r="49" spans="22:28" x14ac:dyDescent="0.2">
      <c r="V49" s="26"/>
      <c r="W49" s="26"/>
      <c r="X49" s="26"/>
      <c r="Y49" s="26"/>
      <c r="Z49" s="26"/>
      <c r="AA49" s="26"/>
      <c r="AB49" s="26"/>
    </row>
    <row r="50" spans="22:28" x14ac:dyDescent="0.2">
      <c r="V50" s="26"/>
      <c r="W50" s="26"/>
      <c r="X50" s="26"/>
      <c r="Y50" s="26"/>
      <c r="Z50" s="26"/>
      <c r="AA50" s="26"/>
      <c r="AB50" s="26"/>
    </row>
    <row r="51" spans="22:28" x14ac:dyDescent="0.2">
      <c r="V51" s="26"/>
      <c r="W51" s="26"/>
      <c r="X51" s="26"/>
      <c r="Y51" s="26"/>
      <c r="Z51" s="26"/>
      <c r="AA51" s="26"/>
      <c r="AB51" s="26"/>
    </row>
    <row r="52" spans="22:28" x14ac:dyDescent="0.2">
      <c r="V52" s="26"/>
      <c r="W52" s="26"/>
      <c r="X52" s="26"/>
      <c r="Y52" s="26"/>
      <c r="Z52" s="26"/>
      <c r="AA52" s="26"/>
      <c r="AB52" s="26"/>
    </row>
    <row r="53" spans="22:28" x14ac:dyDescent="0.2">
      <c r="V53" s="26"/>
      <c r="W53" s="26"/>
      <c r="X53" s="26"/>
      <c r="Y53" s="26"/>
      <c r="Z53" s="26"/>
      <c r="AA53" s="26"/>
      <c r="AB53" s="26"/>
    </row>
    <row r="54" spans="22:28" x14ac:dyDescent="0.2">
      <c r="V54" s="26"/>
      <c r="W54" s="26"/>
      <c r="X54" s="26"/>
      <c r="Y54" s="26"/>
      <c r="Z54" s="26"/>
      <c r="AA54" s="26"/>
      <c r="AB54" s="26"/>
    </row>
  </sheetData>
  <mergeCells count="44">
    <mergeCell ref="Z6:Z7"/>
    <mergeCell ref="B20:C20"/>
    <mergeCell ref="R5:R7"/>
    <mergeCell ref="B26:C26"/>
    <mergeCell ref="S26:W26"/>
    <mergeCell ref="S27:W27"/>
    <mergeCell ref="Y6:Y7"/>
    <mergeCell ref="H5:H7"/>
    <mergeCell ref="I5:I7"/>
    <mergeCell ref="J5:M5"/>
    <mergeCell ref="N5:N7"/>
    <mergeCell ref="O5:Q5"/>
    <mergeCell ref="AJ5:AJ7"/>
    <mergeCell ref="AK5:AL7"/>
    <mergeCell ref="J6:J7"/>
    <mergeCell ref="K6:K7"/>
    <mergeCell ref="L6:L7"/>
    <mergeCell ref="M6:M7"/>
    <mergeCell ref="O6:O7"/>
    <mergeCell ref="P6:P7"/>
    <mergeCell ref="Q6:Q7"/>
    <mergeCell ref="S5:AC5"/>
    <mergeCell ref="AD5:AD7"/>
    <mergeCell ref="AE5:AE7"/>
    <mergeCell ref="AF5:AF7"/>
    <mergeCell ref="AG5:AG7"/>
    <mergeCell ref="AH5:AH7"/>
    <mergeCell ref="AI5:AI7"/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AA6:AA7"/>
    <mergeCell ref="AB6:AB7"/>
    <mergeCell ref="AC6:AC7"/>
    <mergeCell ref="T6:T7"/>
    <mergeCell ref="U6:W6"/>
    <mergeCell ref="X6:X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2026-02-24T04:31:26Z</dcterms:modified>
</cp:coreProperties>
</file>