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user/Downloads/"/>
    </mc:Choice>
  </mc:AlternateContent>
  <xr:revisionPtr revIDLastSave="0" documentId="13_ncr:1_{67A58192-50B5-F04D-B50E-01746E21E1CA}" xr6:coauthVersionLast="47" xr6:coauthVersionMax="47" xr10:uidLastSave="{00000000-0000-0000-0000-000000000000}"/>
  <bookViews>
    <workbookView xWindow="0" yWindow="600" windowWidth="33600" windowHeight="18740" activeTab="9" xr2:uid="{00000000-000D-0000-FFFF-FFFF00000000}"/>
  </bookViews>
  <sheets>
    <sheet name="Pejabat" sheetId="1" r:id="rId1"/>
    <sheet name="Umum" sheetId="2" r:id="rId2"/>
    <sheet name="Kesra" sheetId="3" r:id="rId3"/>
    <sheet name="Organisasi" sheetId="4" r:id="rId4"/>
    <sheet name="Perekonomian" sheetId="5" r:id="rId5"/>
    <sheet name="Prokom" sheetId="6" r:id="rId6"/>
    <sheet name="PBJ" sheetId="7" r:id="rId7"/>
    <sheet name="Adpem" sheetId="8" r:id="rId8"/>
    <sheet name="Hukum" sheetId="9" r:id="rId9"/>
    <sheet name="Pemerintahan" sheetId="10" r:id="rId10"/>
    <sheet name="CPNS" sheetId="11" r:id="rId11"/>
    <sheet name="PLT" sheetId="12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</externalReferences>
  <definedNames>
    <definedName name="_3">#REF!</definedName>
    <definedName name="_Key2" hidden="1">[1]A!#REF!</definedName>
    <definedName name="_Order1" hidden="1">0</definedName>
    <definedName name="_Order2" hidden="1">255</definedName>
    <definedName name="_Sort" hidden="1">[1]A!#REF!</definedName>
    <definedName name="a">#REF!</definedName>
    <definedName name="aaaaaaaaaaaaaaaaaaaaaaa">#REF!</definedName>
    <definedName name="ad">#REF!</definedName>
    <definedName name="at" hidden="1">[1]A!#REF!</definedName>
    <definedName name="_xlnm.Database">#REF!</definedName>
    <definedName name="db_7580">#REF!</definedName>
    <definedName name="DLH">[2]sampel!#REF!</definedName>
    <definedName name="FAKTOR__2__WEWENANG_PENYELIAAN_DAN_MANAJERIAL__3_Level_6">#REF!</definedName>
    <definedName name="FAKTOR_1__PENGETAHUAN___9_Level_7">#REF!</definedName>
    <definedName name="FAKTOR_1__RUANG_LINGKUP_PROGRAM_DAN_DAMPAKNYA__5_Level_6">#REF!</definedName>
    <definedName name="FAKTOR_2____PENGENDALIAN_PENGAWASAN__5_Level_7">#REF!</definedName>
    <definedName name="FAKTOR_3____PEDOMAN__5_Level_7">#REF!</definedName>
    <definedName name="FAKTOR_3___KOORDINASI_DAN_PENGINTEGRASIAN__5_Level_6">#REF!</definedName>
    <definedName name="FAKTOR_4____KOMPLEKSITAS__6_Level_7">#REF!</definedName>
    <definedName name="FAKTOR_4a___HUBUNGAN_PERSONAL___SIFAT_HUBUNGAN_6">#REF!</definedName>
    <definedName name="FAKTOR_4b___HUBUNGAN_PERSONAL___TUJUAN_HUBUNGAN_6">#REF!</definedName>
    <definedName name="FAKTOR_5____RUANG_LINGKUP_DAN_PENGARUH__6_Level_7">#REF!</definedName>
    <definedName name="FAKTOR_6____HUBUNGAN_ANTAR_PRIBADI__4_Level_7">#REF!</definedName>
    <definedName name="FAKTOR_7____TUJUAN_HUBUNGAN__4_Level_7">#REF!</definedName>
    <definedName name="FAKTOR_8____TUNTUTAN_FISIK__3_Level_7">#REF!</definedName>
    <definedName name="FAKTOR_9____LINGKUNGAN_KERJA__3_Level_7">#REF!</definedName>
    <definedName name="ff">#REF!</definedName>
    <definedName name="FFF">[3]sampel!#REF!</definedName>
    <definedName name="G" hidden="1">[4]A!#REF!</definedName>
    <definedName name="gggggg" hidden="1">[5]A!#REF!</definedName>
    <definedName name="h" hidden="1">[4]A!#REF!</definedName>
    <definedName name="JFT">[6]sampel!#REF!</definedName>
    <definedName name="jfu">[6]sampel!#REF!</definedName>
    <definedName name="JO">[7]sampel!#REF!</definedName>
    <definedName name="JobPrice">[8]sampel!#REF!</definedName>
    <definedName name="JobPrice___0">[9]sampel!#REF!</definedName>
    <definedName name="JobPrice___0_3">[10]sampel!#REF!</definedName>
    <definedName name="JobPrice___0_4">[10]sampel!#REF!</definedName>
    <definedName name="JobPrice_3">[11]sampel!#REF!</definedName>
    <definedName name="JobPrice_4">[11]sampel!#REF!</definedName>
    <definedName name="JobValue">[8]sampel!#REF!</definedName>
    <definedName name="JobValue___0">[9]sampel!#REF!</definedName>
    <definedName name="JobValue___0_3">[10]sampel!#REF!</definedName>
    <definedName name="JobValue___0_4">[10]sampel!#REF!</definedName>
    <definedName name="JobValue_3">[11]sampel!#REF!</definedName>
    <definedName name="JobValue_4">[11]sampel!#REF!</definedName>
    <definedName name="jok">[7]sampel!#REF!</definedName>
    <definedName name="JP">[7]sampel!#REF!</definedName>
    <definedName name="JPRI">[7]sampel!#REF!</definedName>
    <definedName name="JV">[7]sampel!#REF!</definedName>
    <definedName name="JVA">[7]sampel!#REF!</definedName>
    <definedName name="JVAL">[7]sampel!#REF!</definedName>
    <definedName name="JVALU">[7]sampel!#REF!</definedName>
    <definedName name="Kelas">#REF!</definedName>
    <definedName name="Kelas_Rupiah">[12]Sheet10!$A$2:$B$17</definedName>
    <definedName name="Kriteria_Penilaian">[12]Sheet5!$D$3:$E$7</definedName>
    <definedName name="menpan">[6]sampel!#REF!</definedName>
    <definedName name="p">#REF!</definedName>
    <definedName name="pns_pemko">#REF!</definedName>
    <definedName name="_xlnm.Print_Area" localSheetId="6">PBJ!$A$24:$AC$51</definedName>
    <definedName name="_xlnm.Print_Area" localSheetId="11">PLT!$A$1:$AF$25</definedName>
    <definedName name="_xlnm.Print_Area" localSheetId="5">Prokom!$A$1:$AC$23</definedName>
    <definedName name="printarea">#REF!</definedName>
    <definedName name="Revisi">[6]sampel!#REF!</definedName>
    <definedName name="rrr">#REF!</definedName>
    <definedName name="rusdiyanto">[6]sampel!#REF!</definedName>
    <definedName name="S" hidden="1">[4]A!#REF!</definedName>
    <definedName name="sekda">#REF!</definedName>
    <definedName name="SITUASI___SITUASI_KHUSUS_6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9" i="11" l="1"/>
  <c r="AC10" i="11"/>
  <c r="AC11" i="11"/>
  <c r="AC12" i="11"/>
  <c r="AC13" i="11"/>
  <c r="AC14" i="11"/>
  <c r="AC15" i="11"/>
  <c r="AC16" i="11"/>
  <c r="AC8" i="11"/>
  <c r="AC9" i="12"/>
  <c r="AB9" i="11"/>
  <c r="AB10" i="11"/>
  <c r="AB11" i="11"/>
  <c r="AB12" i="11"/>
  <c r="AB13" i="11"/>
  <c r="AB14" i="11"/>
  <c r="AB15" i="11"/>
  <c r="AB16" i="11"/>
  <c r="AA8" i="11"/>
  <c r="AA9" i="11"/>
  <c r="AA10" i="11"/>
  <c r="AA11" i="11"/>
  <c r="AA12" i="11"/>
  <c r="AA13" i="11"/>
  <c r="AA14" i="11"/>
  <c r="AA15" i="11"/>
  <c r="AA16" i="11"/>
  <c r="Z9" i="11"/>
  <c r="Z10" i="11"/>
  <c r="Z11" i="11"/>
  <c r="Z12" i="11"/>
  <c r="Z13" i="11"/>
  <c r="Z14" i="11"/>
  <c r="Z15" i="11"/>
  <c r="Z16" i="11"/>
  <c r="Y9" i="11"/>
  <c r="Y10" i="11"/>
  <c r="Y11" i="11"/>
  <c r="Y12" i="11"/>
  <c r="Y13" i="11"/>
  <c r="Y14" i="11"/>
  <c r="Y15" i="11"/>
  <c r="Y16" i="11"/>
  <c r="X9" i="1"/>
  <c r="N13" i="12"/>
  <c r="AA12" i="12"/>
  <c r="AB12" i="12" s="1"/>
  <c r="Y12" i="12"/>
  <c r="Z12" i="12" s="1"/>
  <c r="W12" i="12"/>
  <c r="V12" i="12"/>
  <c r="U12" i="12"/>
  <c r="S12" i="12"/>
  <c r="T12" i="12" s="1"/>
  <c r="N12" i="12"/>
  <c r="AA11" i="12"/>
  <c r="AB11" i="12" s="1"/>
  <c r="Z11" i="12"/>
  <c r="Y11" i="12"/>
  <c r="W11" i="12"/>
  <c r="V11" i="12"/>
  <c r="U11" i="12"/>
  <c r="X11" i="12" s="1"/>
  <c r="S11" i="12"/>
  <c r="T11" i="12" s="1"/>
  <c r="N11" i="12"/>
  <c r="AA10" i="12"/>
  <c r="AB10" i="12" s="1"/>
  <c r="Y10" i="12"/>
  <c r="Z10" i="12" s="1"/>
  <c r="X10" i="12"/>
  <c r="W10" i="12"/>
  <c r="V10" i="12"/>
  <c r="U10" i="12"/>
  <c r="S10" i="12"/>
  <c r="T10" i="12" s="1"/>
  <c r="AC10" i="12" s="1"/>
  <c r="AD10" i="12" s="1"/>
  <c r="N10" i="12"/>
  <c r="AB9" i="12"/>
  <c r="AA9" i="12"/>
  <c r="Y9" i="12"/>
  <c r="Z9" i="12" s="1"/>
  <c r="W9" i="12"/>
  <c r="V9" i="12"/>
  <c r="U9" i="12"/>
  <c r="X9" i="12" s="1"/>
  <c r="AD9" i="12" s="1"/>
  <c r="T9" i="12"/>
  <c r="S9" i="12"/>
  <c r="N9" i="12"/>
  <c r="AA8" i="12"/>
  <c r="AB8" i="12" s="1"/>
  <c r="Z8" i="12"/>
  <c r="Z13" i="12" s="1"/>
  <c r="Y8" i="12"/>
  <c r="W8" i="12"/>
  <c r="V8" i="12"/>
  <c r="U8" i="12"/>
  <c r="X8" i="12" s="1"/>
  <c r="S8" i="12"/>
  <c r="T8" i="12" s="1"/>
  <c r="N8" i="12"/>
  <c r="AH17" i="11"/>
  <c r="N17" i="11"/>
  <c r="AI16" i="11"/>
  <c r="AE16" i="11"/>
  <c r="W16" i="11"/>
  <c r="X16" i="11" s="1"/>
  <c r="V16" i="11"/>
  <c r="U16" i="11"/>
  <c r="T16" i="11"/>
  <c r="S16" i="11"/>
  <c r="N16" i="11"/>
  <c r="AI15" i="11"/>
  <c r="AE15" i="11" s="1"/>
  <c r="W15" i="11"/>
  <c r="V15" i="11"/>
  <c r="U15" i="11"/>
  <c r="X15" i="11" s="1"/>
  <c r="T15" i="11"/>
  <c r="S15" i="11"/>
  <c r="N15" i="11"/>
  <c r="AI14" i="11"/>
  <c r="AE14" i="11" s="1"/>
  <c r="W14" i="11"/>
  <c r="X14" i="11" s="1"/>
  <c r="V14" i="11"/>
  <c r="U14" i="11"/>
  <c r="T14" i="11"/>
  <c r="S14" i="11"/>
  <c r="N14" i="11"/>
  <c r="AI13" i="11"/>
  <c r="AE13" i="11" s="1"/>
  <c r="W13" i="11"/>
  <c r="V13" i="11"/>
  <c r="U13" i="11"/>
  <c r="X13" i="11" s="1"/>
  <c r="T13" i="11"/>
  <c r="S13" i="11"/>
  <c r="N13" i="11"/>
  <c r="AI12" i="11"/>
  <c r="AE12" i="11" s="1"/>
  <c r="X12" i="11"/>
  <c r="W12" i="11"/>
  <c r="V12" i="11"/>
  <c r="U12" i="11"/>
  <c r="T12" i="11"/>
  <c r="S12" i="11"/>
  <c r="N12" i="11"/>
  <c r="AI11" i="11"/>
  <c r="AE11" i="11" s="1"/>
  <c r="W11" i="11"/>
  <c r="V11" i="11"/>
  <c r="U11" i="11"/>
  <c r="X11" i="11" s="1"/>
  <c r="AG11" i="11" s="1"/>
  <c r="AD11" i="11" s="1"/>
  <c r="T11" i="11"/>
  <c r="S11" i="11"/>
  <c r="N11" i="11"/>
  <c r="AI10" i="11"/>
  <c r="AE10" i="11" s="1"/>
  <c r="W10" i="11"/>
  <c r="X10" i="11" s="1"/>
  <c r="V10" i="11"/>
  <c r="U10" i="11"/>
  <c r="T10" i="11"/>
  <c r="S10" i="11"/>
  <c r="N10" i="11"/>
  <c r="AI9" i="11"/>
  <c r="AE9" i="11" s="1"/>
  <c r="W9" i="11"/>
  <c r="V9" i="11"/>
  <c r="U9" i="11"/>
  <c r="X9" i="11" s="1"/>
  <c r="AG9" i="11" s="1"/>
  <c r="AD9" i="11" s="1"/>
  <c r="T9" i="11"/>
  <c r="S9" i="11"/>
  <c r="N9" i="11"/>
  <c r="AI8" i="11"/>
  <c r="AB8" i="11"/>
  <c r="Z8" i="11"/>
  <c r="Y8" i="11"/>
  <c r="W8" i="11"/>
  <c r="X8" i="11" s="1"/>
  <c r="X17" i="11" s="1"/>
  <c r="V8" i="11"/>
  <c r="U8" i="11"/>
  <c r="T8" i="11"/>
  <c r="S8" i="11"/>
  <c r="N8" i="11"/>
  <c r="AH28" i="10"/>
  <c r="AG28" i="10"/>
  <c r="N28" i="10"/>
  <c r="AI27" i="10"/>
  <c r="AE27" i="10"/>
  <c r="AD27" i="10"/>
  <c r="AA27" i="10"/>
  <c r="AB27" i="10" s="1"/>
  <c r="Z27" i="10"/>
  <c r="Y27" i="10"/>
  <c r="X27" i="10"/>
  <c r="W27" i="10"/>
  <c r="V27" i="10"/>
  <c r="U27" i="10"/>
  <c r="S27" i="10"/>
  <c r="T27" i="10" s="1"/>
  <c r="N27" i="10"/>
  <c r="AI26" i="10"/>
  <c r="AE26" i="10" s="1"/>
  <c r="AD26" i="10"/>
  <c r="AA26" i="10"/>
  <c r="AB26" i="10" s="1"/>
  <c r="Y26" i="10"/>
  <c r="Z26" i="10" s="1"/>
  <c r="W26" i="10"/>
  <c r="V26" i="10"/>
  <c r="X26" i="10" s="1"/>
  <c r="U26" i="10"/>
  <c r="S26" i="10"/>
  <c r="T26" i="10" s="1"/>
  <c r="AC26" i="10" s="1"/>
  <c r="N26" i="10"/>
  <c r="AI25" i="10"/>
  <c r="AE25" i="10"/>
  <c r="AD25" i="10"/>
  <c r="AB25" i="10"/>
  <c r="AA25" i="10"/>
  <c r="Z25" i="10"/>
  <c r="Y25" i="10"/>
  <c r="X25" i="10"/>
  <c r="W25" i="10"/>
  <c r="V25" i="10"/>
  <c r="U25" i="10"/>
  <c r="T25" i="10"/>
  <c r="S25" i="10"/>
  <c r="N25" i="10"/>
  <c r="AI24" i="10"/>
  <c r="AE24" i="10" s="1"/>
  <c r="AD24" i="10"/>
  <c r="AA24" i="10"/>
  <c r="AB24" i="10" s="1"/>
  <c r="Y24" i="10"/>
  <c r="Z24" i="10" s="1"/>
  <c r="W24" i="10"/>
  <c r="V24" i="10"/>
  <c r="U24" i="10"/>
  <c r="X24" i="10" s="1"/>
  <c r="AC24" i="10" s="1"/>
  <c r="AF24" i="10" s="1"/>
  <c r="AJ24" i="10" s="1"/>
  <c r="S24" i="10"/>
  <c r="T24" i="10" s="1"/>
  <c r="N24" i="10"/>
  <c r="AI23" i="10"/>
  <c r="AE23" i="10" s="1"/>
  <c r="AD23" i="10"/>
  <c r="AB23" i="10"/>
  <c r="AA23" i="10"/>
  <c r="Z23" i="10"/>
  <c r="Y23" i="10"/>
  <c r="W23" i="10"/>
  <c r="V23" i="10"/>
  <c r="U23" i="10"/>
  <c r="X23" i="10" s="1"/>
  <c r="T23" i="10"/>
  <c r="S23" i="10"/>
  <c r="N23" i="10"/>
  <c r="AI22" i="10"/>
  <c r="AE22" i="10"/>
  <c r="AD22" i="10"/>
  <c r="AA22" i="10"/>
  <c r="AB22" i="10" s="1"/>
  <c r="Z22" i="10"/>
  <c r="Y22" i="10"/>
  <c r="W22" i="10"/>
  <c r="V22" i="10"/>
  <c r="U22" i="10"/>
  <c r="S22" i="10"/>
  <c r="T22" i="10" s="1"/>
  <c r="N22" i="10"/>
  <c r="AI21" i="10"/>
  <c r="AE21" i="10"/>
  <c r="AD21" i="10"/>
  <c r="AA21" i="10"/>
  <c r="AB21" i="10" s="1"/>
  <c r="Y21" i="10"/>
  <c r="Z21" i="10" s="1"/>
  <c r="X21" i="10"/>
  <c r="W21" i="10"/>
  <c r="V21" i="10"/>
  <c r="U21" i="10"/>
  <c r="T21" i="10"/>
  <c r="AC21" i="10" s="1"/>
  <c r="AF21" i="10" s="1"/>
  <c r="AJ21" i="10" s="1"/>
  <c r="S21" i="10"/>
  <c r="N21" i="10"/>
  <c r="AI20" i="10"/>
  <c r="AE20" i="10"/>
  <c r="AD20" i="10"/>
  <c r="AB20" i="10"/>
  <c r="AA20" i="10"/>
  <c r="Y20" i="10"/>
  <c r="Z20" i="10" s="1"/>
  <c r="W20" i="10"/>
  <c r="V20" i="10"/>
  <c r="U20" i="10"/>
  <c r="X20" i="10" s="1"/>
  <c r="T20" i="10"/>
  <c r="AC20" i="10" s="1"/>
  <c r="AF20" i="10" s="1"/>
  <c r="AJ20" i="10" s="1"/>
  <c r="S20" i="10"/>
  <c r="N20" i="10"/>
  <c r="AI19" i="10"/>
  <c r="AE19" i="10" s="1"/>
  <c r="AD19" i="10"/>
  <c r="AA19" i="10"/>
  <c r="AB19" i="10" s="1"/>
  <c r="Z19" i="10"/>
  <c r="Y19" i="10"/>
  <c r="X19" i="10"/>
  <c r="W19" i="10"/>
  <c r="V19" i="10"/>
  <c r="U19" i="10"/>
  <c r="S19" i="10"/>
  <c r="T19" i="10" s="1"/>
  <c r="N19" i="10"/>
  <c r="AI18" i="10"/>
  <c r="AE18" i="10" s="1"/>
  <c r="AD18" i="10"/>
  <c r="AA18" i="10"/>
  <c r="AB18" i="10" s="1"/>
  <c r="Y18" i="10"/>
  <c r="Z18" i="10" s="1"/>
  <c r="W18" i="10"/>
  <c r="V18" i="10"/>
  <c r="X18" i="10" s="1"/>
  <c r="U18" i="10"/>
  <c r="S18" i="10"/>
  <c r="T18" i="10" s="1"/>
  <c r="AC18" i="10" s="1"/>
  <c r="N18" i="10"/>
  <c r="AI17" i="10"/>
  <c r="AE17" i="10"/>
  <c r="AD17" i="10"/>
  <c r="AB17" i="10"/>
  <c r="AA17" i="10"/>
  <c r="Z17" i="10"/>
  <c r="Y17" i="10"/>
  <c r="W17" i="10"/>
  <c r="X17" i="10" s="1"/>
  <c r="V17" i="10"/>
  <c r="U17" i="10"/>
  <c r="T17" i="10"/>
  <c r="S17" i="10"/>
  <c r="N17" i="10"/>
  <c r="AI16" i="10"/>
  <c r="AE16" i="10" s="1"/>
  <c r="AD16" i="10"/>
  <c r="AA16" i="10"/>
  <c r="AB16" i="10" s="1"/>
  <c r="Y16" i="10"/>
  <c r="Z16" i="10" s="1"/>
  <c r="X16" i="10"/>
  <c r="AC16" i="10" s="1"/>
  <c r="W16" i="10"/>
  <c r="V16" i="10"/>
  <c r="U16" i="10"/>
  <c r="S16" i="10"/>
  <c r="T16" i="10" s="1"/>
  <c r="N16" i="10"/>
  <c r="AI15" i="10"/>
  <c r="AE15" i="10" s="1"/>
  <c r="AD15" i="10"/>
  <c r="AB15" i="10"/>
  <c r="AA15" i="10"/>
  <c r="Y15" i="10"/>
  <c r="Z15" i="10" s="1"/>
  <c r="W15" i="10"/>
  <c r="V15" i="10"/>
  <c r="U15" i="10"/>
  <c r="X15" i="10" s="1"/>
  <c r="T15" i="10"/>
  <c r="AC15" i="10" s="1"/>
  <c r="S15" i="10"/>
  <c r="N15" i="10"/>
  <c r="AI14" i="10"/>
  <c r="AE14" i="10"/>
  <c r="AD14" i="10"/>
  <c r="AA14" i="10"/>
  <c r="AB14" i="10" s="1"/>
  <c r="Z14" i="10"/>
  <c r="Y14" i="10"/>
  <c r="W14" i="10"/>
  <c r="V14" i="10"/>
  <c r="U14" i="10"/>
  <c r="X14" i="10" s="1"/>
  <c r="S14" i="10"/>
  <c r="T14" i="10" s="1"/>
  <c r="AC14" i="10" s="1"/>
  <c r="AF14" i="10" s="1"/>
  <c r="AJ14" i="10" s="1"/>
  <c r="N14" i="10"/>
  <c r="AI13" i="10"/>
  <c r="AE13" i="10"/>
  <c r="AD13" i="10"/>
  <c r="AA13" i="10"/>
  <c r="AB13" i="10" s="1"/>
  <c r="Y13" i="10"/>
  <c r="Z13" i="10" s="1"/>
  <c r="X13" i="10"/>
  <c r="W13" i="10"/>
  <c r="V13" i="10"/>
  <c r="U13" i="10"/>
  <c r="S13" i="10"/>
  <c r="T13" i="10" s="1"/>
  <c r="N13" i="10"/>
  <c r="AI12" i="10"/>
  <c r="AE12" i="10"/>
  <c r="AD12" i="10"/>
  <c r="AB12" i="10"/>
  <c r="AA12" i="10"/>
  <c r="Y12" i="10"/>
  <c r="Z12" i="10" s="1"/>
  <c r="W12" i="10"/>
  <c r="V12" i="10"/>
  <c r="U12" i="10"/>
  <c r="X12" i="10" s="1"/>
  <c r="T12" i="10"/>
  <c r="AC12" i="10" s="1"/>
  <c r="AF12" i="10" s="1"/>
  <c r="AJ12" i="10" s="1"/>
  <c r="S12" i="10"/>
  <c r="N12" i="10"/>
  <c r="AI11" i="10"/>
  <c r="AE11" i="10" s="1"/>
  <c r="AD11" i="10"/>
  <c r="AA11" i="10"/>
  <c r="AB11" i="10" s="1"/>
  <c r="Z11" i="10"/>
  <c r="Y11" i="10"/>
  <c r="W11" i="10"/>
  <c r="V11" i="10"/>
  <c r="U11" i="10"/>
  <c r="X11" i="10" s="1"/>
  <c r="S11" i="10"/>
  <c r="T11" i="10" s="1"/>
  <c r="AC11" i="10" s="1"/>
  <c r="AF11" i="10" s="1"/>
  <c r="AJ11" i="10" s="1"/>
  <c r="N11" i="10"/>
  <c r="AI10" i="10"/>
  <c r="AE10" i="10"/>
  <c r="AD10" i="10"/>
  <c r="AA10" i="10"/>
  <c r="AB10" i="10" s="1"/>
  <c r="Y10" i="10"/>
  <c r="Z10" i="10" s="1"/>
  <c r="W10" i="10"/>
  <c r="V10" i="10"/>
  <c r="X10" i="10" s="1"/>
  <c r="U10" i="10"/>
  <c r="S10" i="10"/>
  <c r="T10" i="10" s="1"/>
  <c r="N10" i="10"/>
  <c r="AI9" i="10"/>
  <c r="AE9" i="10"/>
  <c r="AD9" i="10"/>
  <c r="AB9" i="10"/>
  <c r="AA9" i="10"/>
  <c r="Z9" i="10"/>
  <c r="Y9" i="10"/>
  <c r="W9" i="10"/>
  <c r="X9" i="10" s="1"/>
  <c r="V9" i="10"/>
  <c r="U9" i="10"/>
  <c r="T9" i="10"/>
  <c r="S9" i="10"/>
  <c r="N9" i="10"/>
  <c r="AI8" i="10"/>
  <c r="AE8" i="10" s="1"/>
  <c r="AD8" i="10"/>
  <c r="AA8" i="10"/>
  <c r="AB8" i="10" s="1"/>
  <c r="Y8" i="10"/>
  <c r="Z8" i="10" s="1"/>
  <c r="X8" i="10"/>
  <c r="W8" i="10"/>
  <c r="V8" i="10"/>
  <c r="U8" i="10"/>
  <c r="S8" i="10"/>
  <c r="T8" i="10" s="1"/>
  <c r="N8" i="10"/>
  <c r="AH20" i="9"/>
  <c r="AG20" i="9"/>
  <c r="N20" i="9"/>
  <c r="AI19" i="9"/>
  <c r="AE19" i="9"/>
  <c r="AD19" i="9"/>
  <c r="AA19" i="9"/>
  <c r="AB19" i="9" s="1"/>
  <c r="Y19" i="9"/>
  <c r="Z19" i="9" s="1"/>
  <c r="W19" i="9"/>
  <c r="V19" i="9"/>
  <c r="X19" i="9" s="1"/>
  <c r="U19" i="9"/>
  <c r="S19" i="9"/>
  <c r="T19" i="9" s="1"/>
  <c r="N19" i="9"/>
  <c r="AI18" i="9"/>
  <c r="AE18" i="9"/>
  <c r="AD18" i="9"/>
  <c r="AB18" i="9"/>
  <c r="AA18" i="9"/>
  <c r="Z18" i="9"/>
  <c r="Y18" i="9"/>
  <c r="W18" i="9"/>
  <c r="X18" i="9" s="1"/>
  <c r="V18" i="9"/>
  <c r="U18" i="9"/>
  <c r="T18" i="9"/>
  <c r="S18" i="9"/>
  <c r="N18" i="9"/>
  <c r="AI17" i="9"/>
  <c r="AE17" i="9" s="1"/>
  <c r="AD17" i="9"/>
  <c r="AA17" i="9"/>
  <c r="AB17" i="9" s="1"/>
  <c r="Y17" i="9"/>
  <c r="Z17" i="9" s="1"/>
  <c r="X17" i="9"/>
  <c r="W17" i="9"/>
  <c r="V17" i="9"/>
  <c r="U17" i="9"/>
  <c r="S17" i="9"/>
  <c r="T17" i="9" s="1"/>
  <c r="N17" i="9"/>
  <c r="AI16" i="9"/>
  <c r="AE16" i="9" s="1"/>
  <c r="AD16" i="9"/>
  <c r="AB16" i="9"/>
  <c r="AA16" i="9"/>
  <c r="Y16" i="9"/>
  <c r="Z16" i="9" s="1"/>
  <c r="W16" i="9"/>
  <c r="V16" i="9"/>
  <c r="U16" i="9"/>
  <c r="X16" i="9" s="1"/>
  <c r="T16" i="9"/>
  <c r="S16" i="9"/>
  <c r="N16" i="9"/>
  <c r="AI15" i="9"/>
  <c r="AE15" i="9"/>
  <c r="AD15" i="9"/>
  <c r="AA15" i="9"/>
  <c r="AB15" i="9" s="1"/>
  <c r="AC15" i="9" s="1"/>
  <c r="AF15" i="9" s="1"/>
  <c r="AJ15" i="9" s="1"/>
  <c r="Z15" i="9"/>
  <c r="Y15" i="9"/>
  <c r="W15" i="9"/>
  <c r="V15" i="9"/>
  <c r="U15" i="9"/>
  <c r="X15" i="9" s="1"/>
  <c r="S15" i="9"/>
  <c r="T15" i="9" s="1"/>
  <c r="N15" i="9"/>
  <c r="AI14" i="9"/>
  <c r="AE14" i="9"/>
  <c r="AD14" i="9"/>
  <c r="AA14" i="9"/>
  <c r="AB14" i="9" s="1"/>
  <c r="Z14" i="9"/>
  <c r="Y14" i="9"/>
  <c r="X14" i="9"/>
  <c r="W14" i="9"/>
  <c r="V14" i="9"/>
  <c r="U14" i="9"/>
  <c r="S14" i="9"/>
  <c r="T14" i="9" s="1"/>
  <c r="N14" i="9"/>
  <c r="AI13" i="9"/>
  <c r="AE13" i="9"/>
  <c r="AD13" i="9"/>
  <c r="AB13" i="9"/>
  <c r="AA13" i="9"/>
  <c r="Y13" i="9"/>
  <c r="Z13" i="9" s="1"/>
  <c r="W13" i="9"/>
  <c r="V13" i="9"/>
  <c r="U13" i="9"/>
  <c r="T13" i="9"/>
  <c r="S13" i="9"/>
  <c r="N13" i="9"/>
  <c r="AI12" i="9"/>
  <c r="AE12" i="9" s="1"/>
  <c r="AD12" i="9"/>
  <c r="AB12" i="9"/>
  <c r="AA12" i="9"/>
  <c r="Z12" i="9"/>
  <c r="Y12" i="9"/>
  <c r="W12" i="9"/>
  <c r="V12" i="9"/>
  <c r="U12" i="9"/>
  <c r="X12" i="9" s="1"/>
  <c r="AC12" i="9" s="1"/>
  <c r="T12" i="9"/>
  <c r="S12" i="9"/>
  <c r="N12" i="9"/>
  <c r="AI11" i="9"/>
  <c r="AE11" i="9"/>
  <c r="AD11" i="9"/>
  <c r="AA11" i="9"/>
  <c r="AB11" i="9" s="1"/>
  <c r="Y11" i="9"/>
  <c r="Z11" i="9" s="1"/>
  <c r="W11" i="9"/>
  <c r="V11" i="9"/>
  <c r="X11" i="9" s="1"/>
  <c r="U11" i="9"/>
  <c r="S11" i="9"/>
  <c r="T11" i="9" s="1"/>
  <c r="N11" i="9"/>
  <c r="AI10" i="9"/>
  <c r="AE10" i="9"/>
  <c r="AD10" i="9"/>
  <c r="AB10" i="9"/>
  <c r="AA10" i="9"/>
  <c r="Z10" i="9"/>
  <c r="Y10" i="9"/>
  <c r="W10" i="9"/>
  <c r="X10" i="9" s="1"/>
  <c r="V10" i="9"/>
  <c r="U10" i="9"/>
  <c r="T10" i="9"/>
  <c r="S10" i="9"/>
  <c r="N10" i="9"/>
  <c r="AI9" i="9"/>
  <c r="AE9" i="9" s="1"/>
  <c r="AD9" i="9"/>
  <c r="AA9" i="9"/>
  <c r="AB9" i="9" s="1"/>
  <c r="Y9" i="9"/>
  <c r="Z9" i="9" s="1"/>
  <c r="W9" i="9"/>
  <c r="V9" i="9"/>
  <c r="U9" i="9"/>
  <c r="X9" i="9" s="1"/>
  <c r="S9" i="9"/>
  <c r="T9" i="9" s="1"/>
  <c r="AC9" i="9" s="1"/>
  <c r="AF9" i="9" s="1"/>
  <c r="AJ9" i="9" s="1"/>
  <c r="N9" i="9"/>
  <c r="AI8" i="9"/>
  <c r="AE8" i="9" s="1"/>
  <c r="AD8" i="9"/>
  <c r="AB8" i="9"/>
  <c r="AB20" i="9" s="1"/>
  <c r="AA8" i="9"/>
  <c r="Y8" i="9"/>
  <c r="Z8" i="9" s="1"/>
  <c r="Z20" i="9" s="1"/>
  <c r="W8" i="9"/>
  <c r="V8" i="9"/>
  <c r="U8" i="9"/>
  <c r="T8" i="9"/>
  <c r="S8" i="9"/>
  <c r="N8" i="9"/>
  <c r="AH21" i="8"/>
  <c r="AG21" i="8"/>
  <c r="N21" i="8"/>
  <c r="AI20" i="8"/>
  <c r="AE20" i="8"/>
  <c r="AD20" i="8"/>
  <c r="AB20" i="8"/>
  <c r="AA20" i="8"/>
  <c r="Z20" i="8"/>
  <c r="Y20" i="8"/>
  <c r="X20" i="8"/>
  <c r="W20" i="8"/>
  <c r="V20" i="8"/>
  <c r="U20" i="8"/>
  <c r="T20" i="8"/>
  <c r="S20" i="8"/>
  <c r="N20" i="8"/>
  <c r="AI19" i="8"/>
  <c r="AE19" i="8" s="1"/>
  <c r="AD19" i="8"/>
  <c r="AA19" i="8"/>
  <c r="AB19" i="8" s="1"/>
  <c r="Y19" i="8"/>
  <c r="Z19" i="8" s="1"/>
  <c r="W19" i="8"/>
  <c r="V19" i="8"/>
  <c r="U19" i="8"/>
  <c r="X19" i="8" s="1"/>
  <c r="S19" i="8"/>
  <c r="T19" i="8" s="1"/>
  <c r="AC19" i="8" s="1"/>
  <c r="AF19" i="8" s="1"/>
  <c r="AJ19" i="8" s="1"/>
  <c r="N19" i="8"/>
  <c r="AI18" i="8"/>
  <c r="AE18" i="8" s="1"/>
  <c r="AD18" i="8"/>
  <c r="AB18" i="8"/>
  <c r="AA18" i="8"/>
  <c r="Z18" i="8"/>
  <c r="Y18" i="8"/>
  <c r="W18" i="8"/>
  <c r="V18" i="8"/>
  <c r="U18" i="8"/>
  <c r="X18" i="8" s="1"/>
  <c r="T18" i="8"/>
  <c r="S18" i="8"/>
  <c r="N18" i="8"/>
  <c r="AI17" i="8"/>
  <c r="AE17" i="8"/>
  <c r="AD17" i="8"/>
  <c r="AA17" i="8"/>
  <c r="AB17" i="8" s="1"/>
  <c r="Z17" i="8"/>
  <c r="Y17" i="8"/>
  <c r="W17" i="8"/>
  <c r="V17" i="8"/>
  <c r="U17" i="8"/>
  <c r="X17" i="8" s="1"/>
  <c r="S17" i="8"/>
  <c r="T17" i="8" s="1"/>
  <c r="N17" i="8"/>
  <c r="AI16" i="8"/>
  <c r="AE16" i="8"/>
  <c r="AD16" i="8"/>
  <c r="AB16" i="8"/>
  <c r="AA16" i="8"/>
  <c r="Z16" i="8"/>
  <c r="Y16" i="8"/>
  <c r="W16" i="8"/>
  <c r="V16" i="8"/>
  <c r="X16" i="8" s="1"/>
  <c r="U16" i="8"/>
  <c r="S16" i="8"/>
  <c r="T16" i="8" s="1"/>
  <c r="N16" i="8"/>
  <c r="AI15" i="8"/>
  <c r="AE15" i="8"/>
  <c r="AD15" i="8"/>
  <c r="AB15" i="8"/>
  <c r="AA15" i="8"/>
  <c r="Y15" i="8"/>
  <c r="Z15" i="8" s="1"/>
  <c r="W15" i="8"/>
  <c r="V15" i="8"/>
  <c r="U15" i="8"/>
  <c r="X15" i="8" s="1"/>
  <c r="T15" i="8"/>
  <c r="S15" i="8"/>
  <c r="N15" i="8"/>
  <c r="AI14" i="8"/>
  <c r="AE14" i="8"/>
  <c r="AD14" i="8"/>
  <c r="AB14" i="8"/>
  <c r="AA14" i="8"/>
  <c r="Z14" i="8"/>
  <c r="Y14" i="8"/>
  <c r="W14" i="8"/>
  <c r="V14" i="8"/>
  <c r="U14" i="8"/>
  <c r="X14" i="8" s="1"/>
  <c r="T14" i="8"/>
  <c r="S14" i="8"/>
  <c r="N14" i="8"/>
  <c r="AI13" i="8"/>
  <c r="AE13" i="8" s="1"/>
  <c r="AD13" i="8"/>
  <c r="AA13" i="8"/>
  <c r="AB13" i="8" s="1"/>
  <c r="Y13" i="8"/>
  <c r="Z13" i="8" s="1"/>
  <c r="W13" i="8"/>
  <c r="V13" i="8"/>
  <c r="U13" i="8"/>
  <c r="S13" i="8"/>
  <c r="T13" i="8" s="1"/>
  <c r="N13" i="8"/>
  <c r="AI12" i="8"/>
  <c r="AF12" i="8"/>
  <c r="AJ12" i="8" s="1"/>
  <c r="AE12" i="8"/>
  <c r="AD12" i="8"/>
  <c r="AB12" i="8"/>
  <c r="AA12" i="8"/>
  <c r="Z12" i="8"/>
  <c r="Y12" i="8"/>
  <c r="W12" i="8"/>
  <c r="X12" i="8" s="1"/>
  <c r="V12" i="8"/>
  <c r="U12" i="8"/>
  <c r="T12" i="8"/>
  <c r="AC12" i="8" s="1"/>
  <c r="S12" i="8"/>
  <c r="N12" i="8"/>
  <c r="AI11" i="8"/>
  <c r="AE11" i="8" s="1"/>
  <c r="AD11" i="8"/>
  <c r="AA11" i="8"/>
  <c r="AB11" i="8" s="1"/>
  <c r="Y11" i="8"/>
  <c r="Z11" i="8" s="1"/>
  <c r="X11" i="8"/>
  <c r="W11" i="8"/>
  <c r="V11" i="8"/>
  <c r="U11" i="8"/>
  <c r="S11" i="8"/>
  <c r="T11" i="8" s="1"/>
  <c r="N11" i="8"/>
  <c r="AI10" i="8"/>
  <c r="AE10" i="8" s="1"/>
  <c r="AD10" i="8"/>
  <c r="AB10" i="8"/>
  <c r="AA10" i="8"/>
  <c r="Y10" i="8"/>
  <c r="Z10" i="8" s="1"/>
  <c r="W10" i="8"/>
  <c r="V10" i="8"/>
  <c r="U10" i="8"/>
  <c r="X10" i="8" s="1"/>
  <c r="T10" i="8"/>
  <c r="S10" i="8"/>
  <c r="N10" i="8"/>
  <c r="AI9" i="8"/>
  <c r="AE9" i="8"/>
  <c r="AD9" i="8"/>
  <c r="AA9" i="8"/>
  <c r="AB9" i="8" s="1"/>
  <c r="Z9" i="8"/>
  <c r="Y9" i="8"/>
  <c r="W9" i="8"/>
  <c r="V9" i="8"/>
  <c r="U9" i="8"/>
  <c r="X9" i="8" s="1"/>
  <c r="S9" i="8"/>
  <c r="T9" i="8" s="1"/>
  <c r="N9" i="8"/>
  <c r="AI8" i="8"/>
  <c r="AI21" i="8" s="1"/>
  <c r="AE8" i="8"/>
  <c r="AD8" i="8"/>
  <c r="AA8" i="8"/>
  <c r="AB8" i="8" s="1"/>
  <c r="Z8" i="8"/>
  <c r="Y8" i="8"/>
  <c r="X8" i="8"/>
  <c r="W8" i="8"/>
  <c r="V8" i="8"/>
  <c r="U8" i="8"/>
  <c r="S8" i="8"/>
  <c r="T8" i="8" s="1"/>
  <c r="N8" i="8"/>
  <c r="AH38" i="7"/>
  <c r="AG38" i="7"/>
  <c r="N38" i="7"/>
  <c r="AI37" i="7"/>
  <c r="AE37" i="7" s="1"/>
  <c r="AD37" i="7"/>
  <c r="AA37" i="7"/>
  <c r="AB37" i="7" s="1"/>
  <c r="Z37" i="7"/>
  <c r="Y37" i="7"/>
  <c r="W37" i="7"/>
  <c r="V37" i="7"/>
  <c r="U37" i="7"/>
  <c r="S37" i="7"/>
  <c r="T37" i="7" s="1"/>
  <c r="N37" i="7"/>
  <c r="AI36" i="7"/>
  <c r="AE36" i="7"/>
  <c r="AD36" i="7"/>
  <c r="AA36" i="7"/>
  <c r="AB36" i="7" s="1"/>
  <c r="Z36" i="7"/>
  <c r="Y36" i="7"/>
  <c r="W36" i="7"/>
  <c r="V36" i="7"/>
  <c r="U36" i="7"/>
  <c r="S36" i="7"/>
  <c r="T36" i="7" s="1"/>
  <c r="N36" i="7"/>
  <c r="AI35" i="7"/>
  <c r="AE35" i="7"/>
  <c r="AD35" i="7"/>
  <c r="AA35" i="7"/>
  <c r="AB35" i="7" s="1"/>
  <c r="Y35" i="7"/>
  <c r="Z35" i="7" s="1"/>
  <c r="X35" i="7"/>
  <c r="W35" i="7"/>
  <c r="V35" i="7"/>
  <c r="U35" i="7"/>
  <c r="T35" i="7"/>
  <c r="S35" i="7"/>
  <c r="N35" i="7"/>
  <c r="AI34" i="7"/>
  <c r="AE34" i="7"/>
  <c r="AD34" i="7"/>
  <c r="AB34" i="7"/>
  <c r="AA34" i="7"/>
  <c r="Y34" i="7"/>
  <c r="Z34" i="7" s="1"/>
  <c r="W34" i="7"/>
  <c r="V34" i="7"/>
  <c r="U34" i="7"/>
  <c r="T34" i="7"/>
  <c r="S34" i="7"/>
  <c r="N34" i="7"/>
  <c r="AI33" i="7"/>
  <c r="AE33" i="7"/>
  <c r="AD33" i="7"/>
  <c r="AA33" i="7"/>
  <c r="AB33" i="7" s="1"/>
  <c r="Y33" i="7"/>
  <c r="Z33" i="7" s="1"/>
  <c r="W33" i="7"/>
  <c r="V33" i="7"/>
  <c r="U33" i="7"/>
  <c r="X33" i="7" s="1"/>
  <c r="S33" i="7"/>
  <c r="T33" i="7" s="1"/>
  <c r="N33" i="7"/>
  <c r="AI32" i="7"/>
  <c r="AE32" i="7"/>
  <c r="AD32" i="7"/>
  <c r="AA32" i="7"/>
  <c r="AB32" i="7" s="1"/>
  <c r="Y32" i="7"/>
  <c r="Z32" i="7" s="1"/>
  <c r="W32" i="7"/>
  <c r="V32" i="7"/>
  <c r="X32" i="7" s="1"/>
  <c r="U32" i="7"/>
  <c r="S32" i="7"/>
  <c r="T32" i="7" s="1"/>
  <c r="N32" i="7"/>
  <c r="AI31" i="7"/>
  <c r="AE31" i="7" s="1"/>
  <c r="AD31" i="7"/>
  <c r="AA31" i="7"/>
  <c r="AB31" i="7" s="1"/>
  <c r="Y31" i="7"/>
  <c r="Z31" i="7" s="1"/>
  <c r="X31" i="7"/>
  <c r="W31" i="7"/>
  <c r="V31" i="7"/>
  <c r="U31" i="7"/>
  <c r="S31" i="7"/>
  <c r="T31" i="7" s="1"/>
  <c r="N31" i="7"/>
  <c r="AI30" i="7"/>
  <c r="AE30" i="7" s="1"/>
  <c r="AD30" i="7"/>
  <c r="AA30" i="7"/>
  <c r="AB30" i="7" s="1"/>
  <c r="Y30" i="7"/>
  <c r="Z30" i="7" s="1"/>
  <c r="X30" i="7"/>
  <c r="W30" i="7"/>
  <c r="V30" i="7"/>
  <c r="U30" i="7"/>
  <c r="S30" i="7"/>
  <c r="T30" i="7" s="1"/>
  <c r="AC30" i="7" s="1"/>
  <c r="AF30" i="7" s="1"/>
  <c r="AJ30" i="7" s="1"/>
  <c r="N30" i="7"/>
  <c r="AI29" i="7"/>
  <c r="AE29" i="7" s="1"/>
  <c r="AD29" i="7"/>
  <c r="AA29" i="7"/>
  <c r="AB29" i="7" s="1"/>
  <c r="Z29" i="7"/>
  <c r="Y29" i="7"/>
  <c r="W29" i="7"/>
  <c r="V29" i="7"/>
  <c r="U29" i="7"/>
  <c r="S29" i="7"/>
  <c r="T29" i="7" s="1"/>
  <c r="N29" i="7"/>
  <c r="AI28" i="7"/>
  <c r="AE28" i="7"/>
  <c r="AD28" i="7"/>
  <c r="AA28" i="7"/>
  <c r="AB28" i="7" s="1"/>
  <c r="Z28" i="7"/>
  <c r="Y28" i="7"/>
  <c r="W28" i="7"/>
  <c r="V28" i="7"/>
  <c r="U28" i="7"/>
  <c r="X28" i="7" s="1"/>
  <c r="S28" i="7"/>
  <c r="T28" i="7" s="1"/>
  <c r="N28" i="7"/>
  <c r="AI27" i="7"/>
  <c r="AF27" i="7"/>
  <c r="AJ27" i="7" s="1"/>
  <c r="AE27" i="7"/>
  <c r="AD27" i="7"/>
  <c r="AA27" i="7"/>
  <c r="AB27" i="7" s="1"/>
  <c r="Y27" i="7"/>
  <c r="Z27" i="7" s="1"/>
  <c r="W27" i="7"/>
  <c r="V27" i="7"/>
  <c r="X27" i="7" s="1"/>
  <c r="AC27" i="7" s="1"/>
  <c r="U27" i="7"/>
  <c r="T27" i="7"/>
  <c r="S27" i="7"/>
  <c r="N27" i="7"/>
  <c r="AI26" i="7"/>
  <c r="AE26" i="7"/>
  <c r="AD26" i="7"/>
  <c r="AB26" i="7"/>
  <c r="AA26" i="7"/>
  <c r="Y26" i="7"/>
  <c r="Z26" i="7" s="1"/>
  <c r="W26" i="7"/>
  <c r="V26" i="7"/>
  <c r="U26" i="7"/>
  <c r="T26" i="7"/>
  <c r="S26" i="7"/>
  <c r="N26" i="7"/>
  <c r="AI25" i="7"/>
  <c r="AE25" i="7"/>
  <c r="AD25" i="7"/>
  <c r="AA25" i="7"/>
  <c r="AB25" i="7" s="1"/>
  <c r="Y25" i="7"/>
  <c r="Z25" i="7" s="1"/>
  <c r="W25" i="7"/>
  <c r="V25" i="7"/>
  <c r="U25" i="7"/>
  <c r="X25" i="7" s="1"/>
  <c r="AC25" i="7" s="1"/>
  <c r="AF25" i="7" s="1"/>
  <c r="AJ25" i="7" s="1"/>
  <c r="S25" i="7"/>
  <c r="T25" i="7" s="1"/>
  <c r="N25" i="7"/>
  <c r="AI24" i="7"/>
  <c r="AE24" i="7"/>
  <c r="AD24" i="7"/>
  <c r="AA24" i="7"/>
  <c r="AB24" i="7" s="1"/>
  <c r="Y24" i="7"/>
  <c r="Z24" i="7" s="1"/>
  <c r="W24" i="7"/>
  <c r="V24" i="7"/>
  <c r="X24" i="7" s="1"/>
  <c r="U24" i="7"/>
  <c r="S24" i="7"/>
  <c r="T24" i="7" s="1"/>
  <c r="N24" i="7"/>
  <c r="AI23" i="7"/>
  <c r="AE23" i="7" s="1"/>
  <c r="AD23" i="7"/>
  <c r="AA23" i="7"/>
  <c r="AB23" i="7" s="1"/>
  <c r="Y23" i="7"/>
  <c r="Z23" i="7" s="1"/>
  <c r="X23" i="7"/>
  <c r="W23" i="7"/>
  <c r="V23" i="7"/>
  <c r="U23" i="7"/>
  <c r="S23" i="7"/>
  <c r="T23" i="7" s="1"/>
  <c r="N23" i="7"/>
  <c r="AJ22" i="7"/>
  <c r="AI22" i="7"/>
  <c r="AE22" i="7" s="1"/>
  <c r="AD22" i="7"/>
  <c r="AA22" i="7"/>
  <c r="AB22" i="7" s="1"/>
  <c r="Y22" i="7"/>
  <c r="Z22" i="7" s="1"/>
  <c r="X22" i="7"/>
  <c r="W22" i="7"/>
  <c r="V22" i="7"/>
  <c r="U22" i="7"/>
  <c r="S22" i="7"/>
  <c r="T22" i="7" s="1"/>
  <c r="AC22" i="7" s="1"/>
  <c r="AF22" i="7" s="1"/>
  <c r="N22" i="7"/>
  <c r="AI21" i="7"/>
  <c r="AE21" i="7" s="1"/>
  <c r="AD21" i="7"/>
  <c r="AA21" i="7"/>
  <c r="AB21" i="7" s="1"/>
  <c r="Y21" i="7"/>
  <c r="Z21" i="7" s="1"/>
  <c r="W21" i="7"/>
  <c r="V21" i="7"/>
  <c r="U21" i="7"/>
  <c r="S21" i="7"/>
  <c r="T21" i="7" s="1"/>
  <c r="N21" i="7"/>
  <c r="AI20" i="7"/>
  <c r="AE20" i="7"/>
  <c r="AD20" i="7"/>
  <c r="AA20" i="7"/>
  <c r="AB20" i="7" s="1"/>
  <c r="Z20" i="7"/>
  <c r="Y20" i="7"/>
  <c r="W20" i="7"/>
  <c r="V20" i="7"/>
  <c r="U20" i="7"/>
  <c r="S20" i="7"/>
  <c r="T20" i="7" s="1"/>
  <c r="N20" i="7"/>
  <c r="AI19" i="7"/>
  <c r="AE19" i="7"/>
  <c r="AD19" i="7"/>
  <c r="AA19" i="7"/>
  <c r="AB19" i="7" s="1"/>
  <c r="Y19" i="7"/>
  <c r="Z19" i="7" s="1"/>
  <c r="W19" i="7"/>
  <c r="V19" i="7"/>
  <c r="X19" i="7" s="1"/>
  <c r="U19" i="7"/>
  <c r="T19" i="7"/>
  <c r="S19" i="7"/>
  <c r="N19" i="7"/>
  <c r="AI18" i="7"/>
  <c r="AE18" i="7"/>
  <c r="AD18" i="7"/>
  <c r="AB18" i="7"/>
  <c r="AA18" i="7"/>
  <c r="Y18" i="7"/>
  <c r="Z18" i="7" s="1"/>
  <c r="W18" i="7"/>
  <c r="V18" i="7"/>
  <c r="U18" i="7"/>
  <c r="T18" i="7"/>
  <c r="S18" i="7"/>
  <c r="N18" i="7"/>
  <c r="AI17" i="7"/>
  <c r="AE17" i="7"/>
  <c r="AD17" i="7"/>
  <c r="AB17" i="7"/>
  <c r="AA17" i="7"/>
  <c r="Y17" i="7"/>
  <c r="Z17" i="7" s="1"/>
  <c r="W17" i="7"/>
  <c r="V17" i="7"/>
  <c r="U17" i="7"/>
  <c r="T17" i="7"/>
  <c r="S17" i="7"/>
  <c r="N17" i="7"/>
  <c r="AI16" i="7"/>
  <c r="AE16" i="7" s="1"/>
  <c r="AD16" i="7"/>
  <c r="AC16" i="7"/>
  <c r="AF16" i="7" s="1"/>
  <c r="AJ16" i="7" s="1"/>
  <c r="AA16" i="7"/>
  <c r="AB16" i="7" s="1"/>
  <c r="Y16" i="7"/>
  <c r="Z16" i="7" s="1"/>
  <c r="W16" i="7"/>
  <c r="X16" i="7" s="1"/>
  <c r="V16" i="7"/>
  <c r="U16" i="7"/>
  <c r="S16" i="7"/>
  <c r="T16" i="7" s="1"/>
  <c r="N16" i="7"/>
  <c r="AI15" i="7"/>
  <c r="AE15" i="7"/>
  <c r="AD15" i="7"/>
  <c r="AA15" i="7"/>
  <c r="AB15" i="7" s="1"/>
  <c r="Y15" i="7"/>
  <c r="Z15" i="7" s="1"/>
  <c r="W15" i="7"/>
  <c r="V15" i="7"/>
  <c r="U15" i="7"/>
  <c r="S15" i="7"/>
  <c r="T15" i="7" s="1"/>
  <c r="N15" i="7"/>
  <c r="AI14" i="7"/>
  <c r="AI38" i="7" s="1"/>
  <c r="AE14" i="7"/>
  <c r="AD14" i="7"/>
  <c r="AA14" i="7"/>
  <c r="AB14" i="7" s="1"/>
  <c r="Y14" i="7"/>
  <c r="Z14" i="7" s="1"/>
  <c r="X14" i="7"/>
  <c r="W14" i="7"/>
  <c r="V14" i="7"/>
  <c r="U14" i="7"/>
  <c r="S14" i="7"/>
  <c r="T14" i="7" s="1"/>
  <c r="N14" i="7"/>
  <c r="AI13" i="7"/>
  <c r="AE13" i="7" s="1"/>
  <c r="AD13" i="7"/>
  <c r="AA13" i="7"/>
  <c r="AB13" i="7" s="1"/>
  <c r="Y13" i="7"/>
  <c r="Z13" i="7" s="1"/>
  <c r="X13" i="7"/>
  <c r="W13" i="7"/>
  <c r="V13" i="7"/>
  <c r="U13" i="7"/>
  <c r="S13" i="7"/>
  <c r="T13" i="7" s="1"/>
  <c r="AC13" i="7" s="1"/>
  <c r="AF13" i="7" s="1"/>
  <c r="AJ13" i="7" s="1"/>
  <c r="N13" i="7"/>
  <c r="AI12" i="7"/>
  <c r="AE12" i="7" s="1"/>
  <c r="AD12" i="7"/>
  <c r="AB12" i="7"/>
  <c r="AA12" i="7"/>
  <c r="Z12" i="7"/>
  <c r="Y12" i="7"/>
  <c r="W12" i="7"/>
  <c r="V12" i="7"/>
  <c r="U12" i="7"/>
  <c r="X12" i="7" s="1"/>
  <c r="S12" i="7"/>
  <c r="T12" i="7" s="1"/>
  <c r="N12" i="7"/>
  <c r="AI11" i="7"/>
  <c r="AE11" i="7"/>
  <c r="AD11" i="7"/>
  <c r="AA11" i="7"/>
  <c r="AB11" i="7" s="1"/>
  <c r="Z11" i="7"/>
  <c r="Y11" i="7"/>
  <c r="W11" i="7"/>
  <c r="V11" i="7"/>
  <c r="U11" i="7"/>
  <c r="S11" i="7"/>
  <c r="T11" i="7" s="1"/>
  <c r="N11" i="7"/>
  <c r="AI10" i="7"/>
  <c r="AE10" i="7"/>
  <c r="AD10" i="7"/>
  <c r="AA10" i="7"/>
  <c r="AB10" i="7" s="1"/>
  <c r="AC10" i="7" s="1"/>
  <c r="AF10" i="7" s="1"/>
  <c r="AJ10" i="7" s="1"/>
  <c r="Y10" i="7"/>
  <c r="Z10" i="7" s="1"/>
  <c r="W10" i="7"/>
  <c r="V10" i="7"/>
  <c r="U10" i="7"/>
  <c r="X10" i="7" s="1"/>
  <c r="S10" i="7"/>
  <c r="T10" i="7" s="1"/>
  <c r="T38" i="7" s="1"/>
  <c r="N10" i="7"/>
  <c r="AI9" i="7"/>
  <c r="AE9" i="7"/>
  <c r="AD9" i="7"/>
  <c r="AB9" i="7"/>
  <c r="AA9" i="7"/>
  <c r="Y9" i="7"/>
  <c r="Z9" i="7" s="1"/>
  <c r="W9" i="7"/>
  <c r="V9" i="7"/>
  <c r="U9" i="7"/>
  <c r="T9" i="7"/>
  <c r="S9" i="7"/>
  <c r="N9" i="7"/>
  <c r="AI8" i="7"/>
  <c r="AE8" i="7"/>
  <c r="AD8" i="7"/>
  <c r="AA8" i="7"/>
  <c r="AB8" i="7" s="1"/>
  <c r="Y8" i="7"/>
  <c r="Z8" i="7" s="1"/>
  <c r="W8" i="7"/>
  <c r="V8" i="7"/>
  <c r="U8" i="7"/>
  <c r="X8" i="7" s="1"/>
  <c r="S8" i="7"/>
  <c r="T8" i="7" s="1"/>
  <c r="N8" i="7"/>
  <c r="AH36" i="6"/>
  <c r="AG36" i="6"/>
  <c r="N36" i="6"/>
  <c r="AI35" i="6"/>
  <c r="AE35" i="6"/>
  <c r="AD35" i="6"/>
  <c r="AA35" i="6"/>
  <c r="AB35" i="6" s="1"/>
  <c r="Y35" i="6"/>
  <c r="Z35" i="6" s="1"/>
  <c r="W35" i="6"/>
  <c r="V35" i="6"/>
  <c r="U35" i="6"/>
  <c r="T35" i="6"/>
  <c r="S35" i="6"/>
  <c r="N35" i="6"/>
  <c r="AI34" i="6"/>
  <c r="AE34" i="6"/>
  <c r="AD34" i="6"/>
  <c r="AB34" i="6"/>
  <c r="AA34" i="6"/>
  <c r="Y34" i="6"/>
  <c r="Z34" i="6" s="1"/>
  <c r="W34" i="6"/>
  <c r="V34" i="6"/>
  <c r="U34" i="6"/>
  <c r="X34" i="6" s="1"/>
  <c r="T34" i="6"/>
  <c r="AC34" i="6" s="1"/>
  <c r="AF34" i="6" s="1"/>
  <c r="AJ34" i="6" s="1"/>
  <c r="S34" i="6"/>
  <c r="N34" i="6"/>
  <c r="AI33" i="6"/>
  <c r="AE33" i="6"/>
  <c r="AD33" i="6"/>
  <c r="AA33" i="6"/>
  <c r="AB33" i="6" s="1"/>
  <c r="Y33" i="6"/>
  <c r="Z33" i="6" s="1"/>
  <c r="W33" i="6"/>
  <c r="V33" i="6"/>
  <c r="U33" i="6"/>
  <c r="S33" i="6"/>
  <c r="T33" i="6" s="1"/>
  <c r="N33" i="6"/>
  <c r="AI32" i="6"/>
  <c r="AE32" i="6" s="1"/>
  <c r="AD32" i="6"/>
  <c r="AA32" i="6"/>
  <c r="AB32" i="6" s="1"/>
  <c r="Y32" i="6"/>
  <c r="Z32" i="6" s="1"/>
  <c r="W32" i="6"/>
  <c r="X32" i="6" s="1"/>
  <c r="V32" i="6"/>
  <c r="U32" i="6"/>
  <c r="S32" i="6"/>
  <c r="T32" i="6" s="1"/>
  <c r="N32" i="6"/>
  <c r="AI31" i="6"/>
  <c r="AE31" i="6"/>
  <c r="AD31" i="6"/>
  <c r="AA31" i="6"/>
  <c r="AB31" i="6" s="1"/>
  <c r="Z31" i="6"/>
  <c r="Y31" i="6"/>
  <c r="X31" i="6"/>
  <c r="W31" i="6"/>
  <c r="V31" i="6"/>
  <c r="U31" i="6"/>
  <c r="S31" i="6"/>
  <c r="T31" i="6" s="1"/>
  <c r="AC31" i="6" s="1"/>
  <c r="N31" i="6"/>
  <c r="AI30" i="6"/>
  <c r="AE30" i="6" s="1"/>
  <c r="AD30" i="6"/>
  <c r="AA30" i="6"/>
  <c r="AB30" i="6" s="1"/>
  <c r="Z30" i="6"/>
  <c r="Y30" i="6"/>
  <c r="X30" i="6"/>
  <c r="W30" i="6"/>
  <c r="V30" i="6"/>
  <c r="U30" i="6"/>
  <c r="S30" i="6"/>
  <c r="T30" i="6" s="1"/>
  <c r="N30" i="6"/>
  <c r="AI29" i="6"/>
  <c r="AE29" i="6" s="1"/>
  <c r="AD29" i="6"/>
  <c r="AA29" i="6"/>
  <c r="AB29" i="6" s="1"/>
  <c r="Z29" i="6"/>
  <c r="Y29" i="6"/>
  <c r="W29" i="6"/>
  <c r="V29" i="6"/>
  <c r="U29" i="6"/>
  <c r="T29" i="6"/>
  <c r="S29" i="6"/>
  <c r="N29" i="6"/>
  <c r="AI28" i="6"/>
  <c r="AE28" i="6"/>
  <c r="AD28" i="6"/>
  <c r="AB28" i="6"/>
  <c r="AA28" i="6"/>
  <c r="Z28" i="6"/>
  <c r="Y28" i="6"/>
  <c r="W28" i="6"/>
  <c r="V28" i="6"/>
  <c r="U28" i="6"/>
  <c r="S28" i="6"/>
  <c r="T28" i="6" s="1"/>
  <c r="N28" i="6"/>
  <c r="AI27" i="6"/>
  <c r="AE27" i="6"/>
  <c r="AD27" i="6"/>
  <c r="AA27" i="6"/>
  <c r="AB27" i="6" s="1"/>
  <c r="Y27" i="6"/>
  <c r="Z27" i="6" s="1"/>
  <c r="W27" i="6"/>
  <c r="V27" i="6"/>
  <c r="U27" i="6"/>
  <c r="X27" i="6" s="1"/>
  <c r="T27" i="6"/>
  <c r="AC27" i="6" s="1"/>
  <c r="AF27" i="6" s="1"/>
  <c r="AJ27" i="6" s="1"/>
  <c r="S27" i="6"/>
  <c r="N27" i="6"/>
  <c r="AI26" i="6"/>
  <c r="AE26" i="6"/>
  <c r="AD26" i="6"/>
  <c r="AB26" i="6"/>
  <c r="AA26" i="6"/>
  <c r="Z26" i="6"/>
  <c r="Y26" i="6"/>
  <c r="W26" i="6"/>
  <c r="V26" i="6"/>
  <c r="U26" i="6"/>
  <c r="T26" i="6"/>
  <c r="S26" i="6"/>
  <c r="N26" i="6"/>
  <c r="AI25" i="6"/>
  <c r="AE25" i="6"/>
  <c r="AD25" i="6"/>
  <c r="AA25" i="6"/>
  <c r="AB25" i="6" s="1"/>
  <c r="Z25" i="6"/>
  <c r="Y25" i="6"/>
  <c r="W25" i="6"/>
  <c r="V25" i="6"/>
  <c r="U25" i="6"/>
  <c r="S25" i="6"/>
  <c r="T25" i="6" s="1"/>
  <c r="N25" i="6"/>
  <c r="AI24" i="6"/>
  <c r="AE24" i="6"/>
  <c r="AD24" i="6"/>
  <c r="AA24" i="6"/>
  <c r="AB24" i="6" s="1"/>
  <c r="Y24" i="6"/>
  <c r="Z24" i="6" s="1"/>
  <c r="W24" i="6"/>
  <c r="V24" i="6"/>
  <c r="X24" i="6" s="1"/>
  <c r="U24" i="6"/>
  <c r="S24" i="6"/>
  <c r="T24" i="6" s="1"/>
  <c r="N24" i="6"/>
  <c r="AI23" i="6"/>
  <c r="AE23" i="6"/>
  <c r="AD23" i="6"/>
  <c r="AB23" i="6"/>
  <c r="AA23" i="6"/>
  <c r="Z23" i="6"/>
  <c r="Y23" i="6"/>
  <c r="W23" i="6"/>
  <c r="V23" i="6"/>
  <c r="U23" i="6"/>
  <c r="X23" i="6" s="1"/>
  <c r="T23" i="6"/>
  <c r="S23" i="6"/>
  <c r="N23" i="6"/>
  <c r="AI22" i="6"/>
  <c r="AE22" i="6" s="1"/>
  <c r="AD22" i="6"/>
  <c r="AB22" i="6"/>
  <c r="AA22" i="6"/>
  <c r="Z22" i="6"/>
  <c r="Y22" i="6"/>
  <c r="W22" i="6"/>
  <c r="V22" i="6"/>
  <c r="U22" i="6"/>
  <c r="X22" i="6" s="1"/>
  <c r="T22" i="6"/>
  <c r="S22" i="6"/>
  <c r="N22" i="6"/>
  <c r="AI21" i="6"/>
  <c r="AE21" i="6"/>
  <c r="AD21" i="6"/>
  <c r="AB21" i="6"/>
  <c r="AA21" i="6"/>
  <c r="Z21" i="6"/>
  <c r="Y21" i="6"/>
  <c r="W21" i="6"/>
  <c r="V21" i="6"/>
  <c r="U21" i="6"/>
  <c r="S21" i="6"/>
  <c r="T21" i="6" s="1"/>
  <c r="N21" i="6"/>
  <c r="AI20" i="6"/>
  <c r="AE20" i="6"/>
  <c r="AD20" i="6"/>
  <c r="AB20" i="6"/>
  <c r="AA20" i="6"/>
  <c r="Z20" i="6"/>
  <c r="Y20" i="6"/>
  <c r="W20" i="6"/>
  <c r="V20" i="6"/>
  <c r="U20" i="6"/>
  <c r="X20" i="6" s="1"/>
  <c r="T20" i="6"/>
  <c r="S20" i="6"/>
  <c r="N20" i="6"/>
  <c r="AI19" i="6"/>
  <c r="AE19" i="6"/>
  <c r="AD19" i="6"/>
  <c r="AA19" i="6"/>
  <c r="AB19" i="6" s="1"/>
  <c r="AC19" i="6" s="1"/>
  <c r="AF19" i="6" s="1"/>
  <c r="AJ19" i="6" s="1"/>
  <c r="Y19" i="6"/>
  <c r="Z19" i="6" s="1"/>
  <c r="W19" i="6"/>
  <c r="V19" i="6"/>
  <c r="U19" i="6"/>
  <c r="X19" i="6" s="1"/>
  <c r="S19" i="6"/>
  <c r="T19" i="6" s="1"/>
  <c r="N19" i="6"/>
  <c r="AI18" i="6"/>
  <c r="AE18" i="6" s="1"/>
  <c r="AD18" i="6"/>
  <c r="AB18" i="6"/>
  <c r="AA18" i="6"/>
  <c r="Y18" i="6"/>
  <c r="Z18" i="6" s="1"/>
  <c r="W18" i="6"/>
  <c r="V18" i="6"/>
  <c r="X18" i="6" s="1"/>
  <c r="U18" i="6"/>
  <c r="T18" i="6"/>
  <c r="S18" i="6"/>
  <c r="N18" i="6"/>
  <c r="AI17" i="6"/>
  <c r="AE17" i="6"/>
  <c r="AD17" i="6"/>
  <c r="AA17" i="6"/>
  <c r="AB17" i="6" s="1"/>
  <c r="Y17" i="6"/>
  <c r="Z17" i="6" s="1"/>
  <c r="W17" i="6"/>
  <c r="V17" i="6"/>
  <c r="U17" i="6"/>
  <c r="S17" i="6"/>
  <c r="T17" i="6" s="1"/>
  <c r="N17" i="6"/>
  <c r="AI16" i="6"/>
  <c r="AE16" i="6"/>
  <c r="AD16" i="6"/>
  <c r="AA16" i="6"/>
  <c r="AB16" i="6" s="1"/>
  <c r="Z16" i="6"/>
  <c r="Y16" i="6"/>
  <c r="W16" i="6"/>
  <c r="V16" i="6"/>
  <c r="X16" i="6" s="1"/>
  <c r="U16" i="6"/>
  <c r="S16" i="6"/>
  <c r="T16" i="6" s="1"/>
  <c r="N16" i="6"/>
  <c r="AI15" i="6"/>
  <c r="AE15" i="6" s="1"/>
  <c r="AD15" i="6"/>
  <c r="AA15" i="6"/>
  <c r="AB15" i="6" s="1"/>
  <c r="Y15" i="6"/>
  <c r="Z15" i="6" s="1"/>
  <c r="W15" i="6"/>
  <c r="X15" i="6" s="1"/>
  <c r="V15" i="6"/>
  <c r="U15" i="6"/>
  <c r="T15" i="6"/>
  <c r="S15" i="6"/>
  <c r="N15" i="6"/>
  <c r="AI14" i="6"/>
  <c r="AE14" i="6" s="1"/>
  <c r="AD14" i="6"/>
  <c r="AB14" i="6"/>
  <c r="AA14" i="6"/>
  <c r="Z14" i="6"/>
  <c r="Y14" i="6"/>
  <c r="W14" i="6"/>
  <c r="V14" i="6"/>
  <c r="U14" i="6"/>
  <c r="X14" i="6" s="1"/>
  <c r="AC14" i="6" s="1"/>
  <c r="AF14" i="6" s="1"/>
  <c r="AJ14" i="6" s="1"/>
  <c r="T14" i="6"/>
  <c r="S14" i="6"/>
  <c r="N14" i="6"/>
  <c r="AI13" i="6"/>
  <c r="AE13" i="6" s="1"/>
  <c r="AD13" i="6"/>
  <c r="AA13" i="6"/>
  <c r="AB13" i="6" s="1"/>
  <c r="Y13" i="6"/>
  <c r="Z13" i="6" s="1"/>
  <c r="W13" i="6"/>
  <c r="V13" i="6"/>
  <c r="U13" i="6"/>
  <c r="S13" i="6"/>
  <c r="T13" i="6" s="1"/>
  <c r="N13" i="6"/>
  <c r="AI12" i="6"/>
  <c r="AE12" i="6"/>
  <c r="AD12" i="6"/>
  <c r="AB12" i="6"/>
  <c r="AA12" i="6"/>
  <c r="Z12" i="6"/>
  <c r="Y12" i="6"/>
  <c r="W12" i="6"/>
  <c r="V12" i="6"/>
  <c r="U12" i="6"/>
  <c r="X12" i="6" s="1"/>
  <c r="T12" i="6"/>
  <c r="S12" i="6"/>
  <c r="N12" i="6"/>
  <c r="AI11" i="6"/>
  <c r="AE11" i="6"/>
  <c r="AD11" i="6"/>
  <c r="AC11" i="6"/>
  <c r="AF11" i="6" s="1"/>
  <c r="AJ11" i="6" s="1"/>
  <c r="AA11" i="6"/>
  <c r="AB11" i="6" s="1"/>
  <c r="Y11" i="6"/>
  <c r="Z11" i="6" s="1"/>
  <c r="W11" i="6"/>
  <c r="V11" i="6"/>
  <c r="U11" i="6"/>
  <c r="X11" i="6" s="1"/>
  <c r="S11" i="6"/>
  <c r="T11" i="6" s="1"/>
  <c r="N11" i="6"/>
  <c r="AI10" i="6"/>
  <c r="AE10" i="6" s="1"/>
  <c r="AD10" i="6"/>
  <c r="AB10" i="6"/>
  <c r="AA10" i="6"/>
  <c r="Y10" i="6"/>
  <c r="Z10" i="6" s="1"/>
  <c r="X10" i="6"/>
  <c r="W10" i="6"/>
  <c r="V10" i="6"/>
  <c r="U10" i="6"/>
  <c r="T10" i="6"/>
  <c r="S10" i="6"/>
  <c r="N10" i="6"/>
  <c r="AI9" i="6"/>
  <c r="AE9" i="6"/>
  <c r="AD9" i="6"/>
  <c r="AA9" i="6"/>
  <c r="AB9" i="6" s="1"/>
  <c r="Y9" i="6"/>
  <c r="Z9" i="6" s="1"/>
  <c r="W9" i="6"/>
  <c r="V9" i="6"/>
  <c r="U9" i="6"/>
  <c r="S9" i="6"/>
  <c r="T9" i="6" s="1"/>
  <c r="N9" i="6"/>
  <c r="AI8" i="6"/>
  <c r="AE8" i="6"/>
  <c r="AD8" i="6"/>
  <c r="AD36" i="6" s="1"/>
  <c r="AA8" i="6"/>
  <c r="AB8" i="6" s="1"/>
  <c r="Z8" i="6"/>
  <c r="Y8" i="6"/>
  <c r="W8" i="6"/>
  <c r="V8" i="6"/>
  <c r="X8" i="6" s="1"/>
  <c r="U8" i="6"/>
  <c r="S8" i="6"/>
  <c r="T8" i="6" s="1"/>
  <c r="N8" i="6"/>
  <c r="AL21" i="5"/>
  <c r="AH21" i="5"/>
  <c r="AG21" i="5"/>
  <c r="N21" i="5"/>
  <c r="AI20" i="5"/>
  <c r="AE20" i="5"/>
  <c r="AD20" i="5"/>
  <c r="AA20" i="5"/>
  <c r="AB20" i="5" s="1"/>
  <c r="Z20" i="5"/>
  <c r="AC20" i="5" s="1"/>
  <c r="AF20" i="5" s="1"/>
  <c r="AJ20" i="5" s="1"/>
  <c r="Y20" i="5"/>
  <c r="W20" i="5"/>
  <c r="V20" i="5"/>
  <c r="U20" i="5"/>
  <c r="X20" i="5" s="1"/>
  <c r="S20" i="5"/>
  <c r="T20" i="5" s="1"/>
  <c r="N20" i="5"/>
  <c r="AI19" i="5"/>
  <c r="AE19" i="5"/>
  <c r="AD19" i="5"/>
  <c r="AA19" i="5"/>
  <c r="AB19" i="5" s="1"/>
  <c r="Z19" i="5"/>
  <c r="Y19" i="5"/>
  <c r="X19" i="5"/>
  <c r="W19" i="5"/>
  <c r="V19" i="5"/>
  <c r="U19" i="5"/>
  <c r="S19" i="5"/>
  <c r="T19" i="5" s="1"/>
  <c r="N19" i="5"/>
  <c r="AI18" i="5"/>
  <c r="AE18" i="5" s="1"/>
  <c r="AD18" i="5"/>
  <c r="AB18" i="5"/>
  <c r="AA18" i="5"/>
  <c r="Y18" i="5"/>
  <c r="Z18" i="5" s="1"/>
  <c r="W18" i="5"/>
  <c r="X18" i="5" s="1"/>
  <c r="V18" i="5"/>
  <c r="U18" i="5"/>
  <c r="S18" i="5"/>
  <c r="T18" i="5" s="1"/>
  <c r="AC18" i="5" s="1"/>
  <c r="AF18" i="5" s="1"/>
  <c r="AJ18" i="5" s="1"/>
  <c r="N18" i="5"/>
  <c r="AI17" i="5"/>
  <c r="AE17" i="5" s="1"/>
  <c r="AD17" i="5"/>
  <c r="AB17" i="5"/>
  <c r="AA17" i="5"/>
  <c r="Z17" i="5"/>
  <c r="Y17" i="5"/>
  <c r="W17" i="5"/>
  <c r="V17" i="5"/>
  <c r="U17" i="5"/>
  <c r="X17" i="5" s="1"/>
  <c r="T17" i="5"/>
  <c r="AC17" i="5" s="1"/>
  <c r="AF17" i="5" s="1"/>
  <c r="AJ17" i="5" s="1"/>
  <c r="S17" i="5"/>
  <c r="N17" i="5"/>
  <c r="AI16" i="5"/>
  <c r="AE16" i="5" s="1"/>
  <c r="AD16" i="5"/>
  <c r="AA16" i="5"/>
  <c r="AB16" i="5" s="1"/>
  <c r="Y16" i="5"/>
  <c r="Z16" i="5" s="1"/>
  <c r="W16" i="5"/>
  <c r="V16" i="5"/>
  <c r="U16" i="5"/>
  <c r="S16" i="5"/>
  <c r="T16" i="5" s="1"/>
  <c r="N16" i="5"/>
  <c r="AI15" i="5"/>
  <c r="AE15" i="5"/>
  <c r="AD15" i="5"/>
  <c r="AB15" i="5"/>
  <c r="AA15" i="5"/>
  <c r="Z15" i="5"/>
  <c r="Y15" i="5"/>
  <c r="W15" i="5"/>
  <c r="V15" i="5"/>
  <c r="U15" i="5"/>
  <c r="X15" i="5" s="1"/>
  <c r="T15" i="5"/>
  <c r="S15" i="5"/>
  <c r="N15" i="5"/>
  <c r="AI14" i="5"/>
  <c r="AE14" i="5"/>
  <c r="AD14" i="5"/>
  <c r="AA14" i="5"/>
  <c r="AB14" i="5" s="1"/>
  <c r="Y14" i="5"/>
  <c r="Z14" i="5" s="1"/>
  <c r="X14" i="5"/>
  <c r="AC14" i="5" s="1"/>
  <c r="AF14" i="5" s="1"/>
  <c r="AJ14" i="5" s="1"/>
  <c r="W14" i="5"/>
  <c r="V14" i="5"/>
  <c r="U14" i="5"/>
  <c r="S14" i="5"/>
  <c r="T14" i="5" s="1"/>
  <c r="N14" i="5"/>
  <c r="AI13" i="5"/>
  <c r="AE13" i="5" s="1"/>
  <c r="AD13" i="5"/>
  <c r="AD21" i="5" s="1"/>
  <c r="AB13" i="5"/>
  <c r="AA13" i="5"/>
  <c r="Y13" i="5"/>
  <c r="Z13" i="5" s="1"/>
  <c r="W13" i="5"/>
  <c r="V13" i="5"/>
  <c r="X13" i="5" s="1"/>
  <c r="U13" i="5"/>
  <c r="T13" i="5"/>
  <c r="AC13" i="5" s="1"/>
  <c r="AF13" i="5" s="1"/>
  <c r="AJ13" i="5" s="1"/>
  <c r="S13" i="5"/>
  <c r="N13" i="5"/>
  <c r="AI12" i="5"/>
  <c r="AE12" i="5"/>
  <c r="AD12" i="5"/>
  <c r="AA12" i="5"/>
  <c r="AB12" i="5" s="1"/>
  <c r="AC12" i="5" s="1"/>
  <c r="AF12" i="5" s="1"/>
  <c r="AJ12" i="5" s="1"/>
  <c r="Z12" i="5"/>
  <c r="Y12" i="5"/>
  <c r="W12" i="5"/>
  <c r="V12" i="5"/>
  <c r="U12" i="5"/>
  <c r="X12" i="5" s="1"/>
  <c r="S12" i="5"/>
  <c r="T12" i="5" s="1"/>
  <c r="N12" i="5"/>
  <c r="AI11" i="5"/>
  <c r="AE11" i="5"/>
  <c r="AD11" i="5"/>
  <c r="AA11" i="5"/>
  <c r="AB11" i="5" s="1"/>
  <c r="Z11" i="5"/>
  <c r="Y11" i="5"/>
  <c r="X11" i="5"/>
  <c r="W11" i="5"/>
  <c r="V11" i="5"/>
  <c r="U11" i="5"/>
  <c r="S11" i="5"/>
  <c r="T11" i="5" s="1"/>
  <c r="N11" i="5"/>
  <c r="AI10" i="5"/>
  <c r="AE10" i="5" s="1"/>
  <c r="AD10" i="5"/>
  <c r="AB10" i="5"/>
  <c r="AA10" i="5"/>
  <c r="Y10" i="5"/>
  <c r="Z10" i="5" s="1"/>
  <c r="W10" i="5"/>
  <c r="X10" i="5" s="1"/>
  <c r="V10" i="5"/>
  <c r="U10" i="5"/>
  <c r="S10" i="5"/>
  <c r="T10" i="5" s="1"/>
  <c r="AC10" i="5" s="1"/>
  <c r="AF10" i="5" s="1"/>
  <c r="AJ10" i="5" s="1"/>
  <c r="N10" i="5"/>
  <c r="AI9" i="5"/>
  <c r="AE9" i="5" s="1"/>
  <c r="AD9" i="5"/>
  <c r="AB9" i="5"/>
  <c r="AB21" i="5" s="1"/>
  <c r="AA9" i="5"/>
  <c r="Z9" i="5"/>
  <c r="Y9" i="5"/>
  <c r="W9" i="5"/>
  <c r="V9" i="5"/>
  <c r="U9" i="5"/>
  <c r="X9" i="5" s="1"/>
  <c r="T9" i="5"/>
  <c r="AC9" i="5" s="1"/>
  <c r="AF9" i="5" s="1"/>
  <c r="AJ9" i="5" s="1"/>
  <c r="S9" i="5"/>
  <c r="N9" i="5"/>
  <c r="AI8" i="5"/>
  <c r="AD8" i="5"/>
  <c r="AA8" i="5"/>
  <c r="AB8" i="5" s="1"/>
  <c r="Y8" i="5"/>
  <c r="Z8" i="5" s="1"/>
  <c r="Z21" i="5" s="1"/>
  <c r="W8" i="5"/>
  <c r="V8" i="5"/>
  <c r="U8" i="5"/>
  <c r="S8" i="5"/>
  <c r="T8" i="5" s="1"/>
  <c r="N8" i="5"/>
  <c r="AL32" i="4"/>
  <c r="AH32" i="4"/>
  <c r="AG32" i="4"/>
  <c r="N32" i="4"/>
  <c r="AI31" i="4"/>
  <c r="AE31" i="4" s="1"/>
  <c r="AD31" i="4"/>
  <c r="AB31" i="4"/>
  <c r="AA31" i="4"/>
  <c r="Z31" i="4"/>
  <c r="Y31" i="4"/>
  <c r="W31" i="4"/>
  <c r="V31" i="4"/>
  <c r="U31" i="4"/>
  <c r="X31" i="4" s="1"/>
  <c r="AC31" i="4" s="1"/>
  <c r="AF31" i="4" s="1"/>
  <c r="AJ31" i="4" s="1"/>
  <c r="T31" i="4"/>
  <c r="S31" i="4"/>
  <c r="N31" i="4"/>
  <c r="AI30" i="4"/>
  <c r="AE30" i="4" s="1"/>
  <c r="AD30" i="4"/>
  <c r="AA30" i="4"/>
  <c r="AB30" i="4" s="1"/>
  <c r="Y30" i="4"/>
  <c r="Z30" i="4" s="1"/>
  <c r="W30" i="4"/>
  <c r="V30" i="4"/>
  <c r="U30" i="4"/>
  <c r="X30" i="4" s="1"/>
  <c r="T30" i="4"/>
  <c r="S30" i="4"/>
  <c r="N30" i="4"/>
  <c r="AI29" i="4"/>
  <c r="AE29" i="4"/>
  <c r="AD29" i="4"/>
  <c r="AB29" i="4"/>
  <c r="AA29" i="4"/>
  <c r="Z29" i="4"/>
  <c r="Y29" i="4"/>
  <c r="W29" i="4"/>
  <c r="V29" i="4"/>
  <c r="U29" i="4"/>
  <c r="T29" i="4"/>
  <c r="S29" i="4"/>
  <c r="N29" i="4"/>
  <c r="AI28" i="4"/>
  <c r="AE28" i="4"/>
  <c r="AD28" i="4"/>
  <c r="AA28" i="4"/>
  <c r="AB28" i="4" s="1"/>
  <c r="Y28" i="4"/>
  <c r="Z28" i="4" s="1"/>
  <c r="X28" i="4"/>
  <c r="W28" i="4"/>
  <c r="V28" i="4"/>
  <c r="U28" i="4"/>
  <c r="S28" i="4"/>
  <c r="T28" i="4" s="1"/>
  <c r="N28" i="4"/>
  <c r="AI27" i="4"/>
  <c r="AF27" i="4"/>
  <c r="AJ27" i="4" s="1"/>
  <c r="AE27" i="4"/>
  <c r="AD27" i="4"/>
  <c r="AB27" i="4"/>
  <c r="AA27" i="4"/>
  <c r="Y27" i="4"/>
  <c r="Z27" i="4" s="1"/>
  <c r="W27" i="4"/>
  <c r="V27" i="4"/>
  <c r="X27" i="4" s="1"/>
  <c r="U27" i="4"/>
  <c r="T27" i="4"/>
  <c r="AC27" i="4" s="1"/>
  <c r="S27" i="4"/>
  <c r="N27" i="4"/>
  <c r="AI26" i="4"/>
  <c r="AE26" i="4"/>
  <c r="AD26" i="4"/>
  <c r="AA26" i="4"/>
  <c r="AB26" i="4" s="1"/>
  <c r="AC26" i="4" s="1"/>
  <c r="AF26" i="4" s="1"/>
  <c r="AJ26" i="4" s="1"/>
  <c r="Z26" i="4"/>
  <c r="Y26" i="4"/>
  <c r="W26" i="4"/>
  <c r="V26" i="4"/>
  <c r="U26" i="4"/>
  <c r="X26" i="4" s="1"/>
  <c r="S26" i="4"/>
  <c r="T26" i="4" s="1"/>
  <c r="N26" i="4"/>
  <c r="AI25" i="4"/>
  <c r="AE25" i="4" s="1"/>
  <c r="AD25" i="4"/>
  <c r="AA25" i="4"/>
  <c r="AB25" i="4" s="1"/>
  <c r="Y25" i="4"/>
  <c r="Z25" i="4" s="1"/>
  <c r="X25" i="4"/>
  <c r="W25" i="4"/>
  <c r="V25" i="4"/>
  <c r="U25" i="4"/>
  <c r="S25" i="4"/>
  <c r="T25" i="4" s="1"/>
  <c r="N25" i="4"/>
  <c r="AI24" i="4"/>
  <c r="AE24" i="4"/>
  <c r="AD24" i="4"/>
  <c r="AB24" i="4"/>
  <c r="AA24" i="4"/>
  <c r="Y24" i="4"/>
  <c r="Z24" i="4" s="1"/>
  <c r="W24" i="4"/>
  <c r="X24" i="4" s="1"/>
  <c r="V24" i="4"/>
  <c r="U24" i="4"/>
  <c r="T24" i="4"/>
  <c r="S24" i="4"/>
  <c r="N24" i="4"/>
  <c r="AI23" i="4"/>
  <c r="AE23" i="4" s="1"/>
  <c r="AD23" i="4"/>
  <c r="AB23" i="4"/>
  <c r="AA23" i="4"/>
  <c r="Z23" i="4"/>
  <c r="Y23" i="4"/>
  <c r="X23" i="4"/>
  <c r="AC23" i="4" s="1"/>
  <c r="AF23" i="4" s="1"/>
  <c r="AJ23" i="4" s="1"/>
  <c r="W23" i="4"/>
  <c r="V23" i="4"/>
  <c r="U23" i="4"/>
  <c r="T23" i="4"/>
  <c r="S23" i="4"/>
  <c r="N23" i="4"/>
  <c r="AI22" i="4"/>
  <c r="AE22" i="4" s="1"/>
  <c r="AD22" i="4"/>
  <c r="AB22" i="4"/>
  <c r="AA22" i="4"/>
  <c r="Y22" i="4"/>
  <c r="Z22" i="4" s="1"/>
  <c r="W22" i="4"/>
  <c r="V22" i="4"/>
  <c r="U22" i="4"/>
  <c r="X22" i="4" s="1"/>
  <c r="T22" i="4"/>
  <c r="AC22" i="4" s="1"/>
  <c r="AF22" i="4" s="1"/>
  <c r="AJ22" i="4" s="1"/>
  <c r="S22" i="4"/>
  <c r="N22" i="4"/>
  <c r="AI21" i="4"/>
  <c r="AE21" i="4"/>
  <c r="AD21" i="4"/>
  <c r="AB21" i="4"/>
  <c r="AA21" i="4"/>
  <c r="Z21" i="4"/>
  <c r="Y21" i="4"/>
  <c r="W21" i="4"/>
  <c r="V21" i="4"/>
  <c r="U21" i="4"/>
  <c r="T21" i="4"/>
  <c r="S21" i="4"/>
  <c r="N21" i="4"/>
  <c r="AI20" i="4"/>
  <c r="AE20" i="4"/>
  <c r="AD20" i="4"/>
  <c r="AA20" i="4"/>
  <c r="AB20" i="4" s="1"/>
  <c r="Y20" i="4"/>
  <c r="Z20" i="4" s="1"/>
  <c r="W20" i="4"/>
  <c r="V20" i="4"/>
  <c r="X20" i="4" s="1"/>
  <c r="U20" i="4"/>
  <c r="S20" i="4"/>
  <c r="T20" i="4" s="1"/>
  <c r="N20" i="4"/>
  <c r="AI19" i="4"/>
  <c r="AE19" i="4"/>
  <c r="AD19" i="4"/>
  <c r="AB19" i="4"/>
  <c r="AA19" i="4"/>
  <c r="Y19" i="4"/>
  <c r="Z19" i="4" s="1"/>
  <c r="W19" i="4"/>
  <c r="V19" i="4"/>
  <c r="X19" i="4" s="1"/>
  <c r="U19" i="4"/>
  <c r="T19" i="4"/>
  <c r="S19" i="4"/>
  <c r="N19" i="4"/>
  <c r="AI18" i="4"/>
  <c r="AE18" i="4"/>
  <c r="AD18" i="4"/>
  <c r="AA18" i="4"/>
  <c r="AB18" i="4" s="1"/>
  <c r="AC18" i="4" s="1"/>
  <c r="AF18" i="4" s="1"/>
  <c r="AJ18" i="4" s="1"/>
  <c r="Z18" i="4"/>
  <c r="Y18" i="4"/>
  <c r="W18" i="4"/>
  <c r="V18" i="4"/>
  <c r="U18" i="4"/>
  <c r="X18" i="4" s="1"/>
  <c r="S18" i="4"/>
  <c r="T18" i="4" s="1"/>
  <c r="N18" i="4"/>
  <c r="AI17" i="4"/>
  <c r="AE17" i="4" s="1"/>
  <c r="AD17" i="4"/>
  <c r="AA17" i="4"/>
  <c r="AB17" i="4" s="1"/>
  <c r="Z17" i="4"/>
  <c r="Y17" i="4"/>
  <c r="X17" i="4"/>
  <c r="W17" i="4"/>
  <c r="V17" i="4"/>
  <c r="U17" i="4"/>
  <c r="S17" i="4"/>
  <c r="T17" i="4" s="1"/>
  <c r="N17" i="4"/>
  <c r="AI16" i="4"/>
  <c r="AE16" i="4" s="1"/>
  <c r="AE32" i="4" s="1"/>
  <c r="AD16" i="4"/>
  <c r="AB16" i="4"/>
  <c r="AA16" i="4"/>
  <c r="Y16" i="4"/>
  <c r="Z16" i="4" s="1"/>
  <c r="W16" i="4"/>
  <c r="X16" i="4" s="1"/>
  <c r="V16" i="4"/>
  <c r="U16" i="4"/>
  <c r="S16" i="4"/>
  <c r="T16" i="4" s="1"/>
  <c r="N16" i="4"/>
  <c r="AI15" i="4"/>
  <c r="AE15" i="4" s="1"/>
  <c r="AD15" i="4"/>
  <c r="AA15" i="4"/>
  <c r="AB15" i="4" s="1"/>
  <c r="Z15" i="4"/>
  <c r="Y15" i="4"/>
  <c r="W15" i="4"/>
  <c r="V15" i="4"/>
  <c r="U15" i="4"/>
  <c r="X15" i="4" s="1"/>
  <c r="S15" i="4"/>
  <c r="T15" i="4" s="1"/>
  <c r="AC15" i="4" s="1"/>
  <c r="AF15" i="4" s="1"/>
  <c r="AJ15" i="4" s="1"/>
  <c r="N15" i="4"/>
  <c r="AI14" i="4"/>
  <c r="AE14" i="4" s="1"/>
  <c r="AD14" i="4"/>
  <c r="AA14" i="4"/>
  <c r="AB14" i="4" s="1"/>
  <c r="Y14" i="4"/>
  <c r="Z14" i="4" s="1"/>
  <c r="W14" i="4"/>
  <c r="V14" i="4"/>
  <c r="U14" i="4"/>
  <c r="X14" i="4" s="1"/>
  <c r="S14" i="4"/>
  <c r="T14" i="4" s="1"/>
  <c r="AC14" i="4" s="1"/>
  <c r="AF14" i="4" s="1"/>
  <c r="AJ14" i="4" s="1"/>
  <c r="N14" i="4"/>
  <c r="AI13" i="4"/>
  <c r="AE13" i="4"/>
  <c r="AD13" i="4"/>
  <c r="AB13" i="4"/>
  <c r="AA13" i="4"/>
  <c r="Z13" i="4"/>
  <c r="Y13" i="4"/>
  <c r="W13" i="4"/>
  <c r="V13" i="4"/>
  <c r="U13" i="4"/>
  <c r="T13" i="4"/>
  <c r="S13" i="4"/>
  <c r="N13" i="4"/>
  <c r="AI12" i="4"/>
  <c r="AE12" i="4"/>
  <c r="AD12" i="4"/>
  <c r="AA12" i="4"/>
  <c r="AB12" i="4" s="1"/>
  <c r="Y12" i="4"/>
  <c r="Z12" i="4" s="1"/>
  <c r="W12" i="4"/>
  <c r="V12" i="4"/>
  <c r="X12" i="4" s="1"/>
  <c r="U12" i="4"/>
  <c r="S12" i="4"/>
  <c r="T12" i="4" s="1"/>
  <c r="N12" i="4"/>
  <c r="AI11" i="4"/>
  <c r="AE11" i="4"/>
  <c r="AD11" i="4"/>
  <c r="AB11" i="4"/>
  <c r="AA11" i="4"/>
  <c r="Y11" i="4"/>
  <c r="Z11" i="4" s="1"/>
  <c r="W11" i="4"/>
  <c r="V11" i="4"/>
  <c r="X11" i="4" s="1"/>
  <c r="U11" i="4"/>
  <c r="T11" i="4"/>
  <c r="S11" i="4"/>
  <c r="N11" i="4"/>
  <c r="AI10" i="4"/>
  <c r="AE10" i="4"/>
  <c r="AD10" i="4"/>
  <c r="AC10" i="4"/>
  <c r="AF10" i="4" s="1"/>
  <c r="AJ10" i="4" s="1"/>
  <c r="AA10" i="4"/>
  <c r="AB10" i="4" s="1"/>
  <c r="Y10" i="4"/>
  <c r="Z10" i="4" s="1"/>
  <c r="W10" i="4"/>
  <c r="V10" i="4"/>
  <c r="U10" i="4"/>
  <c r="X10" i="4" s="1"/>
  <c r="S10" i="4"/>
  <c r="T10" i="4" s="1"/>
  <c r="N10" i="4"/>
  <c r="AI9" i="4"/>
  <c r="AE9" i="4" s="1"/>
  <c r="AD9" i="4"/>
  <c r="AA9" i="4"/>
  <c r="AB9" i="4" s="1"/>
  <c r="Y9" i="4"/>
  <c r="Z9" i="4" s="1"/>
  <c r="X9" i="4"/>
  <c r="W9" i="4"/>
  <c r="V9" i="4"/>
  <c r="U9" i="4"/>
  <c r="S9" i="4"/>
  <c r="T9" i="4" s="1"/>
  <c r="N9" i="4"/>
  <c r="AI8" i="4"/>
  <c r="AI32" i="4" s="1"/>
  <c r="AE8" i="4"/>
  <c r="AD8" i="4"/>
  <c r="AB8" i="4"/>
  <c r="AA8" i="4"/>
  <c r="Y8" i="4"/>
  <c r="Z8" i="4" s="1"/>
  <c r="X8" i="4"/>
  <c r="W8" i="4"/>
  <c r="V8" i="4"/>
  <c r="U8" i="4"/>
  <c r="T8" i="4"/>
  <c r="S8" i="4"/>
  <c r="N8" i="4"/>
  <c r="AL25" i="3"/>
  <c r="AK25" i="3"/>
  <c r="AH25" i="3"/>
  <c r="AG25" i="3"/>
  <c r="N25" i="3"/>
  <c r="AI24" i="3"/>
  <c r="AE24" i="3"/>
  <c r="AD24" i="3"/>
  <c r="AA24" i="3"/>
  <c r="AB24" i="3" s="1"/>
  <c r="Z24" i="3"/>
  <c r="Y24" i="3"/>
  <c r="X24" i="3"/>
  <c r="W24" i="3"/>
  <c r="V24" i="3"/>
  <c r="U24" i="3"/>
  <c r="S24" i="3"/>
  <c r="T24" i="3" s="1"/>
  <c r="N24" i="3"/>
  <c r="AI23" i="3"/>
  <c r="AE23" i="3" s="1"/>
  <c r="AD23" i="3"/>
  <c r="AA23" i="3"/>
  <c r="AB23" i="3" s="1"/>
  <c r="Z23" i="3"/>
  <c r="Y23" i="3"/>
  <c r="W23" i="3"/>
  <c r="V23" i="3"/>
  <c r="U23" i="3"/>
  <c r="X23" i="3" s="1"/>
  <c r="T23" i="3"/>
  <c r="AC23" i="3" s="1"/>
  <c r="AF23" i="3" s="1"/>
  <c r="AJ23" i="3" s="1"/>
  <c r="S23" i="3"/>
  <c r="N23" i="3"/>
  <c r="AI22" i="3"/>
  <c r="AE22" i="3" s="1"/>
  <c r="AD22" i="3"/>
  <c r="AA22" i="3"/>
  <c r="AB22" i="3" s="1"/>
  <c r="Z22" i="3"/>
  <c r="Y22" i="3"/>
  <c r="W22" i="3"/>
  <c r="V22" i="3"/>
  <c r="U22" i="3"/>
  <c r="S22" i="3"/>
  <c r="T22" i="3" s="1"/>
  <c r="N22" i="3"/>
  <c r="AI21" i="3"/>
  <c r="AE21" i="3"/>
  <c r="AD21" i="3"/>
  <c r="AA21" i="3"/>
  <c r="AB21" i="3" s="1"/>
  <c r="Z21" i="3"/>
  <c r="Y21" i="3"/>
  <c r="W21" i="3"/>
  <c r="V21" i="3"/>
  <c r="U21" i="3"/>
  <c r="S21" i="3"/>
  <c r="T21" i="3" s="1"/>
  <c r="N21" i="3"/>
  <c r="AI20" i="3"/>
  <c r="AE20" i="3"/>
  <c r="AD20" i="3"/>
  <c r="AA20" i="3"/>
  <c r="AB20" i="3" s="1"/>
  <c r="Y20" i="3"/>
  <c r="Z20" i="3" s="1"/>
  <c r="W20" i="3"/>
  <c r="V20" i="3"/>
  <c r="X20" i="3" s="1"/>
  <c r="U20" i="3"/>
  <c r="T20" i="3"/>
  <c r="S20" i="3"/>
  <c r="N20" i="3"/>
  <c r="AI19" i="3"/>
  <c r="AE19" i="3" s="1"/>
  <c r="AD19" i="3"/>
  <c r="AB19" i="3"/>
  <c r="AA19" i="3"/>
  <c r="Y19" i="3"/>
  <c r="Z19" i="3" s="1"/>
  <c r="X19" i="3"/>
  <c r="W19" i="3"/>
  <c r="V19" i="3"/>
  <c r="U19" i="3"/>
  <c r="T19" i="3"/>
  <c r="S19" i="3"/>
  <c r="N19" i="3"/>
  <c r="AI18" i="3"/>
  <c r="AE18" i="3"/>
  <c r="AD18" i="3"/>
  <c r="AA18" i="3"/>
  <c r="AB18" i="3" s="1"/>
  <c r="Y18" i="3"/>
  <c r="Z18" i="3" s="1"/>
  <c r="W18" i="3"/>
  <c r="V18" i="3"/>
  <c r="U18" i="3"/>
  <c r="X18" i="3" s="1"/>
  <c r="S18" i="3"/>
  <c r="T18" i="3" s="1"/>
  <c r="N18" i="3"/>
  <c r="AI17" i="3"/>
  <c r="AE17" i="3"/>
  <c r="AD17" i="3"/>
  <c r="AA17" i="3"/>
  <c r="AB17" i="3" s="1"/>
  <c r="Y17" i="3"/>
  <c r="Z17" i="3" s="1"/>
  <c r="W17" i="3"/>
  <c r="V17" i="3"/>
  <c r="X17" i="3" s="1"/>
  <c r="U17" i="3"/>
  <c r="S17" i="3"/>
  <c r="T17" i="3" s="1"/>
  <c r="N17" i="3"/>
  <c r="AI16" i="3"/>
  <c r="AE16" i="3" s="1"/>
  <c r="AD16" i="3"/>
  <c r="AB16" i="3"/>
  <c r="AA16" i="3"/>
  <c r="Z16" i="3"/>
  <c r="Y16" i="3"/>
  <c r="X16" i="3"/>
  <c r="W16" i="3"/>
  <c r="V16" i="3"/>
  <c r="U16" i="3"/>
  <c r="T16" i="3"/>
  <c r="AC16" i="3" s="1"/>
  <c r="AF16" i="3" s="1"/>
  <c r="AJ16" i="3" s="1"/>
  <c r="S16" i="3"/>
  <c r="N16" i="3"/>
  <c r="AI15" i="3"/>
  <c r="AE15" i="3" s="1"/>
  <c r="AD15" i="3"/>
  <c r="AA15" i="3"/>
  <c r="AB15" i="3" s="1"/>
  <c r="Z15" i="3"/>
  <c r="Y15" i="3"/>
  <c r="W15" i="3"/>
  <c r="V15" i="3"/>
  <c r="U15" i="3"/>
  <c r="X15" i="3" s="1"/>
  <c r="S15" i="3"/>
  <c r="T15" i="3" s="1"/>
  <c r="AC15" i="3" s="1"/>
  <c r="AF15" i="3" s="1"/>
  <c r="AJ15" i="3" s="1"/>
  <c r="N15" i="3"/>
  <c r="AI14" i="3"/>
  <c r="AE14" i="3" s="1"/>
  <c r="AD14" i="3"/>
  <c r="AB14" i="3"/>
  <c r="AA14" i="3"/>
  <c r="Y14" i="3"/>
  <c r="Z14" i="3" s="1"/>
  <c r="W14" i="3"/>
  <c r="V14" i="3"/>
  <c r="U14" i="3"/>
  <c r="S14" i="3"/>
  <c r="T14" i="3" s="1"/>
  <c r="N14" i="3"/>
  <c r="AI13" i="3"/>
  <c r="AE13" i="3"/>
  <c r="AD13" i="3"/>
  <c r="AA13" i="3"/>
  <c r="AB13" i="3" s="1"/>
  <c r="Z13" i="3"/>
  <c r="Y13" i="3"/>
  <c r="W13" i="3"/>
  <c r="V13" i="3"/>
  <c r="U13" i="3"/>
  <c r="S13" i="3"/>
  <c r="T13" i="3" s="1"/>
  <c r="N13" i="3"/>
  <c r="AI12" i="3"/>
  <c r="AE12" i="3"/>
  <c r="AD12" i="3"/>
  <c r="AA12" i="3"/>
  <c r="AB12" i="3" s="1"/>
  <c r="Y12" i="3"/>
  <c r="Z12" i="3" s="1"/>
  <c r="W12" i="3"/>
  <c r="V12" i="3"/>
  <c r="X12" i="3" s="1"/>
  <c r="U12" i="3"/>
  <c r="T12" i="3"/>
  <c r="S12" i="3"/>
  <c r="N12" i="3"/>
  <c r="AI11" i="3"/>
  <c r="AE11" i="3"/>
  <c r="AD11" i="3"/>
  <c r="AB11" i="3"/>
  <c r="AA11" i="3"/>
  <c r="Y11" i="3"/>
  <c r="Z11" i="3" s="1"/>
  <c r="W11" i="3"/>
  <c r="V11" i="3"/>
  <c r="U11" i="3"/>
  <c r="X11" i="3" s="1"/>
  <c r="T11" i="3"/>
  <c r="S11" i="3"/>
  <c r="N11" i="3"/>
  <c r="AI10" i="3"/>
  <c r="AE10" i="3"/>
  <c r="AD10" i="3"/>
  <c r="AA10" i="3"/>
  <c r="AB10" i="3" s="1"/>
  <c r="Y10" i="3"/>
  <c r="Z10" i="3" s="1"/>
  <c r="X10" i="3"/>
  <c r="W10" i="3"/>
  <c r="V10" i="3"/>
  <c r="U10" i="3"/>
  <c r="S10" i="3"/>
  <c r="T10" i="3" s="1"/>
  <c r="N10" i="3"/>
  <c r="AI9" i="3"/>
  <c r="AE9" i="3"/>
  <c r="AD9" i="3"/>
  <c r="AD25" i="3" s="1"/>
  <c r="AA9" i="3"/>
  <c r="AB9" i="3" s="1"/>
  <c r="Y9" i="3"/>
  <c r="Z9" i="3" s="1"/>
  <c r="W9" i="3"/>
  <c r="V9" i="3"/>
  <c r="X9" i="3" s="1"/>
  <c r="U9" i="3"/>
  <c r="S9" i="3"/>
  <c r="T9" i="3" s="1"/>
  <c r="AC9" i="3" s="1"/>
  <c r="AF9" i="3" s="1"/>
  <c r="AJ9" i="3" s="1"/>
  <c r="N9" i="3"/>
  <c r="AI8" i="3"/>
  <c r="AE8" i="3" s="1"/>
  <c r="AD8" i="3"/>
  <c r="AA8" i="3"/>
  <c r="AB8" i="3" s="1"/>
  <c r="Z8" i="3"/>
  <c r="Y8" i="3"/>
  <c r="X8" i="3"/>
  <c r="W8" i="3"/>
  <c r="V8" i="3"/>
  <c r="U8" i="3"/>
  <c r="S8" i="3"/>
  <c r="T8" i="3" s="1"/>
  <c r="N8" i="3"/>
  <c r="AL36" i="2"/>
  <c r="AH36" i="2"/>
  <c r="AG36" i="2"/>
  <c r="AD36" i="2"/>
  <c r="N36" i="2"/>
  <c r="AI35" i="2"/>
  <c r="AE35" i="2" s="1"/>
  <c r="AD35" i="2"/>
  <c r="AA35" i="2"/>
  <c r="AB35" i="2" s="1"/>
  <c r="Z35" i="2"/>
  <c r="Y35" i="2"/>
  <c r="W35" i="2"/>
  <c r="X35" i="2" s="1"/>
  <c r="V35" i="2"/>
  <c r="U35" i="2"/>
  <c r="S35" i="2"/>
  <c r="T35" i="2" s="1"/>
  <c r="N35" i="2"/>
  <c r="AI34" i="2"/>
  <c r="AE34" i="2" s="1"/>
  <c r="AD34" i="2"/>
  <c r="AA34" i="2"/>
  <c r="AB34" i="2" s="1"/>
  <c r="Y34" i="2"/>
  <c r="Z34" i="2" s="1"/>
  <c r="X34" i="2"/>
  <c r="W34" i="2"/>
  <c r="V34" i="2"/>
  <c r="U34" i="2"/>
  <c r="S34" i="2"/>
  <c r="T34" i="2" s="1"/>
  <c r="N34" i="2"/>
  <c r="AI33" i="2"/>
  <c r="AE33" i="2" s="1"/>
  <c r="AD33" i="2"/>
  <c r="AA33" i="2"/>
  <c r="AB33" i="2" s="1"/>
  <c r="Y33" i="2"/>
  <c r="Z33" i="2" s="1"/>
  <c r="X33" i="2"/>
  <c r="W33" i="2"/>
  <c r="V33" i="2"/>
  <c r="U33" i="2"/>
  <c r="S33" i="2"/>
  <c r="T33" i="2" s="1"/>
  <c r="N33" i="2"/>
  <c r="AI32" i="2"/>
  <c r="AE32" i="2" s="1"/>
  <c r="AD32" i="2"/>
  <c r="AA32" i="2"/>
  <c r="AB32" i="2" s="1"/>
  <c r="Y32" i="2"/>
  <c r="Z32" i="2" s="1"/>
  <c r="W32" i="2"/>
  <c r="V32" i="2"/>
  <c r="U32" i="2"/>
  <c r="S32" i="2"/>
  <c r="T32" i="2" s="1"/>
  <c r="N32" i="2"/>
  <c r="AI31" i="2"/>
  <c r="AE31" i="2"/>
  <c r="AD31" i="2"/>
  <c r="AA31" i="2"/>
  <c r="AB31" i="2" s="1"/>
  <c r="Z31" i="2"/>
  <c r="Y31" i="2"/>
  <c r="X31" i="2"/>
  <c r="W31" i="2"/>
  <c r="V31" i="2"/>
  <c r="U31" i="2"/>
  <c r="S31" i="2"/>
  <c r="T31" i="2" s="1"/>
  <c r="N31" i="2"/>
  <c r="AI30" i="2"/>
  <c r="AE30" i="2" s="1"/>
  <c r="AD30" i="2"/>
  <c r="AA30" i="2"/>
  <c r="AB30" i="2" s="1"/>
  <c r="Y30" i="2"/>
  <c r="Z30" i="2" s="1"/>
  <c r="X30" i="2"/>
  <c r="W30" i="2"/>
  <c r="V30" i="2"/>
  <c r="U30" i="2"/>
  <c r="S30" i="2"/>
  <c r="T30" i="2" s="1"/>
  <c r="N30" i="2"/>
  <c r="AI29" i="2"/>
  <c r="AE29" i="2" s="1"/>
  <c r="AD29" i="2"/>
  <c r="AB29" i="2"/>
  <c r="AA29" i="2"/>
  <c r="Y29" i="2"/>
  <c r="Z29" i="2" s="1"/>
  <c r="X29" i="2"/>
  <c r="W29" i="2"/>
  <c r="V29" i="2"/>
  <c r="U29" i="2"/>
  <c r="T29" i="2"/>
  <c r="S29" i="2"/>
  <c r="N29" i="2"/>
  <c r="AI28" i="2"/>
  <c r="AE28" i="2" s="1"/>
  <c r="AD28" i="2"/>
  <c r="AA28" i="2"/>
  <c r="AB28" i="2" s="1"/>
  <c r="Z28" i="2"/>
  <c r="Y28" i="2"/>
  <c r="X28" i="2"/>
  <c r="W28" i="2"/>
  <c r="V28" i="2"/>
  <c r="U28" i="2"/>
  <c r="S28" i="2"/>
  <c r="T28" i="2" s="1"/>
  <c r="N28" i="2"/>
  <c r="AI27" i="2"/>
  <c r="AE27" i="2" s="1"/>
  <c r="AD27" i="2"/>
  <c r="AA27" i="2"/>
  <c r="AB27" i="2" s="1"/>
  <c r="Y27" i="2"/>
  <c r="Z27" i="2" s="1"/>
  <c r="X27" i="2"/>
  <c r="W27" i="2"/>
  <c r="V27" i="2"/>
  <c r="U27" i="2"/>
  <c r="S27" i="2"/>
  <c r="T27" i="2" s="1"/>
  <c r="N27" i="2"/>
  <c r="AI26" i="2"/>
  <c r="AE26" i="2" s="1"/>
  <c r="AD26" i="2"/>
  <c r="AA26" i="2"/>
  <c r="AB26" i="2" s="1"/>
  <c r="Y26" i="2"/>
  <c r="Z26" i="2" s="1"/>
  <c r="X26" i="2"/>
  <c r="W26" i="2"/>
  <c r="V26" i="2"/>
  <c r="U26" i="2"/>
  <c r="S26" i="2"/>
  <c r="T26" i="2" s="1"/>
  <c r="N26" i="2"/>
  <c r="AI25" i="2"/>
  <c r="AE25" i="2" s="1"/>
  <c r="AD25" i="2"/>
  <c r="AA25" i="2"/>
  <c r="AB25" i="2" s="1"/>
  <c r="Y25" i="2"/>
  <c r="Z25" i="2" s="1"/>
  <c r="X25" i="2"/>
  <c r="W25" i="2"/>
  <c r="V25" i="2"/>
  <c r="U25" i="2"/>
  <c r="S25" i="2"/>
  <c r="T25" i="2" s="1"/>
  <c r="N25" i="2"/>
  <c r="AI24" i="2"/>
  <c r="AE24" i="2" s="1"/>
  <c r="AD24" i="2"/>
  <c r="AA24" i="2"/>
  <c r="AB24" i="2" s="1"/>
  <c r="Y24" i="2"/>
  <c r="Z24" i="2" s="1"/>
  <c r="W24" i="2"/>
  <c r="V24" i="2"/>
  <c r="U24" i="2"/>
  <c r="S24" i="2"/>
  <c r="T24" i="2" s="1"/>
  <c r="N24" i="2"/>
  <c r="AI23" i="2"/>
  <c r="AE23" i="2"/>
  <c r="AD23" i="2"/>
  <c r="AA23" i="2"/>
  <c r="AB23" i="2" s="1"/>
  <c r="Z23" i="2"/>
  <c r="Y23" i="2"/>
  <c r="X23" i="2"/>
  <c r="W23" i="2"/>
  <c r="V23" i="2"/>
  <c r="U23" i="2"/>
  <c r="S23" i="2"/>
  <c r="T23" i="2" s="1"/>
  <c r="N23" i="2"/>
  <c r="AI22" i="2"/>
  <c r="AE22" i="2" s="1"/>
  <c r="AD22" i="2"/>
  <c r="AA22" i="2"/>
  <c r="AB22" i="2" s="1"/>
  <c r="Y22" i="2"/>
  <c r="Z22" i="2" s="1"/>
  <c r="W22" i="2"/>
  <c r="X22" i="2" s="1"/>
  <c r="V22" i="2"/>
  <c r="U22" i="2"/>
  <c r="S22" i="2"/>
  <c r="T22" i="2" s="1"/>
  <c r="N22" i="2"/>
  <c r="AI21" i="2"/>
  <c r="AE21" i="2" s="1"/>
  <c r="AD21" i="2"/>
  <c r="AB21" i="2"/>
  <c r="AA21" i="2"/>
  <c r="Z21" i="2"/>
  <c r="Y21" i="2"/>
  <c r="X21" i="2"/>
  <c r="W21" i="2"/>
  <c r="V21" i="2"/>
  <c r="U21" i="2"/>
  <c r="T21" i="2"/>
  <c r="AC21" i="2" s="1"/>
  <c r="AF21" i="2" s="1"/>
  <c r="AJ21" i="2" s="1"/>
  <c r="S21" i="2"/>
  <c r="N21" i="2"/>
  <c r="AI20" i="2"/>
  <c r="AE20" i="2" s="1"/>
  <c r="AD20" i="2"/>
  <c r="AA20" i="2"/>
  <c r="AB20" i="2" s="1"/>
  <c r="Y20" i="2"/>
  <c r="Z20" i="2" s="1"/>
  <c r="X20" i="2"/>
  <c r="W20" i="2"/>
  <c r="V20" i="2"/>
  <c r="U20" i="2"/>
  <c r="S20" i="2"/>
  <c r="T20" i="2" s="1"/>
  <c r="N20" i="2"/>
  <c r="AI19" i="2"/>
  <c r="AE19" i="2" s="1"/>
  <c r="AD19" i="2"/>
  <c r="AA19" i="2"/>
  <c r="AB19" i="2" s="1"/>
  <c r="Y19" i="2"/>
  <c r="Z19" i="2" s="1"/>
  <c r="W19" i="2"/>
  <c r="X19" i="2" s="1"/>
  <c r="V19" i="2"/>
  <c r="U19" i="2"/>
  <c r="S19" i="2"/>
  <c r="T19" i="2" s="1"/>
  <c r="N19" i="2"/>
  <c r="AI18" i="2"/>
  <c r="AE18" i="2" s="1"/>
  <c r="AD18" i="2"/>
  <c r="AA18" i="2"/>
  <c r="AB18" i="2" s="1"/>
  <c r="Z18" i="2"/>
  <c r="Y18" i="2"/>
  <c r="X18" i="2"/>
  <c r="W18" i="2"/>
  <c r="V18" i="2"/>
  <c r="U18" i="2"/>
  <c r="S18" i="2"/>
  <c r="T18" i="2" s="1"/>
  <c r="N18" i="2"/>
  <c r="AI17" i="2"/>
  <c r="AE17" i="2" s="1"/>
  <c r="AD17" i="2"/>
  <c r="AA17" i="2"/>
  <c r="AB17" i="2" s="1"/>
  <c r="Y17" i="2"/>
  <c r="Z17" i="2" s="1"/>
  <c r="X17" i="2"/>
  <c r="W17" i="2"/>
  <c r="V17" i="2"/>
  <c r="U17" i="2"/>
  <c r="S17" i="2"/>
  <c r="T17" i="2" s="1"/>
  <c r="N17" i="2"/>
  <c r="AI16" i="2"/>
  <c r="AE16" i="2" s="1"/>
  <c r="AD16" i="2"/>
  <c r="AA16" i="2"/>
  <c r="AB16" i="2" s="1"/>
  <c r="Z16" i="2"/>
  <c r="Y16" i="2"/>
  <c r="W16" i="2"/>
  <c r="V16" i="2"/>
  <c r="U16" i="2"/>
  <c r="S16" i="2"/>
  <c r="T16" i="2" s="1"/>
  <c r="N16" i="2"/>
  <c r="AI15" i="2"/>
  <c r="AE15" i="2"/>
  <c r="AD15" i="2"/>
  <c r="AA15" i="2"/>
  <c r="AB15" i="2" s="1"/>
  <c r="Z15" i="2"/>
  <c r="Y15" i="2"/>
  <c r="X15" i="2"/>
  <c r="W15" i="2"/>
  <c r="V15" i="2"/>
  <c r="U15" i="2"/>
  <c r="S15" i="2"/>
  <c r="T15" i="2" s="1"/>
  <c r="N15" i="2"/>
  <c r="AI14" i="2"/>
  <c r="AE14" i="2" s="1"/>
  <c r="AD14" i="2"/>
  <c r="AA14" i="2"/>
  <c r="AB14" i="2" s="1"/>
  <c r="Y14" i="2"/>
  <c r="Z14" i="2" s="1"/>
  <c r="W14" i="2"/>
  <c r="X14" i="2" s="1"/>
  <c r="V14" i="2"/>
  <c r="U14" i="2"/>
  <c r="S14" i="2"/>
  <c r="T14" i="2" s="1"/>
  <c r="N14" i="2"/>
  <c r="AI13" i="2"/>
  <c r="AE13" i="2" s="1"/>
  <c r="AD13" i="2"/>
  <c r="AB13" i="2"/>
  <c r="AA13" i="2"/>
  <c r="Y13" i="2"/>
  <c r="Z13" i="2" s="1"/>
  <c r="X13" i="2"/>
  <c r="W13" i="2"/>
  <c r="V13" i="2"/>
  <c r="U13" i="2"/>
  <c r="T13" i="2"/>
  <c r="S13" i="2"/>
  <c r="N13" i="2"/>
  <c r="AI12" i="2"/>
  <c r="AE12" i="2" s="1"/>
  <c r="AD12" i="2"/>
  <c r="AA12" i="2"/>
  <c r="AB12" i="2" s="1"/>
  <c r="Y12" i="2"/>
  <c r="Z12" i="2" s="1"/>
  <c r="X12" i="2"/>
  <c r="W12" i="2"/>
  <c r="V12" i="2"/>
  <c r="U12" i="2"/>
  <c r="S12" i="2"/>
  <c r="T12" i="2" s="1"/>
  <c r="N12" i="2"/>
  <c r="AI11" i="2"/>
  <c r="AE11" i="2" s="1"/>
  <c r="AD11" i="2"/>
  <c r="AA11" i="2"/>
  <c r="AB11" i="2" s="1"/>
  <c r="Z11" i="2"/>
  <c r="Y11" i="2"/>
  <c r="W11" i="2"/>
  <c r="X11" i="2" s="1"/>
  <c r="V11" i="2"/>
  <c r="U11" i="2"/>
  <c r="S11" i="2"/>
  <c r="T11" i="2" s="1"/>
  <c r="N11" i="2"/>
  <c r="AI10" i="2"/>
  <c r="AE10" i="2" s="1"/>
  <c r="AD10" i="2"/>
  <c r="AA10" i="2"/>
  <c r="AB10" i="2" s="1"/>
  <c r="Y10" i="2"/>
  <c r="Z10" i="2" s="1"/>
  <c r="X10" i="2"/>
  <c r="W10" i="2"/>
  <c r="V10" i="2"/>
  <c r="U10" i="2"/>
  <c r="S10" i="2"/>
  <c r="T10" i="2" s="1"/>
  <c r="N10" i="2"/>
  <c r="AI9" i="2"/>
  <c r="AE9" i="2" s="1"/>
  <c r="AD9" i="2"/>
  <c r="AA9" i="2"/>
  <c r="AB9" i="2" s="1"/>
  <c r="Z9" i="2"/>
  <c r="Y9" i="2"/>
  <c r="X9" i="2"/>
  <c r="W9" i="2"/>
  <c r="V9" i="2"/>
  <c r="U9" i="2"/>
  <c r="S9" i="2"/>
  <c r="T9" i="2" s="1"/>
  <c r="N9" i="2"/>
  <c r="AI8" i="2"/>
  <c r="AD8" i="2"/>
  <c r="AA8" i="2"/>
  <c r="AB8" i="2" s="1"/>
  <c r="Y8" i="2"/>
  <c r="Z8" i="2" s="1"/>
  <c r="W8" i="2"/>
  <c r="V8" i="2"/>
  <c r="U8" i="2"/>
  <c r="S8" i="2"/>
  <c r="T8" i="2" s="1"/>
  <c r="N8" i="2"/>
  <c r="AH22" i="1"/>
  <c r="AG22" i="1"/>
  <c r="N22" i="1"/>
  <c r="AI21" i="1"/>
  <c r="AE21" i="1" s="1"/>
  <c r="AD21" i="1"/>
  <c r="AA21" i="1"/>
  <c r="AB21" i="1" s="1"/>
  <c r="Y21" i="1"/>
  <c r="Z21" i="1" s="1"/>
  <c r="W21" i="1"/>
  <c r="V21" i="1"/>
  <c r="U21" i="1"/>
  <c r="X21" i="1" s="1"/>
  <c r="S21" i="1"/>
  <c r="T21" i="1" s="1"/>
  <c r="AC21" i="1" s="1"/>
  <c r="AF21" i="1" s="1"/>
  <c r="AJ21" i="1" s="1"/>
  <c r="N21" i="1"/>
  <c r="AI20" i="1"/>
  <c r="AE20" i="1" s="1"/>
  <c r="AD20" i="1"/>
  <c r="AA20" i="1"/>
  <c r="AB20" i="1" s="1"/>
  <c r="Y20" i="1"/>
  <c r="Z20" i="1" s="1"/>
  <c r="W20" i="1"/>
  <c r="V20" i="1"/>
  <c r="U20" i="1"/>
  <c r="X20" i="1" s="1"/>
  <c r="T20" i="1"/>
  <c r="AC20" i="1" s="1"/>
  <c r="AF20" i="1" s="1"/>
  <c r="AJ20" i="1" s="1"/>
  <c r="S20" i="1"/>
  <c r="N20" i="1"/>
  <c r="AI19" i="1"/>
  <c r="AE19" i="1"/>
  <c r="AD19" i="1"/>
  <c r="AA19" i="1"/>
  <c r="AB19" i="1" s="1"/>
  <c r="Y19" i="1"/>
  <c r="Z19" i="1" s="1"/>
  <c r="W19" i="1"/>
  <c r="V19" i="1"/>
  <c r="U19" i="1"/>
  <c r="X19" i="1" s="1"/>
  <c r="S19" i="1"/>
  <c r="T19" i="1" s="1"/>
  <c r="N19" i="1"/>
  <c r="AI18" i="1"/>
  <c r="AE18" i="1"/>
  <c r="AD18" i="1"/>
  <c r="AA18" i="1"/>
  <c r="AB18" i="1" s="1"/>
  <c r="Z18" i="1"/>
  <c r="Y18" i="1"/>
  <c r="W18" i="1"/>
  <c r="V18" i="1"/>
  <c r="U18" i="1"/>
  <c r="S18" i="1"/>
  <c r="T18" i="1" s="1"/>
  <c r="N18" i="1"/>
  <c r="AI17" i="1"/>
  <c r="AE17" i="1" s="1"/>
  <c r="AD17" i="1"/>
  <c r="AB17" i="1"/>
  <c r="AA17" i="1"/>
  <c r="Y17" i="1"/>
  <c r="Z17" i="1" s="1"/>
  <c r="W17" i="1"/>
  <c r="V17" i="1"/>
  <c r="U17" i="1"/>
  <c r="X17" i="1" s="1"/>
  <c r="S17" i="1"/>
  <c r="T17" i="1" s="1"/>
  <c r="AC17" i="1" s="1"/>
  <c r="AF17" i="1" s="1"/>
  <c r="AJ17" i="1" s="1"/>
  <c r="N17" i="1"/>
  <c r="AI16" i="1"/>
  <c r="AE16" i="1" s="1"/>
  <c r="AD16" i="1"/>
  <c r="AB16" i="1"/>
  <c r="AA16" i="1"/>
  <c r="Y16" i="1"/>
  <c r="Z16" i="1" s="1"/>
  <c r="W16" i="1"/>
  <c r="V16" i="1"/>
  <c r="U16" i="1"/>
  <c r="T16" i="1"/>
  <c r="S16" i="1"/>
  <c r="N16" i="1"/>
  <c r="AI15" i="1"/>
  <c r="AE15" i="1"/>
  <c r="AD15" i="1"/>
  <c r="AA15" i="1"/>
  <c r="AB15" i="1" s="1"/>
  <c r="Y15" i="1"/>
  <c r="Z15" i="1" s="1"/>
  <c r="W15" i="1"/>
  <c r="V15" i="1"/>
  <c r="U15" i="1"/>
  <c r="X15" i="1" s="1"/>
  <c r="S15" i="1"/>
  <c r="T15" i="1" s="1"/>
  <c r="AC15" i="1" s="1"/>
  <c r="AF15" i="1" s="1"/>
  <c r="AJ15" i="1" s="1"/>
  <c r="N15" i="1"/>
  <c r="AI14" i="1"/>
  <c r="AE14" i="1" s="1"/>
  <c r="AD14" i="1"/>
  <c r="AA14" i="1"/>
  <c r="AB14" i="1" s="1"/>
  <c r="AB22" i="1" s="1"/>
  <c r="Z14" i="1"/>
  <c r="Y14" i="1"/>
  <c r="X14" i="1"/>
  <c r="W14" i="1"/>
  <c r="V14" i="1"/>
  <c r="U14" i="1"/>
  <c r="S14" i="1"/>
  <c r="T14" i="1" s="1"/>
  <c r="N14" i="1"/>
  <c r="AI13" i="1"/>
  <c r="AE13" i="1" s="1"/>
  <c r="AD13" i="1"/>
  <c r="AB13" i="1"/>
  <c r="AA13" i="1"/>
  <c r="Y13" i="1"/>
  <c r="Z13" i="1" s="1"/>
  <c r="W13" i="1"/>
  <c r="V13" i="1"/>
  <c r="U13" i="1"/>
  <c r="X13" i="1" s="1"/>
  <c r="S13" i="1"/>
  <c r="T13" i="1" s="1"/>
  <c r="AC13" i="1" s="1"/>
  <c r="AF13" i="1" s="1"/>
  <c r="AJ13" i="1" s="1"/>
  <c r="N13" i="1"/>
  <c r="AI12" i="1"/>
  <c r="AE12" i="1"/>
  <c r="AD12" i="1"/>
  <c r="AB12" i="1"/>
  <c r="AA12" i="1"/>
  <c r="Z12" i="1"/>
  <c r="Y12" i="1"/>
  <c r="W12" i="1"/>
  <c r="V12" i="1"/>
  <c r="U12" i="1"/>
  <c r="X12" i="1" s="1"/>
  <c r="T12" i="1"/>
  <c r="AC12" i="1" s="1"/>
  <c r="AF12" i="1" s="1"/>
  <c r="AJ12" i="1" s="1"/>
  <c r="S12" i="1"/>
  <c r="N12" i="1"/>
  <c r="AI11" i="1"/>
  <c r="AE11" i="1"/>
  <c r="AD11" i="1"/>
  <c r="AA11" i="1"/>
  <c r="AB11" i="1" s="1"/>
  <c r="Y11" i="1"/>
  <c r="Z11" i="1" s="1"/>
  <c r="W11" i="1"/>
  <c r="X11" i="1" s="1"/>
  <c r="AC11" i="1" s="1"/>
  <c r="AF11" i="1" s="1"/>
  <c r="AJ11" i="1" s="1"/>
  <c r="V11" i="1"/>
  <c r="U11" i="1"/>
  <c r="S11" i="1"/>
  <c r="T11" i="1" s="1"/>
  <c r="N11" i="1"/>
  <c r="AI10" i="1"/>
  <c r="AE10" i="1"/>
  <c r="AD10" i="1"/>
  <c r="AB10" i="1"/>
  <c r="AA10" i="1"/>
  <c r="Y10" i="1"/>
  <c r="Z10" i="1" s="1"/>
  <c r="W10" i="1"/>
  <c r="V10" i="1"/>
  <c r="X10" i="1" s="1"/>
  <c r="U10" i="1"/>
  <c r="T10" i="1"/>
  <c r="S10" i="1"/>
  <c r="N10" i="1"/>
  <c r="AI9" i="1"/>
  <c r="AE9" i="1"/>
  <c r="AD9" i="1"/>
  <c r="AA9" i="1"/>
  <c r="AB9" i="1" s="1"/>
  <c r="Z9" i="1"/>
  <c r="Y9" i="1"/>
  <c r="W9" i="1"/>
  <c r="V9" i="1"/>
  <c r="U9" i="1"/>
  <c r="S9" i="1"/>
  <c r="T9" i="1" s="1"/>
  <c r="N9" i="1"/>
  <c r="AI8" i="1"/>
  <c r="AD8" i="1"/>
  <c r="AA8" i="1"/>
  <c r="AB8" i="1" s="1"/>
  <c r="Y8" i="1"/>
  <c r="Z8" i="1" s="1"/>
  <c r="Z22" i="1" s="1"/>
  <c r="X8" i="1"/>
  <c r="W8" i="1"/>
  <c r="V8" i="1"/>
  <c r="U8" i="1"/>
  <c r="S8" i="1"/>
  <c r="T8" i="1" s="1"/>
  <c r="N8" i="1"/>
  <c r="AA17" i="11" l="1"/>
  <c r="AB17" i="11"/>
  <c r="AG13" i="11"/>
  <c r="AD13" i="11" s="1"/>
  <c r="AG15" i="11"/>
  <c r="AD15" i="11" s="1"/>
  <c r="Y17" i="11"/>
  <c r="Z17" i="11"/>
  <c r="AC19" i="1"/>
  <c r="AF19" i="1" s="1"/>
  <c r="AJ19" i="1" s="1"/>
  <c r="Z36" i="2"/>
  <c r="AC24" i="3"/>
  <c r="AF24" i="3" s="1"/>
  <c r="AJ24" i="3" s="1"/>
  <c r="AB25" i="3"/>
  <c r="AC14" i="1"/>
  <c r="AF14" i="1" s="1"/>
  <c r="AJ14" i="1" s="1"/>
  <c r="AC8" i="3"/>
  <c r="T25" i="3"/>
  <c r="AC30" i="4"/>
  <c r="AF30" i="4" s="1"/>
  <c r="AJ30" i="4" s="1"/>
  <c r="AC12" i="4"/>
  <c r="AF12" i="4" s="1"/>
  <c r="AJ12" i="4" s="1"/>
  <c r="AC8" i="1"/>
  <c r="T22" i="1"/>
  <c r="AC12" i="2"/>
  <c r="AF12" i="2" s="1"/>
  <c r="AJ12" i="2" s="1"/>
  <c r="AC19" i="2"/>
  <c r="AF19" i="2" s="1"/>
  <c r="AJ19" i="2" s="1"/>
  <c r="AC22" i="2"/>
  <c r="AF22" i="2" s="1"/>
  <c r="AJ22" i="2" s="1"/>
  <c r="AC26" i="2"/>
  <c r="AF26" i="2" s="1"/>
  <c r="AJ26" i="2" s="1"/>
  <c r="AC31" i="2"/>
  <c r="AF31" i="2" s="1"/>
  <c r="AJ31" i="2" s="1"/>
  <c r="AC11" i="4"/>
  <c r="AF11" i="4" s="1"/>
  <c r="AJ11" i="4" s="1"/>
  <c r="AC16" i="5"/>
  <c r="AF16" i="5" s="1"/>
  <c r="AJ16" i="5" s="1"/>
  <c r="Z36" i="6"/>
  <c r="X9" i="6"/>
  <c r="X25" i="6"/>
  <c r="AC33" i="7"/>
  <c r="AF33" i="7" s="1"/>
  <c r="AJ33" i="7" s="1"/>
  <c r="AC35" i="7"/>
  <c r="AF35" i="7" s="1"/>
  <c r="AJ35" i="7" s="1"/>
  <c r="AC9" i="8"/>
  <c r="AF9" i="8" s="1"/>
  <c r="AJ9" i="8" s="1"/>
  <c r="AE21" i="8"/>
  <c r="AC33" i="2"/>
  <c r="AF33" i="2" s="1"/>
  <c r="AJ33" i="2" s="1"/>
  <c r="AE25" i="3"/>
  <c r="AC12" i="3"/>
  <c r="AF12" i="3" s="1"/>
  <c r="AJ12" i="3" s="1"/>
  <c r="AC18" i="3"/>
  <c r="AF18" i="3" s="1"/>
  <c r="AJ18" i="3" s="1"/>
  <c r="Z32" i="4"/>
  <c r="X16" i="5"/>
  <c r="AB36" i="6"/>
  <c r="AC20" i="6"/>
  <c r="AF20" i="6" s="1"/>
  <c r="AJ20" i="6" s="1"/>
  <c r="AF31" i="6"/>
  <c r="AJ31" i="6" s="1"/>
  <c r="T36" i="6"/>
  <c r="AC9" i="7"/>
  <c r="AF9" i="7" s="1"/>
  <c r="AJ9" i="7" s="1"/>
  <c r="AC29" i="4"/>
  <c r="AF29" i="4" s="1"/>
  <c r="AJ29" i="4" s="1"/>
  <c r="AC11" i="2"/>
  <c r="AF11" i="2" s="1"/>
  <c r="AJ11" i="2" s="1"/>
  <c r="AC14" i="2"/>
  <c r="AF14" i="2" s="1"/>
  <c r="AJ14" i="2" s="1"/>
  <c r="AC18" i="2"/>
  <c r="AF18" i="2" s="1"/>
  <c r="AJ18" i="2" s="1"/>
  <c r="AC23" i="2"/>
  <c r="AF23" i="2" s="1"/>
  <c r="AJ23" i="2" s="1"/>
  <c r="AC11" i="3"/>
  <c r="AF11" i="3" s="1"/>
  <c r="AJ11" i="3" s="1"/>
  <c r="AC19" i="4"/>
  <c r="AF19" i="4" s="1"/>
  <c r="AJ19" i="4" s="1"/>
  <c r="AC8" i="6"/>
  <c r="AC16" i="6"/>
  <c r="AF16" i="6" s="1"/>
  <c r="AJ16" i="6" s="1"/>
  <c r="AC22" i="6"/>
  <c r="AF22" i="6" s="1"/>
  <c r="AJ22" i="6" s="1"/>
  <c r="AB38" i="7"/>
  <c r="AB28" i="10"/>
  <c r="AC8" i="10"/>
  <c r="AC20" i="3"/>
  <c r="AF20" i="3" s="1"/>
  <c r="AJ20" i="3" s="1"/>
  <c r="AC15" i="5"/>
  <c r="AF15" i="5" s="1"/>
  <c r="AJ15" i="5" s="1"/>
  <c r="AI28" i="10"/>
  <c r="AF18" i="10"/>
  <c r="AJ18" i="10" s="1"/>
  <c r="AD22" i="1"/>
  <c r="AB36" i="2"/>
  <c r="AC13" i="2"/>
  <c r="AF13" i="2" s="1"/>
  <c r="AJ13" i="2" s="1"/>
  <c r="AC20" i="2"/>
  <c r="AF20" i="2" s="1"/>
  <c r="AJ20" i="2" s="1"/>
  <c r="AC27" i="2"/>
  <c r="AF27" i="2" s="1"/>
  <c r="AJ27" i="2" s="1"/>
  <c r="AC30" i="2"/>
  <c r="AF30" i="2" s="1"/>
  <c r="AJ30" i="2" s="1"/>
  <c r="AC34" i="2"/>
  <c r="AF34" i="2" s="1"/>
  <c r="AJ34" i="2" s="1"/>
  <c r="Z25" i="3"/>
  <c r="AC28" i="4"/>
  <c r="AF28" i="4" s="1"/>
  <c r="AJ28" i="4" s="1"/>
  <c r="AE38" i="7"/>
  <c r="AF12" i="9"/>
  <c r="AJ12" i="9" s="1"/>
  <c r="AC19" i="10"/>
  <c r="AF19" i="10" s="1"/>
  <c r="AJ19" i="10" s="1"/>
  <c r="AC10" i="1"/>
  <c r="AF10" i="1" s="1"/>
  <c r="AJ10" i="1" s="1"/>
  <c r="AC9" i="1"/>
  <c r="AF9" i="1" s="1"/>
  <c r="AJ9" i="1" s="1"/>
  <c r="AC9" i="2"/>
  <c r="AF9" i="2" s="1"/>
  <c r="AJ9" i="2" s="1"/>
  <c r="AC28" i="2"/>
  <c r="AF28" i="2" s="1"/>
  <c r="AJ28" i="2" s="1"/>
  <c r="AC35" i="2"/>
  <c r="AF35" i="2" s="1"/>
  <c r="AJ35" i="2" s="1"/>
  <c r="AC10" i="2"/>
  <c r="AF10" i="2" s="1"/>
  <c r="AJ10" i="2" s="1"/>
  <c r="AC15" i="2"/>
  <c r="AF15" i="2" s="1"/>
  <c r="AJ15" i="2" s="1"/>
  <c r="AC32" i="2"/>
  <c r="AF32" i="2" s="1"/>
  <c r="AJ32" i="2" s="1"/>
  <c r="AC10" i="3"/>
  <c r="AF10" i="3" s="1"/>
  <c r="AJ10" i="3" s="1"/>
  <c r="AC17" i="3"/>
  <c r="AF17" i="3" s="1"/>
  <c r="AJ17" i="3" s="1"/>
  <c r="AC19" i="3"/>
  <c r="AF19" i="3" s="1"/>
  <c r="AJ19" i="3" s="1"/>
  <c r="AC17" i="6"/>
  <c r="AF17" i="6" s="1"/>
  <c r="AJ17" i="6" s="1"/>
  <c r="AC8" i="7"/>
  <c r="AC18" i="7"/>
  <c r="AF18" i="7" s="1"/>
  <c r="AJ18" i="7" s="1"/>
  <c r="AC23" i="7"/>
  <c r="AF23" i="7" s="1"/>
  <c r="AJ23" i="7" s="1"/>
  <c r="AC25" i="2"/>
  <c r="AF25" i="2" s="1"/>
  <c r="AJ25" i="2" s="1"/>
  <c r="AI36" i="6"/>
  <c r="AD38" i="7"/>
  <c r="AC12" i="7"/>
  <c r="AF12" i="7" s="1"/>
  <c r="AJ12" i="7" s="1"/>
  <c r="AI22" i="1"/>
  <c r="AE8" i="1"/>
  <c r="AE22" i="1" s="1"/>
  <c r="X16" i="1"/>
  <c r="AC16" i="1" s="1"/>
  <c r="AF16" i="1" s="1"/>
  <c r="AJ16" i="1" s="1"/>
  <c r="X18" i="1"/>
  <c r="AC18" i="1" s="1"/>
  <c r="AF18" i="1" s="1"/>
  <c r="AJ18" i="1" s="1"/>
  <c r="T36" i="2"/>
  <c r="AI36" i="2"/>
  <c r="AE8" i="2"/>
  <c r="AE36" i="2" s="1"/>
  <c r="AC17" i="2"/>
  <c r="AF17" i="2" s="1"/>
  <c r="AJ17" i="2" s="1"/>
  <c r="AC29" i="2"/>
  <c r="AF29" i="2" s="1"/>
  <c r="AJ29" i="2" s="1"/>
  <c r="AC16" i="4"/>
  <c r="AF16" i="4" s="1"/>
  <c r="AJ16" i="4" s="1"/>
  <c r="AC20" i="4"/>
  <c r="AF20" i="4" s="1"/>
  <c r="AJ20" i="4" s="1"/>
  <c r="AC9" i="6"/>
  <c r="AF9" i="6" s="1"/>
  <c r="AJ9" i="6" s="1"/>
  <c r="X17" i="6"/>
  <c r="AC25" i="6"/>
  <c r="AF25" i="6" s="1"/>
  <c r="AJ25" i="6" s="1"/>
  <c r="X33" i="6"/>
  <c r="AC33" i="6" s="1"/>
  <c r="AF33" i="6" s="1"/>
  <c r="AJ33" i="6" s="1"/>
  <c r="X35" i="6"/>
  <c r="AC35" i="6" s="1"/>
  <c r="AF35" i="6" s="1"/>
  <c r="AJ35" i="6" s="1"/>
  <c r="X15" i="7"/>
  <c r="AC11" i="8"/>
  <c r="AF11" i="8" s="1"/>
  <c r="AJ11" i="8" s="1"/>
  <c r="AC24" i="4"/>
  <c r="AF24" i="4" s="1"/>
  <c r="AJ24" i="4" s="1"/>
  <c r="X8" i="5"/>
  <c r="AC12" i="6"/>
  <c r="AF12" i="6" s="1"/>
  <c r="AJ12" i="6" s="1"/>
  <c r="AC15" i="6"/>
  <c r="AF15" i="6" s="1"/>
  <c r="AJ15" i="6" s="1"/>
  <c r="AC23" i="6"/>
  <c r="AF23" i="6" s="1"/>
  <c r="AJ23" i="6" s="1"/>
  <c r="X28" i="6"/>
  <c r="AC30" i="6"/>
  <c r="AF30" i="6" s="1"/>
  <c r="AJ30" i="6" s="1"/>
  <c r="Z38" i="7"/>
  <c r="X9" i="7"/>
  <c r="X17" i="7"/>
  <c r="AC19" i="7"/>
  <c r="AF19" i="7" s="1"/>
  <c r="AJ19" i="7" s="1"/>
  <c r="AC8" i="8"/>
  <c r="T21" i="8"/>
  <c r="AC9" i="4"/>
  <c r="AF9" i="4" s="1"/>
  <c r="AJ9" i="4" s="1"/>
  <c r="AD32" i="4"/>
  <c r="AC17" i="4"/>
  <c r="AF17" i="4" s="1"/>
  <c r="AJ17" i="4" s="1"/>
  <c r="AC25" i="4"/>
  <c r="AF25" i="4" s="1"/>
  <c r="AJ25" i="4" s="1"/>
  <c r="AC11" i="5"/>
  <c r="AF11" i="5" s="1"/>
  <c r="AJ11" i="5" s="1"/>
  <c r="AC24" i="6"/>
  <c r="AF24" i="6" s="1"/>
  <c r="AJ24" i="6" s="1"/>
  <c r="AC31" i="7"/>
  <c r="AF31" i="7" s="1"/>
  <c r="AJ31" i="7" s="1"/>
  <c r="AC16" i="8"/>
  <c r="AF16" i="8" s="1"/>
  <c r="AJ16" i="8" s="1"/>
  <c r="X14" i="3"/>
  <c r="AC14" i="3" s="1"/>
  <c r="AF14" i="3" s="1"/>
  <c r="AJ14" i="3" s="1"/>
  <c r="X22" i="3"/>
  <c r="AC22" i="3" s="1"/>
  <c r="AF22" i="3" s="1"/>
  <c r="AJ22" i="3" s="1"/>
  <c r="X13" i="4"/>
  <c r="X32" i="4" s="1"/>
  <c r="X21" i="4"/>
  <c r="AC21" i="4" s="1"/>
  <c r="AF21" i="4" s="1"/>
  <c r="AJ21" i="4" s="1"/>
  <c r="X29" i="4"/>
  <c r="AC19" i="5"/>
  <c r="AF19" i="5" s="1"/>
  <c r="AJ19" i="5" s="1"/>
  <c r="AC10" i="6"/>
  <c r="AF10" i="6" s="1"/>
  <c r="AJ10" i="6" s="1"/>
  <c r="X13" i="6"/>
  <c r="AC13" i="6" s="1"/>
  <c r="AF13" i="6" s="1"/>
  <c r="AJ13" i="6" s="1"/>
  <c r="AC24" i="7"/>
  <c r="AF24" i="7" s="1"/>
  <c r="AJ24" i="7" s="1"/>
  <c r="AC14" i="8"/>
  <c r="AF14" i="8" s="1"/>
  <c r="AJ14" i="8" s="1"/>
  <c r="AC15" i="8"/>
  <c r="AF15" i="8" s="1"/>
  <c r="AJ15" i="8" s="1"/>
  <c r="X8" i="2"/>
  <c r="X36" i="2" s="1"/>
  <c r="X16" i="2"/>
  <c r="AC16" i="2" s="1"/>
  <c r="AF16" i="2" s="1"/>
  <c r="AJ16" i="2" s="1"/>
  <c r="X24" i="2"/>
  <c r="AC24" i="2" s="1"/>
  <c r="AF24" i="2" s="1"/>
  <c r="AJ24" i="2" s="1"/>
  <c r="X32" i="2"/>
  <c r="AI25" i="3"/>
  <c r="X13" i="3"/>
  <c r="AC13" i="3" s="1"/>
  <c r="AF13" i="3" s="1"/>
  <c r="AJ13" i="3" s="1"/>
  <c r="X21" i="3"/>
  <c r="AC21" i="3" s="1"/>
  <c r="AF21" i="3" s="1"/>
  <c r="AJ21" i="3" s="1"/>
  <c r="AC8" i="4"/>
  <c r="AB32" i="4"/>
  <c r="T32" i="4"/>
  <c r="T21" i="5"/>
  <c r="AE8" i="5"/>
  <c r="AE21" i="5" s="1"/>
  <c r="AI21" i="5"/>
  <c r="AC18" i="6"/>
  <c r="AF18" i="6" s="1"/>
  <c r="AJ18" i="6" s="1"/>
  <c r="X21" i="6"/>
  <c r="AC21" i="6" s="1"/>
  <c r="AF21" i="6" s="1"/>
  <c r="AJ21" i="6" s="1"/>
  <c r="X26" i="6"/>
  <c r="AC26" i="6" s="1"/>
  <c r="AF26" i="6" s="1"/>
  <c r="AJ26" i="6" s="1"/>
  <c r="AC28" i="6"/>
  <c r="AF28" i="6" s="1"/>
  <c r="AJ28" i="6" s="1"/>
  <c r="AC32" i="6"/>
  <c r="AF32" i="6" s="1"/>
  <c r="AJ32" i="6" s="1"/>
  <c r="AC11" i="7"/>
  <c r="AF11" i="7" s="1"/>
  <c r="AJ11" i="7" s="1"/>
  <c r="AC17" i="7"/>
  <c r="AF17" i="7" s="1"/>
  <c r="AJ17" i="7" s="1"/>
  <c r="X36" i="7"/>
  <c r="AB21" i="8"/>
  <c r="AC11" i="12"/>
  <c r="AD11" i="12" s="1"/>
  <c r="AE36" i="6"/>
  <c r="X29" i="6"/>
  <c r="AC29" i="6" s="1"/>
  <c r="AF29" i="6" s="1"/>
  <c r="AJ29" i="6" s="1"/>
  <c r="AC14" i="7"/>
  <c r="AF14" i="7" s="1"/>
  <c r="AJ14" i="7" s="1"/>
  <c r="AC21" i="7"/>
  <c r="AF21" i="7" s="1"/>
  <c r="AJ21" i="7" s="1"/>
  <c r="X26" i="7"/>
  <c r="AC26" i="7" s="1"/>
  <c r="AF26" i="7" s="1"/>
  <c r="AJ26" i="7" s="1"/>
  <c r="AC36" i="7"/>
  <c r="AF36" i="7" s="1"/>
  <c r="AJ36" i="7" s="1"/>
  <c r="AC10" i="8"/>
  <c r="AF10" i="8" s="1"/>
  <c r="AJ10" i="8" s="1"/>
  <c r="AC17" i="8"/>
  <c r="AF17" i="8" s="1"/>
  <c r="AJ17" i="8" s="1"/>
  <c r="AD20" i="9"/>
  <c r="AF13" i="11"/>
  <c r="AJ13" i="11" s="1"/>
  <c r="X13" i="9"/>
  <c r="AC13" i="9" s="1"/>
  <c r="AF13" i="9" s="1"/>
  <c r="AJ13" i="9" s="1"/>
  <c r="AC19" i="9"/>
  <c r="AF19" i="9" s="1"/>
  <c r="AJ19" i="9" s="1"/>
  <c r="AC10" i="10"/>
  <c r="AF10" i="10" s="1"/>
  <c r="AJ10" i="10" s="1"/>
  <c r="X18" i="7"/>
  <c r="AC28" i="7"/>
  <c r="AF28" i="7" s="1"/>
  <c r="AJ28" i="7" s="1"/>
  <c r="AE28" i="10"/>
  <c r="AC17" i="10"/>
  <c r="AF17" i="10" s="1"/>
  <c r="AJ17" i="10" s="1"/>
  <c r="AI17" i="11"/>
  <c r="AE8" i="11"/>
  <c r="AE17" i="11" s="1"/>
  <c r="AC13" i="10"/>
  <c r="AF13" i="10" s="1"/>
  <c r="AJ13" i="10" s="1"/>
  <c r="AF16" i="10"/>
  <c r="AJ16" i="10" s="1"/>
  <c r="AF26" i="10"/>
  <c r="AJ26" i="10" s="1"/>
  <c r="AF11" i="11"/>
  <c r="AJ11" i="11" s="1"/>
  <c r="AC37" i="7"/>
  <c r="AF37" i="7" s="1"/>
  <c r="AJ37" i="7" s="1"/>
  <c r="Z21" i="8"/>
  <c r="AC14" i="9"/>
  <c r="AF14" i="9" s="1"/>
  <c r="AJ14" i="9" s="1"/>
  <c r="AC18" i="9"/>
  <c r="AF18" i="9" s="1"/>
  <c r="AJ18" i="9" s="1"/>
  <c r="AF15" i="10"/>
  <c r="AJ15" i="10" s="1"/>
  <c r="X20" i="7"/>
  <c r="AC20" i="7" s="1"/>
  <c r="AF20" i="7" s="1"/>
  <c r="AJ20" i="7" s="1"/>
  <c r="AC32" i="7"/>
  <c r="AF32" i="7" s="1"/>
  <c r="AJ32" i="7" s="1"/>
  <c r="AC17" i="9"/>
  <c r="AF17" i="9" s="1"/>
  <c r="AJ17" i="9" s="1"/>
  <c r="AC9" i="10"/>
  <c r="AF9" i="10" s="1"/>
  <c r="AJ9" i="10" s="1"/>
  <c r="AC25" i="10"/>
  <c r="AF25" i="10" s="1"/>
  <c r="AJ25" i="10" s="1"/>
  <c r="AC27" i="10"/>
  <c r="AF27" i="10" s="1"/>
  <c r="AJ27" i="10" s="1"/>
  <c r="AF15" i="11"/>
  <c r="AJ15" i="11" s="1"/>
  <c r="X11" i="7"/>
  <c r="AC15" i="7"/>
  <c r="AF15" i="7" s="1"/>
  <c r="AJ15" i="7" s="1"/>
  <c r="X34" i="7"/>
  <c r="AC34" i="7" s="1"/>
  <c r="AF34" i="7" s="1"/>
  <c r="AJ34" i="7" s="1"/>
  <c r="X13" i="8"/>
  <c r="X21" i="8" s="1"/>
  <c r="AC16" i="9"/>
  <c r="AF16" i="9" s="1"/>
  <c r="AJ16" i="9" s="1"/>
  <c r="AI20" i="9"/>
  <c r="Z28" i="10"/>
  <c r="AC23" i="10"/>
  <c r="AF23" i="10" s="1"/>
  <c r="AJ23" i="10" s="1"/>
  <c r="AF9" i="11"/>
  <c r="AJ9" i="11" s="1"/>
  <c r="AC8" i="12"/>
  <c r="X12" i="12"/>
  <c r="X13" i="12" s="1"/>
  <c r="AD21" i="8"/>
  <c r="AC18" i="8"/>
  <c r="AF18" i="8" s="1"/>
  <c r="AJ18" i="8" s="1"/>
  <c r="T28" i="10"/>
  <c r="AD28" i="10"/>
  <c r="T17" i="11"/>
  <c r="AB13" i="12"/>
  <c r="AC20" i="8"/>
  <c r="AF20" i="8" s="1"/>
  <c r="AJ20" i="8" s="1"/>
  <c r="T20" i="9"/>
  <c r="AC8" i="9"/>
  <c r="AC11" i="9"/>
  <c r="AF11" i="9" s="1"/>
  <c r="AJ11" i="9" s="1"/>
  <c r="X22" i="10"/>
  <c r="AC22" i="10" s="1"/>
  <c r="AF22" i="10" s="1"/>
  <c r="AJ22" i="10" s="1"/>
  <c r="X21" i="7"/>
  <c r="X29" i="7"/>
  <c r="AC29" i="7" s="1"/>
  <c r="AF29" i="7" s="1"/>
  <c r="AJ29" i="7" s="1"/>
  <c r="X37" i="7"/>
  <c r="X8" i="9"/>
  <c r="X20" i="9" s="1"/>
  <c r="AE20" i="9"/>
  <c r="AC10" i="9"/>
  <c r="AF10" i="9" s="1"/>
  <c r="AJ10" i="9" s="1"/>
  <c r="T13" i="12"/>
  <c r="AF8" i="4" l="1"/>
  <c r="X25" i="3"/>
  <c r="AC8" i="2"/>
  <c r="AC28" i="10"/>
  <c r="AF8" i="10"/>
  <c r="AF8" i="3"/>
  <c r="AC25" i="3"/>
  <c r="AG16" i="11"/>
  <c r="AD16" i="11" s="1"/>
  <c r="AF16" i="11" s="1"/>
  <c r="AJ16" i="11" s="1"/>
  <c r="X36" i="6"/>
  <c r="AG10" i="11"/>
  <c r="AD10" i="11" s="1"/>
  <c r="AF10" i="11" s="1"/>
  <c r="AJ10" i="11" s="1"/>
  <c r="AD8" i="12"/>
  <c r="AD13" i="12" s="1"/>
  <c r="X38" i="7"/>
  <c r="AF8" i="8"/>
  <c r="AG14" i="11"/>
  <c r="AD14" i="11" s="1"/>
  <c r="AF14" i="11" s="1"/>
  <c r="AJ14" i="11" s="1"/>
  <c r="AC13" i="8"/>
  <c r="AF13" i="8" s="1"/>
  <c r="AJ13" i="8" s="1"/>
  <c r="AC12" i="12"/>
  <c r="AD12" i="12" s="1"/>
  <c r="X28" i="10"/>
  <c r="AC13" i="4"/>
  <c r="AF13" i="4" s="1"/>
  <c r="AJ13" i="4" s="1"/>
  <c r="AC22" i="1"/>
  <c r="AF8" i="1"/>
  <c r="AF8" i="9"/>
  <c r="AC20" i="9"/>
  <c r="AC36" i="6"/>
  <c r="AF8" i="6"/>
  <c r="X22" i="1"/>
  <c r="AG12" i="11"/>
  <c r="AD12" i="11" s="1"/>
  <c r="AF12" i="11" s="1"/>
  <c r="AJ12" i="11" s="1"/>
  <c r="AG8" i="11"/>
  <c r="AC17" i="11"/>
  <c r="AC38" i="7"/>
  <c r="AF8" i="7"/>
  <c r="AC8" i="5"/>
  <c r="X21" i="5"/>
  <c r="AF38" i="7" l="1"/>
  <c r="AJ8" i="7"/>
  <c r="AJ38" i="7" s="1"/>
  <c r="AF25" i="3"/>
  <c r="AJ8" i="3"/>
  <c r="AJ25" i="3" s="1"/>
  <c r="AF28" i="10"/>
  <c r="AJ8" i="10"/>
  <c r="AJ28" i="10" s="1"/>
  <c r="AF8" i="2"/>
  <c r="AC36" i="2"/>
  <c r="AF8" i="5"/>
  <c r="AC21" i="5"/>
  <c r="AF36" i="6"/>
  <c r="AJ8" i="6"/>
  <c r="AJ36" i="6" s="1"/>
  <c r="AC13" i="12"/>
  <c r="AF20" i="9"/>
  <c r="AJ8" i="9"/>
  <c r="AJ20" i="9" s="1"/>
  <c r="AD8" i="11"/>
  <c r="AG17" i="11"/>
  <c r="AF22" i="1"/>
  <c r="AJ8" i="1"/>
  <c r="AJ22" i="1" s="1"/>
  <c r="AJ8" i="8"/>
  <c r="AJ21" i="8" s="1"/>
  <c r="AF21" i="8"/>
  <c r="AC32" i="4"/>
  <c r="AC21" i="8"/>
  <c r="AF32" i="4"/>
  <c r="AJ8" i="4"/>
  <c r="AJ32" i="4" s="1"/>
  <c r="AD17" i="11" l="1"/>
  <c r="AF8" i="11"/>
  <c r="AF36" i="2"/>
  <c r="AJ8" i="2"/>
  <c r="AJ36" i="2" s="1"/>
  <c r="AF21" i="5"/>
  <c r="AJ8" i="5"/>
  <c r="AJ21" i="5" s="1"/>
  <c r="AJ8" i="11" l="1"/>
  <c r="AJ17" i="11" s="1"/>
  <c r="AF17" i="11"/>
</calcChain>
</file>

<file path=xl/sharedStrings.xml><?xml version="1.0" encoding="utf-8"?>
<sst xmlns="http://schemas.openxmlformats.org/spreadsheetml/2006/main" count="818" uniqueCount="113">
  <si>
    <t xml:space="preserve">DAFTAR TANDA TERIMA PEMBAYARAN TPP ASN </t>
  </si>
  <si>
    <t>BULAN MARET 2023 UNTUK KINERJA FEBRUARI 2023</t>
  </si>
  <si>
    <t>SEKRETARIAT DAERAH</t>
  </si>
  <si>
    <t>.</t>
  </si>
  <si>
    <t>NO</t>
  </si>
  <si>
    <t>NAMA</t>
  </si>
  <si>
    <t>NIP</t>
  </si>
  <si>
    <t>PANGKAT/
GOLONGAN</t>
  </si>
  <si>
    <t>JABATAN</t>
  </si>
  <si>
    <t>JENIS JABATAN</t>
  </si>
  <si>
    <t>KELAS</t>
  </si>
  <si>
    <t>KET</t>
  </si>
  <si>
    <t>Basic TPP</t>
  </si>
  <si>
    <t>Persentase</t>
  </si>
  <si>
    <t>Pagu TPP ASN</t>
  </si>
  <si>
    <t>Disiplin dan Produktivitas</t>
  </si>
  <si>
    <t>Persen PPH21</t>
  </si>
  <si>
    <t>Tunjangan PPH 21 (TER)</t>
  </si>
  <si>
    <t>Tunjangan BPJS 4%</t>
  </si>
  <si>
    <t>Jumlah Pembayaran</t>
  </si>
  <si>
    <t>PPH 21 (TER)</t>
  </si>
  <si>
    <t>BPJS 1%</t>
  </si>
  <si>
    <t>BPJS 4%</t>
  </si>
  <si>
    <t>TPP DITERIMA/
TRANSFER</t>
  </si>
  <si>
    <t>TANDA TANGAN</t>
  </si>
  <si>
    <t>Beban Kerja</t>
  </si>
  <si>
    <t>Prestasi Kerja</t>
  </si>
  <si>
    <t>Kondisi Kerja</t>
  </si>
  <si>
    <t>Kelangkaan Profesi</t>
  </si>
  <si>
    <t>Absensi</t>
  </si>
  <si>
    <t>Aktivitas (menit)</t>
  </si>
  <si>
    <t>Penilaian Kinerja</t>
  </si>
  <si>
    <t>Jumlah Beban Kerja</t>
  </si>
  <si>
    <t>Jumlah Prestasi Kerja</t>
  </si>
  <si>
    <t>Jumlah Kondisi Kerja</t>
  </si>
  <si>
    <t>Jumlah Kelangaan Profesi</t>
  </si>
  <si>
    <t>Jumlah Komponen TPP</t>
  </si>
  <si>
    <t>beban kerja</t>
  </si>
  <si>
    <t>Absensi (40%)</t>
  </si>
  <si>
    <t>Aktivitas (40%)</t>
  </si>
  <si>
    <t>Kinerja (20%)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</si>
  <si>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</si>
  <si>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</si>
  <si>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</si>
  <si>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</si>
  <si>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</si>
  <si>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</si>
  <si>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</si>
  <si>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</si>
  <si>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</si>
  <si>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</si>
  <si>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</si>
  <si>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</si>
  <si>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</si>
  <si>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</si>
  <si>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Mengetahui</t>
  </si>
  <si>
    <t>Pengguna Anggaran,</t>
  </si>
  <si>
    <t>Bendahara Pengeluaran</t>
  </si>
  <si>
    <t>IKHSAN BUDIMAN, SH, MM</t>
  </si>
  <si>
    <t>RIJALI HADI, A.Md</t>
  </si>
  <si>
    <t>NIP. 19761205 200604 1 016</t>
  </si>
  <si>
    <t>NIP. 19770824 200604 1 005</t>
  </si>
  <si>
    <t xml:space="preserve"> </t>
  </si>
  <si>
    <t>BAGIAN UMUM SEKRETARIAT DAERAH</t>
  </si>
  <si>
    <t>Pembayaran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</si>
  <si>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</si>
  <si>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</si>
  <si>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</si>
  <si>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</si>
  <si>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</si>
  <si>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</si>
  <si>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</si>
  <si>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</si>
  <si>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</si>
  <si>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</si>
  <si>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</si>
  <si>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</si>
  <si>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</si>
  <si>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</si>
  <si>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BAGIAN KESRA SEKRETARIAT DAERAH</t>
  </si>
  <si>
    <t>ORGANISASI SEKRETARIAT DAERAH</t>
  </si>
  <si>
    <t>BAGIAN PEREKONOMIAN DAN SDA SEKRETARIAT DAERAH</t>
  </si>
  <si>
    <t>BAGIAN PROKOPIM SEKRETARIAT DAERAH</t>
  </si>
  <si>
    <t>BAGIAN PENGADAAN BARANG DAN JASA SEKRETARIAT DAERAH</t>
  </si>
  <si>
    <t>29</t>
  </si>
  <si>
    <t>30</t>
  </si>
  <si>
    <t>BAGIAN ADMINISTRASI PEMBANGUNAN SEKRETARIAT DAERAH</t>
  </si>
  <si>
    <t>BAGIAN HUKUM SEKRETARIAT DAERAH</t>
  </si>
  <si>
    <t>BAGIAN PEMERINTAHAN SEKRETARIAT DAERAH</t>
  </si>
  <si>
    <t>DAFTAR TANDA TERIMA PEMBAYARAN TPP ASN (CPNS)</t>
  </si>
  <si>
    <t>CPNS SEKRETARIAT DAERAH</t>
  </si>
  <si>
    <t>Pagu TPP ASN (80%)</t>
  </si>
  <si>
    <t>PPh 21</t>
  </si>
  <si>
    <t>PPH21</t>
  </si>
  <si>
    <t>%</t>
  </si>
  <si>
    <t>DAFTAR TANDA TERIMA PEMBAYARAN TPP ASN (PLT/PLH/PJ)</t>
  </si>
  <si>
    <t>PLT SEKRETARIAT DAERAH</t>
  </si>
  <si>
    <t>Keternagan</t>
  </si>
  <si>
    <t>di sheet Reguler</t>
  </si>
  <si>
    <t>di sheet PLT</t>
  </si>
  <si>
    <t>Plt ke atas</t>
  </si>
  <si>
    <t>TPP jabatan definitif = 0</t>
  </si>
  <si>
    <t>TPP jabatan PLT 100%</t>
  </si>
  <si>
    <t>Plt setara</t>
  </si>
  <si>
    <t>TPP jabatan definitif = 100%</t>
  </si>
  <si>
    <t>TPP jabatan PLT 20% (di kolom pagu TPP ASN dan di setiap kolom jumlah parameter x 20%)</t>
  </si>
  <si>
    <t>Plt setara, tapi pagu TPP berbeda</t>
  </si>
  <si>
    <t>TPP yang lebih tinggi 100%, TPP yang lebih rendah 20%</t>
  </si>
  <si>
    <t>Contoh: Kepala BKD Diklat dan Asisten pada Sekretariat Daerah eselonnya sama (eselon II.a), tetapi pagu TPP Asisten lebih tinggi daripada TPP Kepala BKD, maka TPP nya:</t>
  </si>
  <si>
    <t>* TPP Asisten 100%</t>
  </si>
  <si>
    <t>pada sheet PLT Sekretariat Daerah</t>
  </si>
  <si>
    <t>* TPP Kepala BKD 20%</t>
  </si>
  <si>
    <t>pada sheet PLT BKD Diklat (pada sheet reguler TPP Kepala BKD = 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</si>
</sst>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(* #,##0_);_(* \(#,##0\);_(* &quot;-&quot;_);_(@_)"/>
    <numFmt numFmtId="43" formatCode="_(* #,##0.00_);_(* \(#,##0.00\);_(* &quot;-&quot;??_);_(@_)"/>
    <numFmt numFmtId="164" formatCode="_ * #,##0_ ;_ * \-#,##0_ ;_ * &quot;-&quot;_ ;_ @_ "/>
    <numFmt numFmtId="165" formatCode="_-* #,##0_-;\-* #,##0_-;_-* &quot;-&quot;??_-;_-@_-"/>
    <numFmt numFmtId="166" formatCode="_-* #,##0_-;\-* #,##0_-;_-* &quot;-&quot;_-;_-@_-"/>
    <numFmt numFmtId="167" formatCode="0.0%"/>
    <numFmt numFmtId="168" formatCode="00000"/>
    <numFmt numFmtId="169" formatCode="_-* #,##0.00_-;\-* #,##0.00_-;_-* &quot;-&quot;??_-;_-@_-"/>
    <numFmt numFmtId="170" formatCode="_-* #,##0.00_-;\-* #,##0.00_-;_-* \-??_-;_-@_-"/>
    <numFmt numFmtId="171" formatCode="_(* #,##0_);_(* \(#,##0\);_(* \-_);_(@_)"/>
  </numFmts>
  <fonts count="25" x14ac:knownFonts="1">
    <font>
      <sz val="12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b/>
      <sz val="14"/>
      <color rgb="FF000000"/>
      <name val="Arial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b/>
      <sz val="11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FFFFFF"/>
      <name val="Calibri"/>
      <family val="2"/>
    </font>
    <font>
      <b/>
      <sz val="16"/>
      <color rgb="FF000000"/>
      <name val="Arial"/>
      <family val="2"/>
    </font>
    <font>
      <b/>
      <sz val="16"/>
      <color rgb="FFFF0000"/>
      <name val="Arial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  <font>
      <sz val="14"/>
      <color rgb="FF000000"/>
      <name val="Calibri"/>
      <family val="2"/>
    </font>
    <font>
      <u/>
      <sz val="14"/>
      <color rgb="FF000000"/>
      <name val="Calibri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6"/>
      <color rgb="FF000000"/>
      <name val="Arial"/>
      <family val="2"/>
    </font>
    <font>
      <sz val="10"/>
      <name val="Arial"/>
      <family val="2"/>
    </font>
    <font>
      <sz val="10"/>
      <name val="Arial"/>
      <family val="2"/>
      <charset val="1"/>
    </font>
    <font>
      <sz val="11"/>
      <name val="Calibri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7CAAC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2CB"/>
        <bgColor rgb="FFFFFFFF"/>
      </patternFill>
    </fill>
    <fill>
      <patternFill patternType="solid">
        <fgColor rgb="FFE7E6E6"/>
        <bgColor rgb="FFFFFFFF"/>
      </patternFill>
    </fill>
    <fill>
      <patternFill patternType="solid">
        <fgColor rgb="FFD0CEC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BE4D5"/>
        <bgColor rgb="FFFFFFFF"/>
      </patternFill>
    </fill>
    <fill>
      <patternFill patternType="solid">
        <fgColor rgb="FFFFC000"/>
        <bgColor rgb="FFFFFFFF"/>
      </patternFill>
    </fill>
    <fill>
      <patternFill patternType="solid">
        <fgColor rgb="FFC5DEB5"/>
        <bgColor rgb="FFFFFFFF"/>
      </patternFill>
    </fill>
    <fill>
      <patternFill patternType="solid">
        <fgColor rgb="FF00B050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D4B6FC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3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</borders>
  <cellStyleXfs count="73">
    <xf numFmtId="0" fontId="0" fillId="0" borderId="0"/>
    <xf numFmtId="0" fontId="2" fillId="0" borderId="0"/>
    <xf numFmtId="166" fontId="2" fillId="0" borderId="0"/>
    <xf numFmtId="169" fontId="2" fillId="0" borderId="0"/>
    <xf numFmtId="0" fontId="20" fillId="0" borderId="0"/>
    <xf numFmtId="41" fontId="20" fillId="0" borderId="0"/>
    <xf numFmtId="166" fontId="14" fillId="0" borderId="0"/>
    <xf numFmtId="166" fontId="14" fillId="0" borderId="0"/>
    <xf numFmtId="166" fontId="14" fillId="0" borderId="0"/>
    <xf numFmtId="166" fontId="20" fillId="0" borderId="0"/>
    <xf numFmtId="166" fontId="2" fillId="0" borderId="0"/>
    <xf numFmtId="166" fontId="2" fillId="0" borderId="0"/>
    <xf numFmtId="166" fontId="2" fillId="0" borderId="0"/>
    <xf numFmtId="166" fontId="2" fillId="0" borderId="0"/>
    <xf numFmtId="166" fontId="2" fillId="0" borderId="0"/>
    <xf numFmtId="166" fontId="2" fillId="0" borderId="0"/>
    <xf numFmtId="166" fontId="2" fillId="0" borderId="0"/>
    <xf numFmtId="166" fontId="2" fillId="0" borderId="0"/>
    <xf numFmtId="166" fontId="2" fillId="0" borderId="0"/>
    <xf numFmtId="166" fontId="2" fillId="0" borderId="0"/>
    <xf numFmtId="166" fontId="2" fillId="0" borderId="0"/>
    <xf numFmtId="166" fontId="2" fillId="0" borderId="0"/>
    <xf numFmtId="170" fontId="20" fillId="0" borderId="0"/>
    <xf numFmtId="170" fontId="20" fillId="0" borderId="0"/>
    <xf numFmtId="43" fontId="20" fillId="0" borderId="0"/>
    <xf numFmtId="169" fontId="20" fillId="0" borderId="0"/>
    <xf numFmtId="169" fontId="20" fillId="0" borderId="0"/>
    <xf numFmtId="169" fontId="20" fillId="0" borderId="0"/>
    <xf numFmtId="169" fontId="2" fillId="0" borderId="0"/>
    <xf numFmtId="43" fontId="20" fillId="0" borderId="0"/>
    <xf numFmtId="169" fontId="20" fillId="0" borderId="0"/>
    <xf numFmtId="169" fontId="14" fillId="0" borderId="0"/>
    <xf numFmtId="169" fontId="14" fillId="0" borderId="0"/>
    <xf numFmtId="169" fontId="14" fillId="0" borderId="0"/>
    <xf numFmtId="169" fontId="2" fillId="0" borderId="0"/>
    <xf numFmtId="169" fontId="2" fillId="0" borderId="0"/>
    <xf numFmtId="169" fontId="2" fillId="0" borderId="0"/>
    <xf numFmtId="43" fontId="2" fillId="0" borderId="0"/>
    <xf numFmtId="43" fontId="2" fillId="0" borderId="0"/>
    <xf numFmtId="169" fontId="2" fillId="0" borderId="0"/>
    <xf numFmtId="169" fontId="2" fillId="0" borderId="0"/>
    <xf numFmtId="169" fontId="2" fillId="0" borderId="0"/>
    <xf numFmtId="169" fontId="2" fillId="0" borderId="0"/>
    <xf numFmtId="169" fontId="2" fillId="0" borderId="0"/>
    <xf numFmtId="171" fontId="20" fillId="0" borderId="0"/>
    <xf numFmtId="171" fontId="20" fillId="0" borderId="0"/>
    <xf numFmtId="0" fontId="14" fillId="0" borderId="0"/>
    <xf numFmtId="0" fontId="20" fillId="0" borderId="0"/>
    <xf numFmtId="0" fontId="14" fillId="0" borderId="0"/>
    <xf numFmtId="0" fontId="20" fillId="0" borderId="0"/>
    <xf numFmtId="0" fontId="20" fillId="0" borderId="0"/>
    <xf numFmtId="0" fontId="21" fillId="0" borderId="0"/>
    <xf numFmtId="0" fontId="2" fillId="0" borderId="0"/>
    <xf numFmtId="0" fontId="20" fillId="0" borderId="0"/>
    <xf numFmtId="0" fontId="20" fillId="0" borderId="0"/>
    <xf numFmtId="0" fontId="14" fillId="0" borderId="0"/>
    <xf numFmtId="0" fontId="14" fillId="0" borderId="0"/>
    <xf numFmtId="0" fontId="2" fillId="0" borderId="0"/>
    <xf numFmtId="0" fontId="22" fillId="0" borderId="0">
      <alignment vertical="center"/>
    </xf>
    <xf numFmtId="0" fontId="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/>
    <xf numFmtId="9" fontId="2" fillId="0" borderId="0"/>
    <xf numFmtId="166" fontId="2" fillId="0" borderId="0"/>
    <xf numFmtId="169" fontId="2" fillId="0" borderId="0"/>
    <xf numFmtId="0" fontId="2" fillId="0" borderId="0"/>
  </cellStyleXfs>
  <cellXfs count="235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vertical="center"/>
    </xf>
    <xf numFmtId="0" fontId="5" fillId="0" borderId="0" xfId="0" applyFont="1"/>
    <xf numFmtId="164" fontId="5" fillId="0" borderId="5" xfId="0" applyNumberFormat="1" applyFont="1" applyBorder="1"/>
    <xf numFmtId="0" fontId="5" fillId="0" borderId="5" xfId="0" applyFont="1" applyBorder="1"/>
    <xf numFmtId="9" fontId="7" fillId="4" borderId="1" xfId="0" applyNumberFormat="1" applyFont="1" applyFill="1" applyBorder="1"/>
    <xf numFmtId="164" fontId="7" fillId="4" borderId="1" xfId="0" applyNumberFormat="1" applyFont="1" applyFill="1" applyBorder="1"/>
    <xf numFmtId="0" fontId="7" fillId="4" borderId="1" xfId="0" applyFont="1" applyFill="1" applyBorder="1"/>
    <xf numFmtId="0" fontId="5" fillId="0" borderId="6" xfId="0" applyFont="1" applyBorder="1"/>
    <xf numFmtId="0" fontId="5" fillId="0" borderId="3" xfId="0" applyFont="1" applyBorder="1"/>
    <xf numFmtId="164" fontId="5" fillId="0" borderId="0" xfId="0" applyNumberFormat="1" applyFont="1"/>
    <xf numFmtId="41" fontId="8" fillId="0" borderId="0" xfId="0" applyNumberFormat="1" applyFont="1"/>
    <xf numFmtId="9" fontId="0" fillId="0" borderId="0" xfId="0" applyNumberFormat="1"/>
    <xf numFmtId="165" fontId="5" fillId="0" borderId="0" xfId="0" applyNumberFormat="1" applyFont="1"/>
    <xf numFmtId="41" fontId="5" fillId="0" borderId="0" xfId="0" applyNumberFormat="1" applyFont="1"/>
    <xf numFmtId="164" fontId="0" fillId="0" borderId="0" xfId="0" applyNumberFormat="1"/>
    <xf numFmtId="165" fontId="0" fillId="0" borderId="0" xfId="0" applyNumberFormat="1"/>
    <xf numFmtId="43" fontId="0" fillId="0" borderId="0" xfId="0" applyNumberFormat="1"/>
    <xf numFmtId="43" fontId="5" fillId="0" borderId="0" xfId="0" applyNumberFormat="1" applyFont="1"/>
    <xf numFmtId="164" fontId="7" fillId="0" borderId="0" xfId="0" applyNumberFormat="1" applyFont="1"/>
    <xf numFmtId="9" fontId="7" fillId="0" borderId="0" xfId="0" applyNumberFormat="1" applyFont="1"/>
    <xf numFmtId="0" fontId="7" fillId="0" borderId="0" xfId="0" applyFont="1"/>
    <xf numFmtId="164" fontId="9" fillId="0" borderId="0" xfId="0" applyNumberFormat="1" applyFont="1"/>
    <xf numFmtId="0" fontId="9" fillId="0" borderId="0" xfId="0" applyFont="1"/>
    <xf numFmtId="0" fontId="10" fillId="0" borderId="0" xfId="0" applyFont="1"/>
    <xf numFmtId="0" fontId="0" fillId="6" borderId="3" xfId="0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5" fillId="6" borderId="8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13" fillId="8" borderId="7" xfId="0" applyFont="1" applyFill="1" applyBorder="1" applyAlignment="1">
      <alignment horizontal="center" vertical="center"/>
    </xf>
    <xf numFmtId="0" fontId="5" fillId="8" borderId="9" xfId="0" applyFont="1" applyFill="1" applyBorder="1" applyAlignment="1">
      <alignment vertical="center"/>
    </xf>
    <xf numFmtId="0" fontId="5" fillId="8" borderId="4" xfId="0" applyFont="1" applyFill="1" applyBorder="1" applyAlignment="1">
      <alignment vertical="center"/>
    </xf>
    <xf numFmtId="0" fontId="13" fillId="8" borderId="10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5" fillId="0" borderId="6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7" fillId="0" borderId="10" xfId="0" applyFont="1" applyBorder="1" applyAlignment="1">
      <alignment vertical="top"/>
    </xf>
    <xf numFmtId="0" fontId="5" fillId="0" borderId="4" xfId="0" applyFont="1" applyBorder="1" applyAlignment="1">
      <alignment horizontal="left" vertical="top" wrapText="1"/>
    </xf>
    <xf numFmtId="3" fontId="5" fillId="0" borderId="0" xfId="0" applyNumberFormat="1" applyFont="1" applyAlignment="1">
      <alignment horizontal="right"/>
    </xf>
    <xf numFmtId="0" fontId="7" fillId="0" borderId="1" xfId="0" applyFont="1" applyBorder="1"/>
    <xf numFmtId="0" fontId="15" fillId="0" borderId="0" xfId="0" applyFont="1"/>
    <xf numFmtId="165" fontId="15" fillId="0" borderId="0" xfId="0" applyNumberFormat="1" applyFont="1"/>
    <xf numFmtId="9" fontId="15" fillId="0" borderId="0" xfId="0" applyNumberFormat="1" applyFont="1"/>
    <xf numFmtId="164" fontId="15" fillId="0" borderId="0" xfId="0" applyNumberFormat="1" applyFont="1"/>
    <xf numFmtId="0" fontId="15" fillId="0" borderId="0" xfId="0" applyFont="1" applyAlignment="1">
      <alignment horizontal="center"/>
    </xf>
    <xf numFmtId="166" fontId="15" fillId="0" borderId="0" xfId="0" applyNumberFormat="1" applyFont="1"/>
    <xf numFmtId="0" fontId="15" fillId="0" borderId="0" xfId="0" applyFont="1" applyAlignment="1">
      <alignment vertical="top"/>
    </xf>
    <xf numFmtId="0" fontId="17" fillId="3" borderId="1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0" fontId="17" fillId="4" borderId="1" xfId="0" quotePrefix="1" applyFont="1" applyFill="1" applyBorder="1" applyAlignment="1">
      <alignment horizontal="center" vertical="top"/>
    </xf>
    <xf numFmtId="0" fontId="17" fillId="0" borderId="1" xfId="0" applyFont="1" applyBorder="1" applyAlignment="1">
      <alignment horizontal="left" vertical="top" wrapText="1"/>
    </xf>
    <xf numFmtId="0" fontId="17" fillId="0" borderId="1" xfId="0" quotePrefix="1" applyFont="1" applyBorder="1" applyAlignment="1">
      <alignment horizontal="left" vertical="top" wrapText="1"/>
    </xf>
    <xf numFmtId="0" fontId="17" fillId="0" borderId="1" xfId="0" applyFont="1" applyBorder="1" applyAlignment="1">
      <alignment horizontal="center" vertical="top" wrapText="1"/>
    </xf>
    <xf numFmtId="0" fontId="17" fillId="0" borderId="1" xfId="0" applyFont="1" applyBorder="1" applyAlignment="1">
      <alignment horizontal="left" vertical="center"/>
    </xf>
    <xf numFmtId="41" fontId="17" fillId="0" borderId="1" xfId="0" applyNumberFormat="1" applyFont="1" applyBorder="1" applyAlignment="1">
      <alignment vertical="center"/>
    </xf>
    <xf numFmtId="10" fontId="17" fillId="0" borderId="1" xfId="0" applyNumberFormat="1" applyFont="1" applyBorder="1" applyAlignment="1">
      <alignment vertical="center"/>
    </xf>
    <xf numFmtId="167" fontId="17" fillId="0" borderId="1" xfId="0" applyNumberFormat="1" applyFont="1" applyBorder="1" applyAlignment="1">
      <alignment vertical="center"/>
    </xf>
    <xf numFmtId="9" fontId="17" fillId="0" borderId="1" xfId="0" applyNumberFormat="1" applyFont="1" applyBorder="1" applyAlignment="1">
      <alignment vertical="center"/>
    </xf>
    <xf numFmtId="164" fontId="17" fillId="0" borderId="1" xfId="0" applyNumberFormat="1" applyFont="1" applyBorder="1" applyAlignment="1">
      <alignment vertical="center"/>
    </xf>
    <xf numFmtId="10" fontId="17" fillId="5" borderId="1" xfId="0" applyNumberFormat="1" applyFont="1" applyFill="1" applyBorder="1" applyAlignment="1">
      <alignment vertical="center"/>
    </xf>
    <xf numFmtId="164" fontId="17" fillId="5" borderId="1" xfId="0" applyNumberFormat="1" applyFont="1" applyFill="1" applyBorder="1" applyAlignment="1">
      <alignment vertical="center"/>
    </xf>
    <xf numFmtId="9" fontId="17" fillId="5" borderId="1" xfId="0" applyNumberFormat="1" applyFont="1" applyFill="1" applyBorder="1" applyAlignment="1">
      <alignment vertical="center"/>
    </xf>
    <xf numFmtId="164" fontId="17" fillId="4" borderId="1" xfId="0" applyNumberFormat="1" applyFont="1" applyFill="1" applyBorder="1" applyAlignment="1">
      <alignment vertical="center"/>
    </xf>
    <xf numFmtId="165" fontId="17" fillId="0" borderId="1" xfId="0" applyNumberFormat="1" applyFont="1" applyBorder="1" applyAlignment="1">
      <alignment vertical="center"/>
    </xf>
    <xf numFmtId="41" fontId="17" fillId="4" borderId="1" xfId="0" applyNumberFormat="1" applyFont="1" applyFill="1" applyBorder="1" applyAlignment="1">
      <alignment vertical="center"/>
    </xf>
    <xf numFmtId="3" fontId="17" fillId="0" borderId="3" xfId="0" applyNumberFormat="1" applyFont="1" applyBorder="1" applyAlignment="1">
      <alignment horizontal="right"/>
    </xf>
    <xf numFmtId="168" fontId="17" fillId="0" borderId="1" xfId="0" quotePrefix="1" applyNumberFormat="1" applyFont="1" applyBorder="1" applyAlignment="1">
      <alignment horizontal="left" vertical="top" wrapText="1"/>
    </xf>
    <xf numFmtId="0" fontId="17" fillId="4" borderId="1" xfId="0" applyFont="1" applyFill="1" applyBorder="1" applyAlignment="1">
      <alignment horizontal="left" vertical="top" wrapText="1"/>
    </xf>
    <xf numFmtId="0" fontId="17" fillId="4" borderId="1" xfId="0" applyFont="1" applyFill="1" applyBorder="1" applyAlignment="1">
      <alignment horizontal="center" vertical="top" wrapText="1"/>
    </xf>
    <xf numFmtId="0" fontId="17" fillId="4" borderId="1" xfId="0" applyFont="1" applyFill="1" applyBorder="1" applyAlignment="1">
      <alignment horizontal="left" vertical="center"/>
    </xf>
    <xf numFmtId="164" fontId="17" fillId="5" borderId="1" xfId="0" quotePrefix="1" applyNumberFormat="1" applyFont="1" applyFill="1" applyBorder="1" applyAlignment="1">
      <alignment vertical="center"/>
    </xf>
    <xf numFmtId="164" fontId="17" fillId="0" borderId="2" xfId="0" quotePrefix="1" applyNumberFormat="1" applyFont="1" applyBorder="1" applyAlignment="1">
      <alignment horizontal="left" vertical="top"/>
    </xf>
    <xf numFmtId="3" fontId="17" fillId="0" borderId="4" xfId="0" applyNumberFormat="1" applyFont="1" applyBorder="1" applyAlignment="1">
      <alignment horizontal="right"/>
    </xf>
    <xf numFmtId="0" fontId="17" fillId="0" borderId="0" xfId="0" applyFont="1" applyAlignment="1">
      <alignment horizontal="center" vertical="center"/>
    </xf>
    <xf numFmtId="0" fontId="17" fillId="0" borderId="0" xfId="0" applyFont="1"/>
    <xf numFmtId="164" fontId="17" fillId="0" borderId="5" xfId="0" applyNumberFormat="1" applyFont="1" applyBorder="1"/>
    <xf numFmtId="0" fontId="17" fillId="0" borderId="5" xfId="0" applyFont="1" applyBorder="1"/>
    <xf numFmtId="9" fontId="18" fillId="4" borderId="1" xfId="0" applyNumberFormat="1" applyFont="1" applyFill="1" applyBorder="1"/>
    <xf numFmtId="164" fontId="18" fillId="4" borderId="1" xfId="0" applyNumberFormat="1" applyFont="1" applyFill="1" applyBorder="1"/>
    <xf numFmtId="0" fontId="18" fillId="4" borderId="1" xfId="0" applyFont="1" applyFill="1" applyBorder="1"/>
    <xf numFmtId="0" fontId="17" fillId="0" borderId="6" xfId="0" applyFont="1" applyBorder="1"/>
    <xf numFmtId="0" fontId="17" fillId="0" borderId="3" xfId="0" applyFont="1" applyBorder="1"/>
    <xf numFmtId="164" fontId="17" fillId="0" borderId="0" xfId="0" applyNumberFormat="1" applyFont="1"/>
    <xf numFmtId="164" fontId="17" fillId="0" borderId="0" xfId="0" applyNumberFormat="1" applyFont="1" applyAlignment="1">
      <alignment vertical="center"/>
    </xf>
    <xf numFmtId="9" fontId="18" fillId="4" borderId="0" xfId="0" applyNumberFormat="1" applyFont="1" applyFill="1"/>
    <xf numFmtId="164" fontId="18" fillId="4" borderId="0" xfId="0" applyNumberFormat="1" applyFont="1" applyFill="1"/>
    <xf numFmtId="0" fontId="18" fillId="4" borderId="0" xfId="0" applyFont="1" applyFill="1"/>
    <xf numFmtId="0" fontId="18" fillId="0" borderId="0" xfId="0" applyFont="1"/>
    <xf numFmtId="164" fontId="18" fillId="0" borderId="0" xfId="0" applyNumberFormat="1" applyFont="1"/>
    <xf numFmtId="164" fontId="5" fillId="0" borderId="0" xfId="0" applyNumberFormat="1" applyFont="1" applyAlignment="1">
      <alignment vertical="center"/>
    </xf>
    <xf numFmtId="9" fontId="7" fillId="4" borderId="0" xfId="0" applyNumberFormat="1" applyFont="1" applyFill="1"/>
    <xf numFmtId="164" fontId="7" fillId="4" borderId="0" xfId="0" applyNumberFormat="1" applyFont="1" applyFill="1"/>
    <xf numFmtId="0" fontId="7" fillId="4" borderId="0" xfId="0" applyFont="1" applyFill="1"/>
    <xf numFmtId="0" fontId="17" fillId="4" borderId="1" xfId="0" applyFont="1" applyFill="1" applyBorder="1" applyAlignment="1">
      <alignment horizontal="center" vertical="center"/>
    </xf>
    <xf numFmtId="9" fontId="17" fillId="4" borderId="1" xfId="0" applyNumberFormat="1" applyFont="1" applyFill="1" applyBorder="1" applyAlignment="1">
      <alignment vertical="center"/>
    </xf>
    <xf numFmtId="0" fontId="17" fillId="4" borderId="1" xfId="0" applyFont="1" applyFill="1" applyBorder="1" applyAlignment="1">
      <alignment horizontal="left" vertical="center" wrapText="1"/>
    </xf>
    <xf numFmtId="0" fontId="17" fillId="4" borderId="1" xfId="0" applyFont="1" applyFill="1" applyBorder="1" applyAlignment="1">
      <alignment horizontal="center" vertical="center" wrapText="1"/>
    </xf>
    <xf numFmtId="41" fontId="17" fillId="0" borderId="1" xfId="0" applyNumberFormat="1" applyFont="1" applyBorder="1" applyAlignment="1">
      <alignment vertical="center" wrapText="1"/>
    </xf>
    <xf numFmtId="10" fontId="17" fillId="0" borderId="1" xfId="0" applyNumberFormat="1" applyFont="1" applyBorder="1" applyAlignment="1">
      <alignment vertical="center" wrapText="1"/>
    </xf>
    <xf numFmtId="167" fontId="17" fillId="0" borderId="1" xfId="0" applyNumberFormat="1" applyFont="1" applyBorder="1" applyAlignment="1">
      <alignment vertical="center" wrapText="1"/>
    </xf>
    <xf numFmtId="9" fontId="17" fillId="0" borderId="1" xfId="0" applyNumberFormat="1" applyFont="1" applyBorder="1" applyAlignment="1">
      <alignment vertical="center" wrapText="1"/>
    </xf>
    <xf numFmtId="164" fontId="17" fillId="0" borderId="1" xfId="0" applyNumberFormat="1" applyFont="1" applyBorder="1" applyAlignment="1">
      <alignment vertical="center" wrapText="1"/>
    </xf>
    <xf numFmtId="10" fontId="17" fillId="5" borderId="1" xfId="0" applyNumberFormat="1" applyFont="1" applyFill="1" applyBorder="1" applyAlignment="1">
      <alignment vertical="center" wrapText="1"/>
    </xf>
    <xf numFmtId="164" fontId="17" fillId="5" borderId="1" xfId="0" applyNumberFormat="1" applyFont="1" applyFill="1" applyBorder="1" applyAlignment="1">
      <alignment vertical="center" wrapText="1"/>
    </xf>
    <xf numFmtId="9" fontId="17" fillId="5" borderId="1" xfId="0" applyNumberFormat="1" applyFont="1" applyFill="1" applyBorder="1" applyAlignment="1">
      <alignment vertical="center" wrapText="1"/>
    </xf>
    <xf numFmtId="0" fontId="17" fillId="0" borderId="1" xfId="0" applyFont="1" applyBorder="1" applyAlignment="1">
      <alignment horizontal="left" vertical="center" wrapText="1"/>
    </xf>
    <xf numFmtId="9" fontId="17" fillId="4" borderId="1" xfId="0" applyNumberFormat="1" applyFont="1" applyFill="1" applyBorder="1" applyAlignment="1">
      <alignment vertical="center" wrapText="1"/>
    </xf>
    <xf numFmtId="0" fontId="17" fillId="0" borderId="0" xfId="0" applyFont="1" applyAlignment="1">
      <alignment horizontal="center" vertical="center" wrapText="1"/>
    </xf>
    <xf numFmtId="0" fontId="17" fillId="0" borderId="0" xfId="0" applyFont="1" applyAlignment="1">
      <alignment wrapText="1"/>
    </xf>
    <xf numFmtId="164" fontId="17" fillId="0" borderId="5" xfId="0" applyNumberFormat="1" applyFont="1" applyBorder="1" applyAlignment="1">
      <alignment wrapText="1"/>
    </xf>
    <xf numFmtId="0" fontId="17" fillId="0" borderId="5" xfId="0" applyFont="1" applyBorder="1" applyAlignment="1">
      <alignment wrapText="1"/>
    </xf>
    <xf numFmtId="9" fontId="18" fillId="4" borderId="1" xfId="0" applyNumberFormat="1" applyFont="1" applyFill="1" applyBorder="1" applyAlignment="1">
      <alignment wrapText="1"/>
    </xf>
    <xf numFmtId="164" fontId="18" fillId="4" borderId="1" xfId="0" applyNumberFormat="1" applyFont="1" applyFill="1" applyBorder="1" applyAlignment="1">
      <alignment wrapText="1"/>
    </xf>
    <xf numFmtId="0" fontId="18" fillId="4" borderId="1" xfId="0" applyFont="1" applyFill="1" applyBorder="1" applyAlignment="1">
      <alignment wrapText="1"/>
    </xf>
    <xf numFmtId="0" fontId="17" fillId="4" borderId="1" xfId="0" quotePrefix="1" applyFont="1" applyFill="1" applyBorder="1" applyAlignment="1">
      <alignment horizontal="center" vertical="top" wrapText="1"/>
    </xf>
    <xf numFmtId="0" fontId="17" fillId="4" borderId="1" xfId="0" applyFont="1" applyFill="1" applyBorder="1" applyAlignment="1">
      <alignment horizontal="center" vertical="top"/>
    </xf>
    <xf numFmtId="0" fontId="17" fillId="0" borderId="1" xfId="0" applyFont="1" applyBorder="1" applyAlignment="1">
      <alignment horizontal="center" vertical="top"/>
    </xf>
    <xf numFmtId="0" fontId="17" fillId="0" borderId="0" xfId="0" applyFont="1" applyAlignment="1">
      <alignment horizontal="center" vertical="top" wrapText="1"/>
    </xf>
    <xf numFmtId="0" fontId="17" fillId="0" borderId="0" xfId="0" applyFont="1" applyAlignment="1">
      <alignment vertical="top" wrapText="1"/>
    </xf>
    <xf numFmtId="167" fontId="17" fillId="4" borderId="1" xfId="0" applyNumberFormat="1" applyFont="1" applyFill="1" applyBorder="1" applyAlignment="1">
      <alignment vertical="center"/>
    </xf>
    <xf numFmtId="0" fontId="17" fillId="0" borderId="1" xfId="0" applyFont="1" applyBorder="1" applyAlignment="1">
      <alignment vertical="top" wrapText="1"/>
    </xf>
    <xf numFmtId="168" fontId="17" fillId="0" borderId="1" xfId="0" quotePrefix="1" applyNumberFormat="1" applyFont="1" applyBorder="1" applyAlignment="1">
      <alignment vertical="top" wrapText="1"/>
    </xf>
    <xf numFmtId="0" fontId="17" fillId="4" borderId="1" xfId="0" applyFont="1" applyFill="1" applyBorder="1" applyAlignment="1">
      <alignment vertical="top" wrapText="1"/>
    </xf>
    <xf numFmtId="164" fontId="17" fillId="0" borderId="2" xfId="0" quotePrefix="1" applyNumberFormat="1" applyFont="1" applyBorder="1" applyAlignment="1">
      <alignment horizontal="center" vertical="top"/>
    </xf>
    <xf numFmtId="164" fontId="17" fillId="0" borderId="6" xfId="0" quotePrefix="1" applyNumberFormat="1" applyFont="1" applyBorder="1" applyAlignment="1">
      <alignment horizontal="center" vertical="top"/>
    </xf>
    <xf numFmtId="3" fontId="17" fillId="0" borderId="0" xfId="0" applyNumberFormat="1" applyFont="1" applyAlignment="1">
      <alignment horizontal="right"/>
    </xf>
    <xf numFmtId="0" fontId="16" fillId="0" borderId="0" xfId="0" applyFont="1" applyAlignment="1">
      <alignment horizontal="center"/>
    </xf>
    <xf numFmtId="0" fontId="17" fillId="3" borderId="3" xfId="0" applyFont="1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4" fontId="23" fillId="18" borderId="18" xfId="0" applyNumberFormat="1" applyFont="1" applyFill="1" applyBorder="1" applyAlignment="1">
      <alignment vertical="center"/>
    </xf>
    <xf numFmtId="41" fontId="1" fillId="18" borderId="18" xfId="0" applyNumberFormat="1" applyFont="1" applyFill="1" applyBorder="1" applyAlignment="1">
      <alignment vertical="center"/>
    </xf>
    <xf numFmtId="164" fontId="23" fillId="18" borderId="15" xfId="0" applyNumberFormat="1" applyFont="1" applyFill="1" applyBorder="1" applyAlignment="1">
      <alignment vertical="center"/>
    </xf>
    <xf numFmtId="41" fontId="1" fillId="18" borderId="15" xfId="0" applyNumberFormat="1" applyFont="1" applyFill="1" applyBorder="1" applyAlignment="1">
      <alignment vertical="center"/>
    </xf>
    <xf numFmtId="164" fontId="23" fillId="18" borderId="0" xfId="0" applyNumberFormat="1" applyFont="1" applyFill="1" applyAlignment="1">
      <alignment vertical="center"/>
    </xf>
    <xf numFmtId="41" fontId="1" fillId="18" borderId="0" xfId="0" applyNumberFormat="1" applyFont="1" applyFill="1" applyAlignment="1">
      <alignment vertical="center"/>
    </xf>
    <xf numFmtId="164" fontId="1" fillId="0" borderId="18" xfId="0" applyNumberFormat="1" applyFont="1" applyBorder="1" applyAlignment="1">
      <alignment vertical="center"/>
    </xf>
    <xf numFmtId="164" fontId="1" fillId="0" borderId="20" xfId="0" quotePrefix="1" applyNumberFormat="1" applyFont="1" applyBorder="1" applyAlignment="1">
      <alignment horizontal="left" vertical="top"/>
    </xf>
    <xf numFmtId="3" fontId="24" fillId="0" borderId="21" xfId="58" applyNumberFormat="1" applyFont="1" applyBorder="1" applyAlignment="1">
      <alignment horizontal="right"/>
    </xf>
    <xf numFmtId="164" fontId="1" fillId="0" borderId="15" xfId="0" applyNumberFormat="1" applyFont="1" applyBorder="1" applyAlignment="1">
      <alignment vertical="center"/>
    </xf>
    <xf numFmtId="164" fontId="1" fillId="0" borderId="19" xfId="0" quotePrefix="1" applyNumberFormat="1" applyFont="1" applyBorder="1" applyAlignment="1">
      <alignment horizontal="left" vertical="top"/>
    </xf>
    <xf numFmtId="3" fontId="24" fillId="0" borderId="22" xfId="58" applyNumberFormat="1" applyFont="1" applyBorder="1" applyAlignment="1">
      <alignment horizontal="right"/>
    </xf>
    <xf numFmtId="164" fontId="1" fillId="0" borderId="0" xfId="0" applyNumberFormat="1" applyFont="1" applyAlignment="1">
      <alignment vertical="center"/>
    </xf>
    <xf numFmtId="164" fontId="1" fillId="0" borderId="0" xfId="0" quotePrefix="1" applyNumberFormat="1" applyFont="1" applyAlignment="1">
      <alignment horizontal="left" vertical="top"/>
    </xf>
    <xf numFmtId="3" fontId="24" fillId="0" borderId="0" xfId="58" applyNumberFormat="1" applyFont="1" applyAlignment="1">
      <alignment horizontal="right"/>
    </xf>
    <xf numFmtId="164" fontId="17" fillId="0" borderId="6" xfId="0" applyNumberFormat="1" applyFont="1" applyBorder="1" applyAlignment="1">
      <alignment vertical="center"/>
    </xf>
    <xf numFmtId="164" fontId="18" fillId="4" borderId="6" xfId="0" applyNumberFormat="1" applyFont="1" applyFill="1" applyBorder="1"/>
    <xf numFmtId="164" fontId="17" fillId="4" borderId="11" xfId="0" applyNumberFormat="1" applyFont="1" applyFill="1" applyBorder="1" applyAlignment="1">
      <alignment vertical="center"/>
    </xf>
    <xf numFmtId="164" fontId="17" fillId="4" borderId="18" xfId="0" applyNumberFormat="1" applyFont="1" applyFill="1" applyBorder="1" applyAlignment="1">
      <alignment vertical="center"/>
    </xf>
    <xf numFmtId="164" fontId="1" fillId="0" borderId="18" xfId="0" quotePrefix="1" applyNumberFormat="1" applyFont="1" applyBorder="1" applyAlignment="1">
      <alignment horizontal="left" vertical="top"/>
    </xf>
    <xf numFmtId="3" fontId="24" fillId="0" borderId="18" xfId="58" applyNumberFormat="1" applyFont="1" applyBorder="1" applyAlignment="1">
      <alignment horizontal="right"/>
    </xf>
    <xf numFmtId="164" fontId="18" fillId="4" borderId="18" xfId="0" applyNumberFormat="1" applyFont="1" applyFill="1" applyBorder="1"/>
    <xf numFmtId="0" fontId="18" fillId="4" borderId="6" xfId="0" applyFont="1" applyFill="1" applyBorder="1"/>
    <xf numFmtId="164" fontId="17" fillId="0" borderId="11" xfId="0" applyNumberFormat="1" applyFont="1" applyBorder="1" applyAlignment="1">
      <alignment vertical="center"/>
    </xf>
    <xf numFmtId="164" fontId="17" fillId="0" borderId="18" xfId="0" applyNumberFormat="1" applyFont="1" applyBorder="1" applyAlignment="1">
      <alignment vertical="center"/>
    </xf>
    <xf numFmtId="0" fontId="0" fillId="16" borderId="29" xfId="0" applyFill="1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0" fontId="17" fillId="10" borderId="1" xfId="0" applyFont="1" applyFill="1" applyBorder="1" applyAlignment="1">
      <alignment horizontal="center" vertical="center"/>
    </xf>
    <xf numFmtId="0" fontId="0" fillId="0" borderId="7" xfId="0" applyBorder="1"/>
    <xf numFmtId="0" fontId="0" fillId="0" borderId="10" xfId="0" applyBorder="1"/>
    <xf numFmtId="0" fontId="17" fillId="6" borderId="1" xfId="0" applyFont="1" applyFill="1" applyBorder="1" applyAlignment="1">
      <alignment horizontal="center" vertical="center"/>
    </xf>
    <xf numFmtId="0" fontId="0" fillId="0" borderId="12" xfId="0" applyBorder="1"/>
    <xf numFmtId="0" fontId="0" fillId="0" borderId="3" xfId="0" applyBorder="1"/>
    <xf numFmtId="0" fontId="15" fillId="0" borderId="0" xfId="0" applyFont="1" applyAlignment="1">
      <alignment horizontal="center"/>
    </xf>
    <xf numFmtId="0" fontId="0" fillId="0" borderId="0" xfId="0"/>
    <xf numFmtId="9" fontId="0" fillId="0" borderId="0" xfId="0" applyNumberFormat="1"/>
    <xf numFmtId="0" fontId="17" fillId="9" borderId="11" xfId="0" applyFont="1" applyFill="1" applyBorder="1" applyAlignment="1">
      <alignment horizontal="center" vertical="center" wrapText="1"/>
    </xf>
    <xf numFmtId="0" fontId="17" fillId="10" borderId="11" xfId="0" applyFont="1" applyFill="1" applyBorder="1" applyAlignment="1">
      <alignment horizontal="center" vertical="center" wrapText="1"/>
    </xf>
    <xf numFmtId="0" fontId="17" fillId="9" borderId="1" xfId="0" applyFont="1" applyFill="1" applyBorder="1" applyAlignment="1">
      <alignment horizontal="center" vertical="center"/>
    </xf>
    <xf numFmtId="0" fontId="17" fillId="14" borderId="1" xfId="0" applyFont="1" applyFill="1" applyBorder="1" applyAlignment="1">
      <alignment horizontal="center" vertical="center" wrapText="1"/>
    </xf>
    <xf numFmtId="0" fontId="0" fillId="17" borderId="18" xfId="0" applyFill="1" applyBorder="1" applyAlignment="1">
      <alignment horizontal="center" vertical="center" wrapText="1"/>
    </xf>
    <xf numFmtId="0" fontId="0" fillId="0" borderId="23" xfId="0" applyBorder="1"/>
    <xf numFmtId="0" fontId="0" fillId="0" borderId="24" xfId="0" applyBorder="1"/>
    <xf numFmtId="0" fontId="17" fillId="6" borderId="11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0" fontId="0" fillId="15" borderId="29" xfId="0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5" fillId="0" borderId="0" xfId="0" applyFont="1"/>
    <xf numFmtId="0" fontId="0" fillId="17" borderId="29" xfId="0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0" fontId="0" fillId="19" borderId="18" xfId="0" applyFill="1" applyBorder="1" applyAlignment="1">
      <alignment horizontal="center" vertical="center" wrapText="1"/>
    </xf>
    <xf numFmtId="0" fontId="0" fillId="0" borderId="25" xfId="0" applyBorder="1"/>
    <xf numFmtId="0" fontId="0" fillId="0" borderId="19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17" fillId="9" borderId="11" xfId="0" applyFont="1" applyFill="1" applyBorder="1" applyAlignment="1">
      <alignment horizontal="center" vertical="center"/>
    </xf>
    <xf numFmtId="0" fontId="16" fillId="0" borderId="0" xfId="0" applyFont="1" applyAlignment="1">
      <alignment horizontal="center"/>
    </xf>
    <xf numFmtId="0" fontId="17" fillId="3" borderId="1" xfId="0" applyFont="1" applyFill="1" applyBorder="1" applyAlignment="1">
      <alignment horizontal="center" vertical="center" wrapText="1"/>
    </xf>
    <xf numFmtId="0" fontId="17" fillId="9" borderId="1" xfId="0" applyFont="1" applyFill="1" applyBorder="1" applyAlignment="1">
      <alignment horizontal="center" vertical="center" wrapText="1"/>
    </xf>
    <xf numFmtId="0" fontId="17" fillId="11" borderId="1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/>
    </xf>
    <xf numFmtId="0" fontId="17" fillId="11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 wrapText="1"/>
    </xf>
    <xf numFmtId="0" fontId="5" fillId="10" borderId="11" xfId="0" applyFont="1" applyFill="1" applyBorder="1" applyAlignment="1">
      <alignment horizontal="center" vertical="center" wrapText="1"/>
    </xf>
    <xf numFmtId="0" fontId="5" fillId="6" borderId="1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 wrapText="1"/>
    </xf>
    <xf numFmtId="0" fontId="0" fillId="9" borderId="1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 wrapText="1"/>
    </xf>
    <xf numFmtId="0" fontId="0" fillId="0" borderId="13" xfId="0" applyBorder="1"/>
    <xf numFmtId="0" fontId="0" fillId="0" borderId="14" xfId="0" applyBorder="1"/>
    <xf numFmtId="0" fontId="0" fillId="0" borderId="9" xfId="0" applyBorder="1"/>
    <xf numFmtId="0" fontId="5" fillId="8" borderId="1" xfId="0" applyFont="1" applyFill="1" applyBorder="1" applyAlignment="1">
      <alignment horizontal="left" vertical="center" wrapText="1"/>
    </xf>
    <xf numFmtId="0" fontId="5" fillId="0" borderId="12" xfId="0" applyFont="1" applyBorder="1" applyAlignment="1">
      <alignment horizontal="left" vertical="top" wrapText="1"/>
    </xf>
    <xf numFmtId="164" fontId="17" fillId="0" borderId="0" xfId="0" applyNumberFormat="1" applyFont="1" applyBorder="1" applyAlignment="1">
      <alignment vertical="center"/>
    </xf>
    <xf numFmtId="0" fontId="18" fillId="4" borderId="0" xfId="0" applyFont="1" applyFill="1" applyBorder="1"/>
    <xf numFmtId="164" fontId="5" fillId="0" borderId="0" xfId="0" applyNumberFormat="1" applyFont="1" applyBorder="1" applyAlignment="1">
      <alignment vertical="center"/>
    </xf>
    <xf numFmtId="0" fontId="7" fillId="0" borderId="0" xfId="0" applyFont="1" applyBorder="1"/>
    <xf numFmtId="164" fontId="18" fillId="4" borderId="30" xfId="0" applyNumberFormat="1" applyFont="1" applyFill="1" applyBorder="1"/>
  </cellXfs>
  <cellStyles count="73">
    <cellStyle name="Comma [0] 2" xfId="5" xr:uid="{00000000-0005-0000-0000-000005000000}"/>
    <cellStyle name="Comma [0] 2 2" xfId="6" xr:uid="{00000000-0005-0000-0000-000006000000}"/>
    <cellStyle name="Comma [0] 2 2 2" xfId="7" xr:uid="{00000000-0005-0000-0000-000007000000}"/>
    <cellStyle name="Comma [0] 2 2 3" xfId="8" xr:uid="{00000000-0005-0000-0000-000008000000}"/>
    <cellStyle name="Comma [0] 2 3" xfId="9" xr:uid="{00000000-0005-0000-0000-000009000000}"/>
    <cellStyle name="Comma [0] 3" xfId="10" xr:uid="{00000000-0005-0000-0000-00000A000000}"/>
    <cellStyle name="Comma [0] 3 2" xfId="11" xr:uid="{00000000-0005-0000-0000-00000B000000}"/>
    <cellStyle name="Comma [0] 3 2 2" xfId="12" xr:uid="{00000000-0005-0000-0000-00000C000000}"/>
    <cellStyle name="Comma [0] 3 2 2 2" xfId="13" xr:uid="{00000000-0005-0000-0000-00000D000000}"/>
    <cellStyle name="Comma [0] 3 2 2 3" xfId="14" xr:uid="{00000000-0005-0000-0000-00000E000000}"/>
    <cellStyle name="Comma [0] 3 2 3" xfId="15" xr:uid="{00000000-0005-0000-0000-00000F000000}"/>
    <cellStyle name="Comma [0] 3 2 4" xfId="16" xr:uid="{00000000-0005-0000-0000-000010000000}"/>
    <cellStyle name="Comma [0] 3 3" xfId="17" xr:uid="{00000000-0005-0000-0000-000011000000}"/>
    <cellStyle name="Comma [0] 3 4" xfId="18" xr:uid="{00000000-0005-0000-0000-000012000000}"/>
    <cellStyle name="Comma [0] 4" xfId="19" xr:uid="{00000000-0005-0000-0000-000013000000}"/>
    <cellStyle name="Comma [0] 5" xfId="20" xr:uid="{00000000-0005-0000-0000-000014000000}"/>
    <cellStyle name="Comma [0] 6" xfId="21" xr:uid="{00000000-0005-0000-0000-000015000000}"/>
    <cellStyle name="Comma [0] 6 2" xfId="2" xr:uid="{00000000-0005-0000-0000-000002000000}"/>
    <cellStyle name="Comma [0] 6 2 2" xfId="70" xr:uid="{00000000-0005-0000-0000-000046000000}"/>
    <cellStyle name="Comma 2" xfId="22" xr:uid="{00000000-0005-0000-0000-000016000000}"/>
    <cellStyle name="Comma 2 2" xfId="23" xr:uid="{00000000-0005-0000-0000-000017000000}"/>
    <cellStyle name="Comma 2 2 2" xfId="24" xr:uid="{00000000-0005-0000-0000-000018000000}"/>
    <cellStyle name="Comma 2 2 2 2" xfId="25" xr:uid="{00000000-0005-0000-0000-000019000000}"/>
    <cellStyle name="Comma 2 2 2 3" xfId="26" xr:uid="{00000000-0005-0000-0000-00001A000000}"/>
    <cellStyle name="Comma 2 2 2 4" xfId="27" xr:uid="{00000000-0005-0000-0000-00001B000000}"/>
    <cellStyle name="Comma 3" xfId="28" xr:uid="{00000000-0005-0000-0000-00001C000000}"/>
    <cellStyle name="Comma 3 2" xfId="29" xr:uid="{00000000-0005-0000-0000-00001D000000}"/>
    <cellStyle name="Comma 3 2 2" xfId="30" xr:uid="{00000000-0005-0000-0000-00001E000000}"/>
    <cellStyle name="Comma 3 3" xfId="31" xr:uid="{00000000-0005-0000-0000-00001F000000}"/>
    <cellStyle name="Comma 3 3 2" xfId="32" xr:uid="{00000000-0005-0000-0000-000020000000}"/>
    <cellStyle name="Comma 3 3 3" xfId="33" xr:uid="{00000000-0005-0000-0000-000021000000}"/>
    <cellStyle name="Comma 3 4" xfId="34" xr:uid="{00000000-0005-0000-0000-000022000000}"/>
    <cellStyle name="Comma 4" xfId="35" xr:uid="{00000000-0005-0000-0000-000023000000}"/>
    <cellStyle name="Comma 4 2" xfId="36" xr:uid="{00000000-0005-0000-0000-000024000000}"/>
    <cellStyle name="Comma 5" xfId="37" xr:uid="{00000000-0005-0000-0000-000025000000}"/>
    <cellStyle name="Comma 5 2" xfId="38" xr:uid="{00000000-0005-0000-0000-000026000000}"/>
    <cellStyle name="Comma 5 3" xfId="39" xr:uid="{00000000-0005-0000-0000-000027000000}"/>
    <cellStyle name="Comma 6" xfId="40" xr:uid="{00000000-0005-0000-0000-000028000000}"/>
    <cellStyle name="Comma 6 2" xfId="41" xr:uid="{00000000-0005-0000-0000-000029000000}"/>
    <cellStyle name="Comma 6 3" xfId="42" xr:uid="{00000000-0005-0000-0000-00002A000000}"/>
    <cellStyle name="Comma 7" xfId="43" xr:uid="{00000000-0005-0000-0000-00002B000000}"/>
    <cellStyle name="Comma 7 2" xfId="3" xr:uid="{00000000-0005-0000-0000-000003000000}"/>
    <cellStyle name="Comma 7 2 2" xfId="71" xr:uid="{00000000-0005-0000-0000-000047000000}"/>
    <cellStyle name="Excel Built-in Comma [0] 1" xfId="44" xr:uid="{00000000-0005-0000-0000-00002C000000}"/>
    <cellStyle name="Excel Built-in Comma [0] 1 2" xfId="45" xr:uid="{00000000-0005-0000-0000-00002D000000}"/>
    <cellStyle name="Normal" xfId="0" builtinId="0"/>
    <cellStyle name="Normal 2" xfId="1" xr:uid="{00000000-0005-0000-0000-000001000000}"/>
    <cellStyle name="Normal 2 2" xfId="46" xr:uid="{00000000-0005-0000-0000-00002E000000}"/>
    <cellStyle name="Normal 2 2 2" xfId="4" xr:uid="{00000000-0005-0000-0000-000004000000}"/>
    <cellStyle name="Normal 2 2 2 2" xfId="47" xr:uid="{00000000-0005-0000-0000-00002F000000}"/>
    <cellStyle name="Normal 2 2 3" xfId="48" xr:uid="{00000000-0005-0000-0000-000030000000}"/>
    <cellStyle name="Normal 2 3" xfId="49" xr:uid="{00000000-0005-0000-0000-000031000000}"/>
    <cellStyle name="Normal 2 3 2" xfId="50" xr:uid="{00000000-0005-0000-0000-000032000000}"/>
    <cellStyle name="Normal 2 4" xfId="51" xr:uid="{00000000-0005-0000-0000-000033000000}"/>
    <cellStyle name="Normal 2 5" xfId="72" xr:uid="{00000000-0005-0000-0000-000048000000}"/>
    <cellStyle name="Normal 3" xfId="52" xr:uid="{00000000-0005-0000-0000-000034000000}"/>
    <cellStyle name="Normal 3 2" xfId="53" xr:uid="{00000000-0005-0000-0000-000035000000}"/>
    <cellStyle name="Normal 3 2 2" xfId="54" xr:uid="{00000000-0005-0000-0000-000036000000}"/>
    <cellStyle name="Normal 3 3" xfId="55" xr:uid="{00000000-0005-0000-0000-000037000000}"/>
    <cellStyle name="Normal 3 3 2" xfId="56" xr:uid="{00000000-0005-0000-0000-000038000000}"/>
    <cellStyle name="Normal 3 4" xfId="57" xr:uid="{00000000-0005-0000-0000-000039000000}"/>
    <cellStyle name="Normal 4" xfId="58" xr:uid="{00000000-0005-0000-0000-00003A000000}"/>
    <cellStyle name="Normal 5" xfId="59" xr:uid="{00000000-0005-0000-0000-00003B000000}"/>
    <cellStyle name="Normal 5 2" xfId="60" xr:uid="{00000000-0005-0000-0000-00003C000000}"/>
    <cellStyle name="Normal 5 2 2" xfId="61" xr:uid="{00000000-0005-0000-0000-00003D000000}"/>
    <cellStyle name="Normal 5 2 3" xfId="62" xr:uid="{00000000-0005-0000-0000-00003E000000}"/>
    <cellStyle name="Normal 5 2 4" xfId="63" xr:uid="{00000000-0005-0000-0000-00003F000000}"/>
    <cellStyle name="Normal 5 3" xfId="64" xr:uid="{00000000-0005-0000-0000-000040000000}"/>
    <cellStyle name="Normal 6" xfId="65" xr:uid="{00000000-0005-0000-0000-000041000000}"/>
    <cellStyle name="Normal 6 2" xfId="66" xr:uid="{00000000-0005-0000-0000-000042000000}"/>
    <cellStyle name="Normal 7" xfId="67" xr:uid="{00000000-0005-0000-0000-000043000000}"/>
    <cellStyle name="Percent 2" xfId="68" xr:uid="{00000000-0005-0000-0000-000044000000}"/>
    <cellStyle name="Percent 2 2" xfId="69" xr:uid="{00000000-0005-0000-0000-000045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externalLink" Target="externalLinks/externalLink10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Daftar%20Tunjangan/FES/FES%20BKN%20(2011)/OK%20KIRIM%20PAN/Users/iyes/Desktop/RB-BKN%202011/FES/FES-KEJAKSAAN/YAN_H_GATRA%20(E)/DATA04/DATPRO/WGI/GAJI/SALWGISEP04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Applications/MAMP/htdocs/tpp/public/excel/EVALUASI%20JABATAN%202019/REKAP%20EVJAB%20DAN%20PETA%20JABATAN/data1_mcs/DATA04/DATSTU/Datstu/FPsikologi/TH2003/JOBEVDTP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Users/rahmatguritno/Downloads/H:/data1_mcs/DATA04/DATSTU/Datstu/FPsikologi/TH2003/JOBEVDTP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Users/rahmatguritno/Downloads/Main-server/Data%20Anjab/data1_mcs/DATA04/DATPRO/WGI/GAJI/SALWGISEP04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HASIL%20RAPAT%20RUDIAN%20HOTEL_2DES11/HASIL%20EVAJAB%20FIX_EDITBKN/data1_mcs/DATA04/DATPRO/WGI/GAJI/SALWGISEP04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Daftar%20Tunjangan/FES/FES%20BKN%20(2011)/OK%20KIRIM%20PAN/Users/iyes/Desktop/RB-BKN%202011/BADAN%20KEPEGAWAIAN%20NEGARA/data1_mcs/DATA04/DATSTU/Datstu/FPsikologi/TH2003/JOBEVDTP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Users/rahmatguritno/Downloads/Main-server/Data%20Anjab/data1_mcs/DATA04/DATSTU/Datstu/FPsikologi/TH2003/JOBEVDTP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Daftar%20Tunjangan/FES/FES%20BKN%20(2011)/OK%20KIRIM%20PAN/Users/iyes/Desktop/RB-BKN%202011/FES/FES-KEJAKSAAN/YAN_H_GATRA%20(E)/DATA04/DATSTU/Datstu/FPsikologi/TH2003/JOBEVDTP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Users/rahmatguritno/Downloads/C:/Documents%20and%20Settings/DIAN%20DIZANO/Local%20Settings/Temporary%20Internet%20Files/Content.IE5/4PYVOLI7/DATA04/DATSTU/Datstu/FPsikologi/TH2003/JOBEVDTP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Users/rahmatguritno/Downloads/H:/DOCUME~1/oki/LOCALS~1/Temp/Temporary%20Directory%201%20for%20FES%2525252520MENEG%2525252520RISTEK1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Users/rahmatguritno/Downloads/H:/DATA04/DATSTU/Datstu/FPsikologi/TH2003/JOBEVDTP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Applications/MAMP/htdocs/tpp/public/excel/Users/ACER/Downloads/(KONSEP)%20TPP%20KOTA%20BANJARMASIN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A"/>
      <sheetName val="SALSEPT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"/>
      <sheetName val="foxz"/>
      <sheetName val="factor"/>
      <sheetName val="sampel"/>
      <sheetName val="sampel sort"/>
      <sheetName val="jobvalue"/>
      <sheetName val="jobvalue15"/>
      <sheetName val="jobvalue16"/>
      <sheetName val="jobvalue17"/>
      <sheetName val="jobprice15"/>
      <sheetName val="all"/>
      <sheetName val="skalagaji"/>
      <sheetName val="Graf1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mpel"/>
      <sheetName val="A"/>
    </sheet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"/>
    </sheetNames>
    <sheetDataSet>
      <sheetData sheetId="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A"/>
      <sheetName val="SALSEPT"/>
      <sheetName val="sampel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"/>
      <sheetName val="foxz"/>
      <sheetName val="factor"/>
      <sheetName val="sampel"/>
      <sheetName val="sampel sort"/>
      <sheetName val="jobvalue"/>
      <sheetName val="jobvalue15"/>
      <sheetName val="jobvalue16"/>
      <sheetName val="jobvalue17"/>
      <sheetName val="jobprice15"/>
      <sheetName val="all"/>
      <sheetName val="skalagaji"/>
      <sheetName val="Graf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mpel"/>
    </sheetNames>
    <sheetDataSet>
      <sheetData sheetId="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"/>
      <sheetName val="foxz"/>
      <sheetName val="factor"/>
      <sheetName val="sampel"/>
      <sheetName val="sampel sort"/>
      <sheetName val="jobvalue"/>
      <sheetName val="jobvalue15"/>
      <sheetName val="jobvalue16"/>
      <sheetName val="jobvalue17"/>
      <sheetName val="jobprice15"/>
      <sheetName val="all"/>
      <sheetName val="skalagaji"/>
      <sheetName val="Graf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mpel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mpel"/>
      <sheetName val="Sheet10"/>
      <sheetName val="Sheet5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mpel"/>
    </sheet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KF"/>
      <sheetName val="IKK"/>
      <sheetName val="IPPD"/>
      <sheetName val="INDEKS TPP"/>
      <sheetName val="Sheet5"/>
      <sheetName val="BASIC TPP"/>
      <sheetName val="TEMPAT BERTUGAS"/>
      <sheetName val="Sheet10"/>
      <sheetName val="BEBAN KERJA DAN PRESTASI"/>
      <sheetName val="KONDISI KERJA"/>
      <sheetName val="KELANGKAAN PROFESI"/>
      <sheetName val="PERTIMBANGAN OBJEKTIF LAINNYA"/>
      <sheetName val="TOTAL KEBUTUHAN ANGGARAN"/>
      <sheetName val="J.STRUKTURAL"/>
      <sheetName val="J.FUNGSIONAL"/>
      <sheetName val="J.PELAKSANA"/>
      <sheetName val="REKAP JABATAN"/>
      <sheetName val="Sheet24"/>
      <sheetName val="Sheet3"/>
    </sheetNames>
    <sheetDataSet>
      <sheetData sheetId="0"/>
      <sheetData sheetId="1"/>
      <sheetData sheetId="2"/>
      <sheetData sheetId="3"/>
      <sheetData sheetId="4">
        <row r="3">
          <cell r="D3">
            <v>0.78934355945121948</v>
          </cell>
        </row>
      </sheetData>
      <sheetData sheetId="5">
        <row r="3">
          <cell r="D3">
            <v>0</v>
          </cell>
          <cell r="E3">
            <v>0.6</v>
          </cell>
        </row>
        <row r="4">
          <cell r="D4">
            <v>501</v>
          </cell>
          <cell r="E4">
            <v>0.7</v>
          </cell>
        </row>
        <row r="5">
          <cell r="D5">
            <v>601</v>
          </cell>
          <cell r="E5">
            <v>0.8</v>
          </cell>
        </row>
        <row r="6">
          <cell r="D6">
            <v>701</v>
          </cell>
          <cell r="E6">
            <v>0.9</v>
          </cell>
        </row>
        <row r="7">
          <cell r="D7">
            <v>801</v>
          </cell>
          <cell r="E7">
            <v>1</v>
          </cell>
        </row>
      </sheetData>
      <sheetData sheetId="6"/>
      <sheetData sheetId="7"/>
      <sheetData sheetId="8">
        <row r="2">
          <cell r="A2">
            <v>16</v>
          </cell>
          <cell r="B2">
            <v>32336774.485518288</v>
          </cell>
        </row>
        <row r="3">
          <cell r="A3">
            <v>15</v>
          </cell>
          <cell r="B3">
            <v>25685239.42454268</v>
          </cell>
        </row>
        <row r="4">
          <cell r="A4">
            <v>14</v>
          </cell>
          <cell r="B4">
            <v>19553794.064405486</v>
          </cell>
        </row>
        <row r="5">
          <cell r="A5">
            <v>13</v>
          </cell>
          <cell r="B5">
            <v>17549738.471798778</v>
          </cell>
        </row>
        <row r="6">
          <cell r="A6">
            <v>12</v>
          </cell>
          <cell r="B6">
            <v>14032774.390243901</v>
          </cell>
        </row>
        <row r="7">
          <cell r="A7">
            <v>11</v>
          </cell>
          <cell r="B7">
            <v>10849088.700457316</v>
          </cell>
        </row>
        <row r="8">
          <cell r="A8">
            <v>10</v>
          </cell>
          <cell r="B8">
            <v>9437040.7774390243</v>
          </cell>
        </row>
        <row r="9">
          <cell r="A9">
            <v>9</v>
          </cell>
          <cell r="B9">
            <v>8209173.0182926822</v>
          </cell>
        </row>
        <row r="10">
          <cell r="A10">
            <v>8</v>
          </cell>
          <cell r="B10">
            <v>6598035.1086128047</v>
          </cell>
        </row>
        <row r="11">
          <cell r="A11">
            <v>7</v>
          </cell>
          <cell r="B11">
            <v>5817462.0331554869</v>
          </cell>
        </row>
        <row r="12">
          <cell r="A12">
            <v>6</v>
          </cell>
          <cell r="B12">
            <v>5055306.9740853654</v>
          </cell>
        </row>
        <row r="13">
          <cell r="A13">
            <v>5</v>
          </cell>
          <cell r="B13">
            <v>4215971.6558689019</v>
          </cell>
        </row>
        <row r="14">
          <cell r="A14">
            <v>4</v>
          </cell>
          <cell r="B14">
            <v>2498710.8898628047</v>
          </cell>
        </row>
        <row r="15">
          <cell r="A15">
            <v>3</v>
          </cell>
          <cell r="B15">
            <v>2064571.9321646339</v>
          </cell>
        </row>
        <row r="16">
          <cell r="A16">
            <v>2</v>
          </cell>
          <cell r="B16">
            <v>1707613.2336128047</v>
          </cell>
        </row>
        <row r="17">
          <cell r="A17">
            <v>1</v>
          </cell>
          <cell r="B17">
            <v>1350654.5350609755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L62"/>
  <sheetViews>
    <sheetView zoomScale="67" zoomScaleNormal="69" workbookViewId="0">
      <selection activeCell="AC9" sqref="AC9"/>
    </sheetView>
  </sheetViews>
  <sheetFormatPr baseColWidth="10" defaultColWidth="8.83203125" defaultRowHeight="19" x14ac:dyDescent="0.25"/>
  <cols>
    <col min="1" max="1" width="4.5" style="3" customWidth="1"/>
    <col min="2" max="2" width="20.6640625" customWidth="1"/>
    <col min="3" max="3" width="20.5" customWidth="1"/>
    <col min="4" max="4" width="14" customWidth="1"/>
    <col min="5" max="5" width="20.1640625" customWidth="1"/>
    <col min="6" max="6" width="24.83203125" customWidth="1"/>
    <col min="7" max="7" width="6.16406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1" customWidth="1"/>
    <col min="20" max="20" width="11.6640625" customWidth="1"/>
    <col min="21" max="21" width="10.83203125" customWidth="1"/>
    <col min="22" max="22" width="11" customWidth="1"/>
    <col min="23" max="23" width="10.6640625" customWidth="1"/>
    <col min="24" max="24" width="11.6640625" customWidth="1"/>
    <col min="25" max="25" width="10.6640625" customWidth="1"/>
    <col min="26" max="26" width="12.6640625" customWidth="1"/>
    <col min="27" max="27" width="11.33203125" customWidth="1"/>
    <col min="28" max="28" width="11.5" customWidth="1"/>
    <col min="29" max="29" width="17" customWidth="1"/>
    <col min="30" max="30" width="16" customWidth="1"/>
    <col min="31" max="31" width="15.5" customWidth="1"/>
    <col min="32" max="32" width="18.5" customWidth="1"/>
    <col min="33" max="33" width="13.83203125" style="50" customWidth="1"/>
    <col min="34" max="34" width="19.5" customWidth="1"/>
    <col min="35" max="35" width="14.6640625" customWidth="1"/>
    <col min="36" max="36" width="17.6640625" customWidth="1"/>
  </cols>
  <sheetData>
    <row r="1" spans="1:38" ht="28" customHeight="1" x14ac:dyDescent="0.25">
      <c r="A1" s="188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6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75"/>
      <c r="AE1" s="175"/>
      <c r="AF1" s="175"/>
      <c r="AG1" s="189"/>
      <c r="AH1" s="175"/>
      <c r="AI1" s="175"/>
      <c r="AJ1" s="32"/>
    </row>
    <row r="2" spans="1:38" ht="28" customHeight="1" x14ac:dyDescent="0.25">
      <c r="A2" s="188" t="s">
        <v>1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  <c r="L2" s="175"/>
      <c r="M2" s="175"/>
      <c r="N2" s="175"/>
      <c r="O2" s="176"/>
      <c r="P2" s="175"/>
      <c r="Q2" s="175"/>
      <c r="R2" s="175"/>
      <c r="S2" s="175"/>
      <c r="T2" s="175"/>
      <c r="U2" s="175"/>
      <c r="V2" s="175"/>
      <c r="W2" s="175"/>
      <c r="X2" s="175"/>
      <c r="Y2" s="175"/>
      <c r="Z2" s="175"/>
      <c r="AA2" s="175"/>
      <c r="AB2" s="175"/>
      <c r="AC2" s="175"/>
      <c r="AD2" s="175"/>
      <c r="AE2" s="175"/>
      <c r="AF2" s="175"/>
      <c r="AG2" s="189"/>
      <c r="AH2" s="175"/>
      <c r="AI2" s="175"/>
      <c r="AJ2" s="32"/>
    </row>
    <row r="3" spans="1:38" ht="28" customHeight="1" x14ac:dyDescent="0.25">
      <c r="A3" s="188" t="s">
        <v>2</v>
      </c>
      <c r="B3" s="175"/>
      <c r="C3" s="175"/>
      <c r="D3" s="175"/>
      <c r="E3" s="175"/>
      <c r="F3" s="175"/>
      <c r="G3" s="175"/>
      <c r="H3" s="175"/>
      <c r="I3" s="175"/>
      <c r="J3" s="175"/>
      <c r="K3" s="175"/>
      <c r="L3" s="175"/>
      <c r="M3" s="175"/>
      <c r="N3" s="175"/>
      <c r="O3" s="176"/>
      <c r="P3" s="175"/>
      <c r="Q3" s="175"/>
      <c r="R3" s="175"/>
      <c r="S3" s="175"/>
      <c r="T3" s="175"/>
      <c r="U3" s="175"/>
      <c r="V3" s="175"/>
      <c r="W3" s="175"/>
      <c r="X3" s="175"/>
      <c r="Y3" s="175"/>
      <c r="Z3" s="175"/>
      <c r="AA3" s="175"/>
      <c r="AB3" s="175"/>
      <c r="AC3" s="175"/>
      <c r="AD3" s="175"/>
      <c r="AE3" s="175"/>
      <c r="AF3" s="175"/>
      <c r="AG3" s="189"/>
      <c r="AH3" s="175"/>
      <c r="AI3" s="175"/>
    </row>
    <row r="4" spans="1:38" ht="16" customHeight="1" x14ac:dyDescent="0.25">
      <c r="D4" t="s">
        <v>3</v>
      </c>
      <c r="AI4" s="83"/>
      <c r="AJ4" s="83"/>
    </row>
    <row r="5" spans="1:38" ht="16" customHeight="1" x14ac:dyDescent="0.2">
      <c r="A5" s="179" t="s">
        <v>4</v>
      </c>
      <c r="B5" s="179" t="s">
        <v>5</v>
      </c>
      <c r="C5" s="198" t="s">
        <v>6</v>
      </c>
      <c r="D5" s="177" t="s">
        <v>7</v>
      </c>
      <c r="E5" s="179" t="s">
        <v>8</v>
      </c>
      <c r="F5" s="201" t="s">
        <v>9</v>
      </c>
      <c r="G5" s="179" t="s">
        <v>10</v>
      </c>
      <c r="H5" s="179" t="s">
        <v>11</v>
      </c>
      <c r="I5" s="168" t="s">
        <v>12</v>
      </c>
      <c r="J5" s="168" t="s">
        <v>13</v>
      </c>
      <c r="K5" s="172"/>
      <c r="L5" s="172"/>
      <c r="M5" s="173"/>
      <c r="N5" s="178" t="s">
        <v>14</v>
      </c>
      <c r="O5" s="171" t="s">
        <v>15</v>
      </c>
      <c r="P5" s="172"/>
      <c r="Q5" s="173"/>
      <c r="R5" s="187" t="s">
        <v>16</v>
      </c>
      <c r="S5" s="204"/>
      <c r="T5" s="172"/>
      <c r="U5" s="172"/>
      <c r="V5" s="172"/>
      <c r="W5" s="172"/>
      <c r="X5" s="172"/>
      <c r="Y5" s="172"/>
      <c r="Z5" s="172"/>
      <c r="AA5" s="172"/>
      <c r="AB5" s="172"/>
      <c r="AC5" s="173"/>
      <c r="AD5" s="186" t="s">
        <v>17</v>
      </c>
      <c r="AE5" s="186" t="s">
        <v>18</v>
      </c>
      <c r="AF5" s="165" t="s">
        <v>19</v>
      </c>
      <c r="AG5" s="190" t="s">
        <v>20</v>
      </c>
      <c r="AH5" s="190" t="s">
        <v>21</v>
      </c>
      <c r="AI5" s="190" t="s">
        <v>22</v>
      </c>
      <c r="AJ5" s="181" t="s">
        <v>23</v>
      </c>
      <c r="AK5" s="192" t="s">
        <v>24</v>
      </c>
      <c r="AL5" s="193"/>
    </row>
    <row r="6" spans="1:38" ht="14.5" customHeight="1" x14ac:dyDescent="0.2">
      <c r="A6" s="169"/>
      <c r="B6" s="169"/>
      <c r="C6" s="169"/>
      <c r="D6" s="169"/>
      <c r="E6" s="169"/>
      <c r="F6" s="169"/>
      <c r="G6" s="169"/>
      <c r="H6" s="169"/>
      <c r="I6" s="169"/>
      <c r="J6" s="178" t="s">
        <v>25</v>
      </c>
      <c r="K6" s="178" t="s">
        <v>26</v>
      </c>
      <c r="L6" s="178" t="s">
        <v>27</v>
      </c>
      <c r="M6" s="178" t="s">
        <v>28</v>
      </c>
      <c r="N6" s="169"/>
      <c r="O6" s="184" t="s">
        <v>29</v>
      </c>
      <c r="P6" s="184" t="s">
        <v>30</v>
      </c>
      <c r="Q6" s="184" t="s">
        <v>31</v>
      </c>
      <c r="R6" s="169"/>
      <c r="S6" s="137"/>
      <c r="T6" s="200" t="s">
        <v>32</v>
      </c>
      <c r="U6" s="203" t="s">
        <v>26</v>
      </c>
      <c r="V6" s="172"/>
      <c r="W6" s="173"/>
      <c r="X6" s="185" t="s">
        <v>33</v>
      </c>
      <c r="Y6" s="191" t="s">
        <v>27</v>
      </c>
      <c r="Z6" s="191" t="s">
        <v>34</v>
      </c>
      <c r="AA6" s="180" t="s">
        <v>28</v>
      </c>
      <c r="AB6" s="180" t="s">
        <v>35</v>
      </c>
      <c r="AC6" s="202" t="s">
        <v>36</v>
      </c>
      <c r="AD6" s="166"/>
      <c r="AE6" s="166"/>
      <c r="AF6" s="166"/>
      <c r="AG6" s="166"/>
      <c r="AH6" s="166"/>
      <c r="AI6" s="166"/>
      <c r="AJ6" s="182"/>
      <c r="AK6" s="194"/>
      <c r="AL6" s="195"/>
    </row>
    <row r="7" spans="1:38" ht="34" customHeight="1" x14ac:dyDescent="0.2">
      <c r="A7" s="170"/>
      <c r="B7" s="170"/>
      <c r="C7" s="169"/>
      <c r="D7" s="169"/>
      <c r="E7" s="170"/>
      <c r="F7" s="170"/>
      <c r="G7" s="170"/>
      <c r="H7" s="170"/>
      <c r="I7" s="170"/>
      <c r="J7" s="169"/>
      <c r="K7" s="169"/>
      <c r="L7" s="169"/>
      <c r="M7" s="169"/>
      <c r="N7" s="169"/>
      <c r="O7" s="169"/>
      <c r="P7" s="169"/>
      <c r="Q7" s="169"/>
      <c r="R7" s="170"/>
      <c r="S7" s="57" t="s">
        <v>37</v>
      </c>
      <c r="T7" s="170"/>
      <c r="U7" s="58" t="s">
        <v>38</v>
      </c>
      <c r="V7" s="58" t="s">
        <v>39</v>
      </c>
      <c r="W7" s="58" t="s">
        <v>40</v>
      </c>
      <c r="X7" s="170"/>
      <c r="Y7" s="170"/>
      <c r="Z7" s="170"/>
      <c r="AA7" s="170"/>
      <c r="AB7" s="170"/>
      <c r="AC7" s="170"/>
      <c r="AD7" s="167"/>
      <c r="AE7" s="167"/>
      <c r="AF7" s="167"/>
      <c r="AG7" s="167"/>
      <c r="AH7" s="167"/>
      <c r="AI7" s="167"/>
      <c r="AJ7" s="183"/>
      <c r="AK7" s="196"/>
      <c r="AL7" s="197"/>
    </row>
    <row r="8" spans="1:38" ht="48.75" customHeight="1" x14ac:dyDescent="0.2">
      <c r="A8" s="59" t="s">
        <v>41</v>
      </c>
      <c r="B8" s="60"/>
      <c r="C8" s="61"/>
      <c r="D8" s="60"/>
      <c r="E8" s="60"/>
      <c r="F8" s="62"/>
      <c r="G8" s="62"/>
      <c r="H8" s="63"/>
      <c r="I8" s="64"/>
      <c r="J8" s="65"/>
      <c r="K8" s="66"/>
      <c r="L8" s="67"/>
      <c r="M8" s="67"/>
      <c r="N8" s="68">
        <f t="shared" ref="N8:N21" si="0">ROUND(I8*(SUM(J8:M8)),0)</f>
        <v>0</v>
      </c>
      <c r="O8" s="69"/>
      <c r="P8" s="70"/>
      <c r="Q8" s="70"/>
      <c r="R8" s="71"/>
      <c r="S8" s="68">
        <f t="shared" ref="S8:S21" si="1">I8*J8</f>
        <v>0</v>
      </c>
      <c r="T8" s="68">
        <f t="shared" ref="T8:T21" si="2">SUM(S8:S8)</f>
        <v>0</v>
      </c>
      <c r="U8" s="68">
        <f t="shared" ref="U8:U21" si="3">I8*K8*40%*O8</f>
        <v>0</v>
      </c>
      <c r="V8" s="68">
        <f t="shared" ref="V8:V21" si="4">IF(P8&gt;=6750,(I8*K8*40%),0)</f>
        <v>0</v>
      </c>
      <c r="W8" s="68">
        <f t="shared" ref="W8:W21" si="5">IF(P8&lt;6750,0,IF(Q8="",0,IF(OR(Q8="KURANG",Q8="SANGAT KURANG"),I8*K8*10%,I8*K8*20%)))</f>
        <v>0</v>
      </c>
      <c r="X8" s="68">
        <f t="shared" ref="X8:X21" si="6">SUM(U8:W8)</f>
        <v>0</v>
      </c>
      <c r="Y8" s="68">
        <f t="shared" ref="Y8:Y21" si="7">I8*L8</f>
        <v>0</v>
      </c>
      <c r="Z8" s="68">
        <f t="shared" ref="Z8:Z21" si="8">Y8</f>
        <v>0</v>
      </c>
      <c r="AA8" s="68">
        <f t="shared" ref="AA8:AA21" si="9">I8*M8</f>
        <v>0</v>
      </c>
      <c r="AB8" s="68">
        <f t="shared" ref="AB8:AB21" si="10">AA8</f>
        <v>0</v>
      </c>
      <c r="AC8" s="72">
        <f t="shared" ref="AC8:AC21" si="11">ROUND((T8+X8+Z8+AB8),0)</f>
        <v>0</v>
      </c>
      <c r="AD8" s="140">
        <f t="shared" ref="AD8:AD21" si="12">AG8</f>
        <v>0</v>
      </c>
      <c r="AE8" s="140">
        <f t="shared" ref="AE8:AE21" si="13">AI8</f>
        <v>0</v>
      </c>
      <c r="AF8" s="140">
        <f t="shared" ref="AF8:AF21" si="14">AC8+AD8+AE8</f>
        <v>0</v>
      </c>
      <c r="AG8" s="140"/>
      <c r="AH8" s="141"/>
      <c r="AI8" s="141">
        <f t="shared" ref="AI8:AI21" si="15">AH8*4</f>
        <v>0</v>
      </c>
      <c r="AJ8" s="146">
        <f t="shared" ref="AJ8:AJ21" si="16">AF8-AG8-AH8-AI8</f>
        <v>0</v>
      </c>
      <c r="AK8" s="147">
        <v>1</v>
      </c>
      <c r="AL8" s="148"/>
    </row>
    <row r="9" spans="1:38" ht="48.75" customHeight="1" x14ac:dyDescent="0.2">
      <c r="A9" s="59" t="s">
        <v>42</v>
      </c>
      <c r="B9" s="60"/>
      <c r="C9" s="76"/>
      <c r="D9" s="77"/>
      <c r="E9" s="60"/>
      <c r="F9" s="78"/>
      <c r="G9" s="78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80"/>
      <c r="R9" s="71"/>
      <c r="S9" s="68">
        <f t="shared" si="1"/>
        <v>0</v>
      </c>
      <c r="T9" s="68">
        <f t="shared" si="2"/>
        <v>0</v>
      </c>
      <c r="U9" s="68">
        <f t="shared" si="3"/>
        <v>0</v>
      </c>
      <c r="V9" s="68">
        <f t="shared" si="4"/>
        <v>0</v>
      </c>
      <c r="W9" s="68">
        <f t="shared" si="5"/>
        <v>0</v>
      </c>
      <c r="X9" s="68">
        <f>SUM(U9:W9)</f>
        <v>0</v>
      </c>
      <c r="Y9" s="68">
        <f t="shared" si="7"/>
        <v>0</v>
      </c>
      <c r="Z9" s="68">
        <f t="shared" si="8"/>
        <v>0</v>
      </c>
      <c r="AA9" s="68">
        <f t="shared" si="9"/>
        <v>0</v>
      </c>
      <c r="AB9" s="68">
        <f t="shared" si="10"/>
        <v>0</v>
      </c>
      <c r="AC9" s="72">
        <f t="shared" si="11"/>
        <v>0</v>
      </c>
      <c r="AD9" s="140">
        <f t="shared" si="12"/>
        <v>0</v>
      </c>
      <c r="AE9" s="140">
        <f t="shared" si="13"/>
        <v>0</v>
      </c>
      <c r="AF9" s="140">
        <f t="shared" si="14"/>
        <v>0</v>
      </c>
      <c r="AG9" s="140"/>
      <c r="AH9" s="141"/>
      <c r="AI9" s="141">
        <f t="shared" si="15"/>
        <v>0</v>
      </c>
      <c r="AJ9" s="146">
        <f t="shared" si="16"/>
        <v>0</v>
      </c>
      <c r="AK9" s="147">
        <v>2</v>
      </c>
      <c r="AL9" s="148"/>
    </row>
    <row r="10" spans="1:38" ht="48.75" customHeight="1" x14ac:dyDescent="0.2">
      <c r="A10" s="59" t="s">
        <v>43</v>
      </c>
      <c r="B10" s="60"/>
      <c r="C10" s="76"/>
      <c r="D10" s="77"/>
      <c r="E10" s="77"/>
      <c r="F10" s="78"/>
      <c r="G10" s="78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1"/>
        <v>0</v>
      </c>
      <c r="T10" s="68">
        <f t="shared" si="2"/>
        <v>0</v>
      </c>
      <c r="U10" s="68">
        <f t="shared" si="3"/>
        <v>0</v>
      </c>
      <c r="V10" s="68">
        <f t="shared" si="4"/>
        <v>0</v>
      </c>
      <c r="W10" s="68">
        <f t="shared" si="5"/>
        <v>0</v>
      </c>
      <c r="X10" s="68">
        <f t="shared" si="6"/>
        <v>0</v>
      </c>
      <c r="Y10" s="68">
        <f t="shared" si="7"/>
        <v>0</v>
      </c>
      <c r="Z10" s="68">
        <f t="shared" si="8"/>
        <v>0</v>
      </c>
      <c r="AA10" s="68">
        <f t="shared" si="9"/>
        <v>0</v>
      </c>
      <c r="AB10" s="68">
        <f t="shared" si="10"/>
        <v>0</v>
      </c>
      <c r="AC10" s="72">
        <f t="shared" si="11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ht="48.75" customHeight="1" x14ac:dyDescent="0.2">
      <c r="A11" s="59" t="s">
        <v>44</v>
      </c>
      <c r="B11" s="60"/>
      <c r="C11" s="76"/>
      <c r="D11" s="77"/>
      <c r="E11" s="77"/>
      <c r="F11" s="78"/>
      <c r="G11" s="78"/>
      <c r="H11" s="79"/>
      <c r="I11" s="64"/>
      <c r="J11" s="65"/>
      <c r="K11" s="66"/>
      <c r="L11" s="67"/>
      <c r="M11" s="67"/>
      <c r="N11" s="68">
        <f t="shared" si="0"/>
        <v>0</v>
      </c>
      <c r="O11" s="69"/>
      <c r="P11" s="70"/>
      <c r="Q11" s="70"/>
      <c r="R11" s="71"/>
      <c r="S11" s="68">
        <f t="shared" si="1"/>
        <v>0</v>
      </c>
      <c r="T11" s="68">
        <f t="shared" si="2"/>
        <v>0</v>
      </c>
      <c r="U11" s="68">
        <f t="shared" si="3"/>
        <v>0</v>
      </c>
      <c r="V11" s="68">
        <f t="shared" si="4"/>
        <v>0</v>
      </c>
      <c r="W11" s="68">
        <f t="shared" si="5"/>
        <v>0</v>
      </c>
      <c r="X11" s="68">
        <f t="shared" si="6"/>
        <v>0</v>
      </c>
      <c r="Y11" s="68">
        <f t="shared" si="7"/>
        <v>0</v>
      </c>
      <c r="Z11" s="68">
        <f t="shared" si="8"/>
        <v>0</v>
      </c>
      <c r="AA11" s="68">
        <f t="shared" si="9"/>
        <v>0</v>
      </c>
      <c r="AB11" s="68">
        <f t="shared" si="10"/>
        <v>0</v>
      </c>
      <c r="AC11" s="72">
        <f t="shared" si="11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ht="48.75" customHeight="1" x14ac:dyDescent="0.2">
      <c r="A12" s="59" t="s">
        <v>45</v>
      </c>
      <c r="B12" s="60"/>
      <c r="C12" s="76"/>
      <c r="D12" s="77"/>
      <c r="E12" s="60"/>
      <c r="F12" s="78"/>
      <c r="G12" s="78"/>
      <c r="H12" s="79"/>
      <c r="I12" s="64"/>
      <c r="J12" s="65"/>
      <c r="K12" s="66"/>
      <c r="L12" s="67"/>
      <c r="M12" s="67"/>
      <c r="N12" s="68">
        <f t="shared" si="0"/>
        <v>0</v>
      </c>
      <c r="O12" s="69"/>
      <c r="P12" s="70"/>
      <c r="Q12" s="80"/>
      <c r="R12" s="71"/>
      <c r="S12" s="68">
        <f t="shared" si="1"/>
        <v>0</v>
      </c>
      <c r="T12" s="68">
        <f t="shared" si="2"/>
        <v>0</v>
      </c>
      <c r="U12" s="68">
        <f t="shared" si="3"/>
        <v>0</v>
      </c>
      <c r="V12" s="68">
        <f t="shared" si="4"/>
        <v>0</v>
      </c>
      <c r="W12" s="68">
        <f t="shared" si="5"/>
        <v>0</v>
      </c>
      <c r="X12" s="68">
        <f t="shared" si="6"/>
        <v>0</v>
      </c>
      <c r="Y12" s="68">
        <f t="shared" si="7"/>
        <v>0</v>
      </c>
      <c r="Z12" s="68">
        <f t="shared" si="8"/>
        <v>0</v>
      </c>
      <c r="AA12" s="68">
        <f t="shared" si="9"/>
        <v>0</v>
      </c>
      <c r="AB12" s="68">
        <f t="shared" si="10"/>
        <v>0</v>
      </c>
      <c r="AC12" s="72">
        <f t="shared" si="11"/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ht="48.75" customHeight="1" x14ac:dyDescent="0.2">
      <c r="A13" s="59" t="s">
        <v>46</v>
      </c>
      <c r="B13" s="60"/>
      <c r="C13" s="76"/>
      <c r="D13" s="77"/>
      <c r="E13" s="77"/>
      <c r="F13" s="78"/>
      <c r="G13" s="78"/>
      <c r="H13" s="79"/>
      <c r="I13" s="64"/>
      <c r="J13" s="65"/>
      <c r="K13" s="66"/>
      <c r="L13" s="67"/>
      <c r="M13" s="67"/>
      <c r="N13" s="68">
        <f t="shared" si="0"/>
        <v>0</v>
      </c>
      <c r="O13" s="69"/>
      <c r="P13" s="70"/>
      <c r="Q13" s="70"/>
      <c r="R13" s="71"/>
      <c r="S13" s="68">
        <f t="shared" si="1"/>
        <v>0</v>
      </c>
      <c r="T13" s="68">
        <f t="shared" si="2"/>
        <v>0</v>
      </c>
      <c r="U13" s="68">
        <f t="shared" si="3"/>
        <v>0</v>
      </c>
      <c r="V13" s="68">
        <f t="shared" si="4"/>
        <v>0</v>
      </c>
      <c r="W13" s="68">
        <f t="shared" si="5"/>
        <v>0</v>
      </c>
      <c r="X13" s="68">
        <f t="shared" si="6"/>
        <v>0</v>
      </c>
      <c r="Y13" s="68">
        <f t="shared" si="7"/>
        <v>0</v>
      </c>
      <c r="Z13" s="68">
        <f t="shared" si="8"/>
        <v>0</v>
      </c>
      <c r="AA13" s="68">
        <f t="shared" si="9"/>
        <v>0</v>
      </c>
      <c r="AB13" s="68">
        <f t="shared" si="10"/>
        <v>0</v>
      </c>
      <c r="AC13" s="72">
        <f t="shared" si="11"/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ht="48.75" customHeight="1" x14ac:dyDescent="0.2">
      <c r="A14" s="59" t="s">
        <v>47</v>
      </c>
      <c r="B14" s="60"/>
      <c r="C14" s="76"/>
      <c r="D14" s="77"/>
      <c r="E14" s="77"/>
      <c r="F14" s="78"/>
      <c r="G14" s="78"/>
      <c r="H14" s="79"/>
      <c r="I14" s="64"/>
      <c r="J14" s="65"/>
      <c r="K14" s="66"/>
      <c r="L14" s="67"/>
      <c r="M14" s="67"/>
      <c r="N14" s="68">
        <f t="shared" si="0"/>
        <v>0</v>
      </c>
      <c r="O14" s="69"/>
      <c r="P14" s="70"/>
      <c r="Q14" s="70"/>
      <c r="R14" s="71"/>
      <c r="S14" s="68">
        <f t="shared" si="1"/>
        <v>0</v>
      </c>
      <c r="T14" s="68">
        <f t="shared" si="2"/>
        <v>0</v>
      </c>
      <c r="U14" s="68">
        <f t="shared" si="3"/>
        <v>0</v>
      </c>
      <c r="V14" s="68">
        <f t="shared" si="4"/>
        <v>0</v>
      </c>
      <c r="W14" s="68">
        <f t="shared" si="5"/>
        <v>0</v>
      </c>
      <c r="X14" s="68">
        <f t="shared" si="6"/>
        <v>0</v>
      </c>
      <c r="Y14" s="68">
        <f t="shared" si="7"/>
        <v>0</v>
      </c>
      <c r="Z14" s="68">
        <f t="shared" si="8"/>
        <v>0</v>
      </c>
      <c r="AA14" s="68">
        <f t="shared" si="9"/>
        <v>0</v>
      </c>
      <c r="AB14" s="68">
        <f t="shared" si="10"/>
        <v>0</v>
      </c>
      <c r="AC14" s="72">
        <f t="shared" si="11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ht="48.75" customHeight="1" x14ac:dyDescent="0.2">
      <c r="A15" s="59" t="s">
        <v>48</v>
      </c>
      <c r="B15" s="60"/>
      <c r="C15" s="76"/>
      <c r="D15" s="77"/>
      <c r="E15" s="77"/>
      <c r="F15" s="78"/>
      <c r="G15" s="78"/>
      <c r="H15" s="79"/>
      <c r="I15" s="64"/>
      <c r="J15" s="65"/>
      <c r="K15" s="66"/>
      <c r="L15" s="67"/>
      <c r="M15" s="67"/>
      <c r="N15" s="68">
        <f t="shared" si="0"/>
        <v>0</v>
      </c>
      <c r="O15" s="69"/>
      <c r="P15" s="70"/>
      <c r="Q15" s="70"/>
      <c r="R15" s="71"/>
      <c r="S15" s="68">
        <f t="shared" si="1"/>
        <v>0</v>
      </c>
      <c r="T15" s="68">
        <f t="shared" si="2"/>
        <v>0</v>
      </c>
      <c r="U15" s="68">
        <f t="shared" si="3"/>
        <v>0</v>
      </c>
      <c r="V15" s="68">
        <f t="shared" si="4"/>
        <v>0</v>
      </c>
      <c r="W15" s="68">
        <f t="shared" si="5"/>
        <v>0</v>
      </c>
      <c r="X15" s="68">
        <f t="shared" si="6"/>
        <v>0</v>
      </c>
      <c r="Y15" s="68">
        <f t="shared" si="7"/>
        <v>0</v>
      </c>
      <c r="Z15" s="68">
        <f t="shared" si="8"/>
        <v>0</v>
      </c>
      <c r="AA15" s="68">
        <f t="shared" si="9"/>
        <v>0</v>
      </c>
      <c r="AB15" s="68">
        <f t="shared" si="10"/>
        <v>0</v>
      </c>
      <c r="AC15" s="72">
        <f t="shared" si="11"/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ht="48.75" customHeight="1" x14ac:dyDescent="0.2">
      <c r="A16" s="59" t="s">
        <v>49</v>
      </c>
      <c r="B16" s="60"/>
      <c r="C16" s="76"/>
      <c r="D16" s="77"/>
      <c r="E16" s="60"/>
      <c r="F16" s="78"/>
      <c r="G16" s="78"/>
      <c r="H16" s="79"/>
      <c r="I16" s="64"/>
      <c r="J16" s="65"/>
      <c r="K16" s="66"/>
      <c r="L16" s="67"/>
      <c r="M16" s="67"/>
      <c r="N16" s="68">
        <f t="shared" si="0"/>
        <v>0</v>
      </c>
      <c r="O16" s="69"/>
      <c r="P16" s="70"/>
      <c r="Q16" s="80"/>
      <c r="R16" s="71"/>
      <c r="S16" s="68">
        <f t="shared" si="1"/>
        <v>0</v>
      </c>
      <c r="T16" s="68">
        <f t="shared" si="2"/>
        <v>0</v>
      </c>
      <c r="U16" s="68">
        <f t="shared" si="3"/>
        <v>0</v>
      </c>
      <c r="V16" s="68">
        <f t="shared" si="4"/>
        <v>0</v>
      </c>
      <c r="W16" s="68">
        <f t="shared" si="5"/>
        <v>0</v>
      </c>
      <c r="X16" s="68">
        <f t="shared" si="6"/>
        <v>0</v>
      </c>
      <c r="Y16" s="68">
        <f t="shared" si="7"/>
        <v>0</v>
      </c>
      <c r="Z16" s="68">
        <f t="shared" si="8"/>
        <v>0</v>
      </c>
      <c r="AA16" s="68">
        <f t="shared" si="9"/>
        <v>0</v>
      </c>
      <c r="AB16" s="68">
        <f t="shared" si="10"/>
        <v>0</v>
      </c>
      <c r="AC16" s="72">
        <f t="shared" si="11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ht="48.75" customHeight="1" x14ac:dyDescent="0.2">
      <c r="A17" s="59" t="s">
        <v>50</v>
      </c>
      <c r="B17" s="60"/>
      <c r="C17" s="76"/>
      <c r="D17" s="77"/>
      <c r="E17" s="77"/>
      <c r="F17" s="78"/>
      <c r="G17" s="78"/>
      <c r="H17" s="79"/>
      <c r="I17" s="64"/>
      <c r="J17" s="65"/>
      <c r="K17" s="66"/>
      <c r="L17" s="67"/>
      <c r="M17" s="67"/>
      <c r="N17" s="68">
        <f t="shared" si="0"/>
        <v>0</v>
      </c>
      <c r="O17" s="69"/>
      <c r="P17" s="70"/>
      <c r="Q17" s="70"/>
      <c r="R17" s="71"/>
      <c r="S17" s="68">
        <f t="shared" si="1"/>
        <v>0</v>
      </c>
      <c r="T17" s="68">
        <f t="shared" si="2"/>
        <v>0</v>
      </c>
      <c r="U17" s="68">
        <f t="shared" si="3"/>
        <v>0</v>
      </c>
      <c r="V17" s="68">
        <f t="shared" si="4"/>
        <v>0</v>
      </c>
      <c r="W17" s="68">
        <f t="shared" si="5"/>
        <v>0</v>
      </c>
      <c r="X17" s="68">
        <f t="shared" si="6"/>
        <v>0</v>
      </c>
      <c r="Y17" s="68">
        <f t="shared" si="7"/>
        <v>0</v>
      </c>
      <c r="Z17" s="68">
        <f t="shared" si="8"/>
        <v>0</v>
      </c>
      <c r="AA17" s="68">
        <f t="shared" si="9"/>
        <v>0</v>
      </c>
      <c r="AB17" s="68">
        <f t="shared" si="10"/>
        <v>0</v>
      </c>
      <c r="AC17" s="72">
        <f t="shared" si="11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ht="48.75" customHeight="1" x14ac:dyDescent="0.2">
      <c r="A18" s="59" t="s">
        <v>51</v>
      </c>
      <c r="B18" s="60"/>
      <c r="C18" s="76"/>
      <c r="D18" s="77"/>
      <c r="E18" s="77"/>
      <c r="F18" s="78"/>
      <c r="G18" s="78"/>
      <c r="H18" s="79"/>
      <c r="I18" s="64"/>
      <c r="J18" s="65"/>
      <c r="K18" s="66"/>
      <c r="L18" s="67"/>
      <c r="M18" s="67"/>
      <c r="N18" s="68">
        <f t="shared" si="0"/>
        <v>0</v>
      </c>
      <c r="O18" s="69"/>
      <c r="P18" s="70"/>
      <c r="Q18" s="70"/>
      <c r="R18" s="71"/>
      <c r="S18" s="68">
        <f t="shared" si="1"/>
        <v>0</v>
      </c>
      <c r="T18" s="68">
        <f t="shared" si="2"/>
        <v>0</v>
      </c>
      <c r="U18" s="68">
        <f t="shared" si="3"/>
        <v>0</v>
      </c>
      <c r="V18" s="68">
        <f t="shared" si="4"/>
        <v>0</v>
      </c>
      <c r="W18" s="68">
        <f t="shared" si="5"/>
        <v>0</v>
      </c>
      <c r="X18" s="68">
        <f t="shared" si="6"/>
        <v>0</v>
      </c>
      <c r="Y18" s="68">
        <f t="shared" si="7"/>
        <v>0</v>
      </c>
      <c r="Z18" s="68">
        <f t="shared" si="8"/>
        <v>0</v>
      </c>
      <c r="AA18" s="68">
        <f t="shared" si="9"/>
        <v>0</v>
      </c>
      <c r="AB18" s="68">
        <f t="shared" si="10"/>
        <v>0</v>
      </c>
      <c r="AC18" s="72">
        <f t="shared" si="11"/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ht="48.75" customHeight="1" x14ac:dyDescent="0.2">
      <c r="A19" s="59" t="s">
        <v>52</v>
      </c>
      <c r="B19" s="60"/>
      <c r="C19" s="76"/>
      <c r="D19" s="77"/>
      <c r="E19" s="77"/>
      <c r="F19" s="78"/>
      <c r="G19" s="78"/>
      <c r="H19" s="79"/>
      <c r="I19" s="64"/>
      <c r="J19" s="65"/>
      <c r="K19" s="66"/>
      <c r="L19" s="67"/>
      <c r="M19" s="67"/>
      <c r="N19" s="68">
        <f t="shared" si="0"/>
        <v>0</v>
      </c>
      <c r="O19" s="69"/>
      <c r="P19" s="70"/>
      <c r="Q19" s="70"/>
      <c r="R19" s="71"/>
      <c r="S19" s="68">
        <f t="shared" si="1"/>
        <v>0</v>
      </c>
      <c r="T19" s="68">
        <f t="shared" si="2"/>
        <v>0</v>
      </c>
      <c r="U19" s="68">
        <f t="shared" si="3"/>
        <v>0</v>
      </c>
      <c r="V19" s="68">
        <f t="shared" si="4"/>
        <v>0</v>
      </c>
      <c r="W19" s="68">
        <f t="shared" si="5"/>
        <v>0</v>
      </c>
      <c r="X19" s="68">
        <f t="shared" si="6"/>
        <v>0</v>
      </c>
      <c r="Y19" s="68">
        <f t="shared" si="7"/>
        <v>0</v>
      </c>
      <c r="Z19" s="68">
        <f t="shared" si="8"/>
        <v>0</v>
      </c>
      <c r="AA19" s="68">
        <f t="shared" si="9"/>
        <v>0</v>
      </c>
      <c r="AB19" s="68">
        <f t="shared" si="10"/>
        <v>0</v>
      </c>
      <c r="AC19" s="72">
        <f t="shared" si="11"/>
        <v>0</v>
      </c>
      <c r="AD19" s="140">
        <f t="shared" si="12"/>
        <v>0</v>
      </c>
      <c r="AE19" s="140">
        <f t="shared" si="13"/>
        <v>0</v>
      </c>
      <c r="AF19" s="140">
        <f t="shared" si="14"/>
        <v>0</v>
      </c>
      <c r="AG19" s="140"/>
      <c r="AH19" s="141"/>
      <c r="AI19" s="141">
        <f t="shared" si="15"/>
        <v>0</v>
      </c>
      <c r="AJ19" s="146">
        <f t="shared" si="16"/>
        <v>0</v>
      </c>
      <c r="AK19" s="147">
        <v>12</v>
      </c>
      <c r="AL19" s="148"/>
    </row>
    <row r="20" spans="1:38" ht="48.75" customHeight="1" x14ac:dyDescent="0.2">
      <c r="A20" s="59" t="s">
        <v>53</v>
      </c>
      <c r="B20" s="60"/>
      <c r="C20" s="76"/>
      <c r="D20" s="77"/>
      <c r="E20" s="77"/>
      <c r="F20" s="78"/>
      <c r="G20" s="78"/>
      <c r="H20" s="79"/>
      <c r="I20" s="64"/>
      <c r="J20" s="65"/>
      <c r="K20" s="66"/>
      <c r="L20" s="67"/>
      <c r="M20" s="67"/>
      <c r="N20" s="68">
        <f t="shared" si="0"/>
        <v>0</v>
      </c>
      <c r="O20" s="69"/>
      <c r="P20" s="70"/>
      <c r="Q20" s="70"/>
      <c r="R20" s="71"/>
      <c r="S20" s="68">
        <f t="shared" si="1"/>
        <v>0</v>
      </c>
      <c r="T20" s="68">
        <f t="shared" si="2"/>
        <v>0</v>
      </c>
      <c r="U20" s="68">
        <f t="shared" si="3"/>
        <v>0</v>
      </c>
      <c r="V20" s="68">
        <f t="shared" si="4"/>
        <v>0</v>
      </c>
      <c r="W20" s="68">
        <f t="shared" si="5"/>
        <v>0</v>
      </c>
      <c r="X20" s="68">
        <f t="shared" si="6"/>
        <v>0</v>
      </c>
      <c r="Y20" s="68">
        <f t="shared" si="7"/>
        <v>0</v>
      </c>
      <c r="Z20" s="68">
        <f t="shared" si="8"/>
        <v>0</v>
      </c>
      <c r="AA20" s="68">
        <f t="shared" si="9"/>
        <v>0</v>
      </c>
      <c r="AB20" s="68">
        <f t="shared" si="10"/>
        <v>0</v>
      </c>
      <c r="AC20" s="72">
        <f t="shared" si="11"/>
        <v>0</v>
      </c>
      <c r="AD20" s="140">
        <f t="shared" si="12"/>
        <v>0</v>
      </c>
      <c r="AE20" s="140">
        <f t="shared" si="13"/>
        <v>0</v>
      </c>
      <c r="AF20" s="140">
        <f t="shared" si="14"/>
        <v>0</v>
      </c>
      <c r="AG20" s="140"/>
      <c r="AH20" s="141"/>
      <c r="AI20" s="141">
        <f t="shared" si="15"/>
        <v>0</v>
      </c>
      <c r="AJ20" s="146">
        <f t="shared" si="16"/>
        <v>0</v>
      </c>
      <c r="AK20" s="147">
        <v>13</v>
      </c>
      <c r="AL20" s="148"/>
    </row>
    <row r="21" spans="1:38" ht="48.75" customHeight="1" x14ac:dyDescent="0.2">
      <c r="A21" s="59" t="s">
        <v>54</v>
      </c>
      <c r="B21" s="60"/>
      <c r="C21" s="76"/>
      <c r="D21" s="77"/>
      <c r="E21" s="77"/>
      <c r="F21" s="78"/>
      <c r="G21" s="78"/>
      <c r="H21" s="79"/>
      <c r="I21" s="64"/>
      <c r="J21" s="65"/>
      <c r="K21" s="66"/>
      <c r="L21" s="67"/>
      <c r="M21" s="67"/>
      <c r="N21" s="68">
        <f t="shared" si="0"/>
        <v>0</v>
      </c>
      <c r="O21" s="69"/>
      <c r="P21" s="70"/>
      <c r="Q21" s="70"/>
      <c r="R21" s="71"/>
      <c r="S21" s="68">
        <f t="shared" si="1"/>
        <v>0</v>
      </c>
      <c r="T21" s="68">
        <f t="shared" si="2"/>
        <v>0</v>
      </c>
      <c r="U21" s="68">
        <f t="shared" si="3"/>
        <v>0</v>
      </c>
      <c r="V21" s="68">
        <f t="shared" si="4"/>
        <v>0</v>
      </c>
      <c r="W21" s="68">
        <f t="shared" si="5"/>
        <v>0</v>
      </c>
      <c r="X21" s="68">
        <f t="shared" si="6"/>
        <v>0</v>
      </c>
      <c r="Y21" s="68">
        <f t="shared" si="7"/>
        <v>0</v>
      </c>
      <c r="Z21" s="68">
        <f t="shared" si="8"/>
        <v>0</v>
      </c>
      <c r="AA21" s="68">
        <f t="shared" si="9"/>
        <v>0</v>
      </c>
      <c r="AB21" s="68">
        <f t="shared" si="10"/>
        <v>0</v>
      </c>
      <c r="AC21" s="72">
        <f t="shared" si="11"/>
        <v>0</v>
      </c>
      <c r="AD21" s="140">
        <f t="shared" si="12"/>
        <v>0</v>
      </c>
      <c r="AE21" s="140">
        <f t="shared" si="13"/>
        <v>0</v>
      </c>
      <c r="AF21" s="140">
        <f t="shared" si="14"/>
        <v>0</v>
      </c>
      <c r="AG21" s="140"/>
      <c r="AH21" s="141"/>
      <c r="AI21" s="141">
        <f t="shared" si="15"/>
        <v>0</v>
      </c>
      <c r="AJ21" s="146">
        <f t="shared" si="16"/>
        <v>0</v>
      </c>
      <c r="AK21" s="147">
        <v>14</v>
      </c>
      <c r="AL21" s="148"/>
    </row>
    <row r="22" spans="1:38" ht="16" customHeight="1" x14ac:dyDescent="0.2">
      <c r="A22" s="83"/>
      <c r="B22" s="84"/>
      <c r="C22" s="84"/>
      <c r="D22" s="84"/>
      <c r="E22" s="84"/>
      <c r="F22" s="84"/>
      <c r="G22" s="84"/>
      <c r="H22" s="84"/>
      <c r="I22" s="84"/>
      <c r="J22" s="84"/>
      <c r="K22" s="85"/>
      <c r="L22" s="86"/>
      <c r="M22" s="86"/>
      <c r="N22" s="68">
        <f>I22*(SUM(K22:M22))</f>
        <v>0</v>
      </c>
      <c r="O22" s="87"/>
      <c r="P22" s="88"/>
      <c r="Q22" s="88"/>
      <c r="R22" s="88"/>
      <c r="S22" s="89"/>
      <c r="T22" s="88">
        <f>SUM(T8:T21)</f>
        <v>0</v>
      </c>
      <c r="U22" s="89"/>
      <c r="V22" s="89"/>
      <c r="W22" s="89"/>
      <c r="X22" s="88">
        <f>SUM(X8:X21)</f>
        <v>0</v>
      </c>
      <c r="Y22" s="89"/>
      <c r="Z22" s="88">
        <f>SUM(Z8:Z21)</f>
        <v>0</v>
      </c>
      <c r="AA22" s="89"/>
      <c r="AB22" s="88">
        <f t="shared" ref="AB22:AJ22" si="17">SUM(AB8:AB21)</f>
        <v>0</v>
      </c>
      <c r="AC22" s="88">
        <f t="shared" si="17"/>
        <v>0</v>
      </c>
      <c r="AD22" s="88">
        <f t="shared" si="17"/>
        <v>0</v>
      </c>
      <c r="AE22" s="88">
        <f t="shared" si="17"/>
        <v>0</v>
      </c>
      <c r="AF22" s="88">
        <f t="shared" si="17"/>
        <v>0</v>
      </c>
      <c r="AG22" s="88">
        <f t="shared" si="17"/>
        <v>0</v>
      </c>
      <c r="AH22" s="88">
        <f t="shared" si="17"/>
        <v>0</v>
      </c>
      <c r="AI22" s="88">
        <f t="shared" si="17"/>
        <v>0</v>
      </c>
      <c r="AJ22" s="88">
        <f t="shared" si="17"/>
        <v>0</v>
      </c>
      <c r="AK22" s="88"/>
      <c r="AL22" s="88"/>
    </row>
    <row r="23" spans="1:38" ht="16" customHeight="1" x14ac:dyDescent="0.2">
      <c r="A23" s="83"/>
      <c r="B23" s="84"/>
      <c r="C23" s="84"/>
      <c r="D23" s="84"/>
      <c r="E23" s="84"/>
      <c r="F23" s="84"/>
      <c r="G23" s="84"/>
      <c r="H23" s="84"/>
      <c r="I23" s="84"/>
      <c r="J23" s="84"/>
      <c r="K23" s="92"/>
      <c r="L23" s="84"/>
      <c r="M23" s="84"/>
      <c r="N23" s="93"/>
      <c r="O23" s="94"/>
      <c r="P23" s="95"/>
      <c r="Q23" s="95"/>
      <c r="R23" s="95"/>
      <c r="S23" s="97"/>
      <c r="T23" s="98"/>
      <c r="U23" s="97"/>
      <c r="V23" s="97"/>
      <c r="W23" s="97"/>
      <c r="X23" s="98"/>
      <c r="Y23" s="97"/>
      <c r="Z23" s="98"/>
      <c r="AA23" s="97"/>
      <c r="AB23" s="98"/>
      <c r="AC23" s="98"/>
      <c r="AG23" s="98"/>
      <c r="AI23" s="83"/>
      <c r="AJ23" s="84"/>
    </row>
    <row r="24" spans="1:38" ht="16" customHeight="1" x14ac:dyDescent="0.2">
      <c r="A24" s="83"/>
      <c r="B24" s="84"/>
      <c r="C24" s="84"/>
      <c r="D24" s="84"/>
      <c r="E24" s="84"/>
      <c r="F24" s="84"/>
      <c r="G24" s="84"/>
      <c r="H24" s="84"/>
      <c r="I24" s="84"/>
      <c r="J24" s="84"/>
      <c r="K24" s="92"/>
      <c r="L24" s="84"/>
      <c r="M24" s="84"/>
      <c r="N24" s="93"/>
      <c r="O24" s="94"/>
      <c r="P24" s="95"/>
      <c r="Q24" s="95"/>
      <c r="R24" s="95"/>
      <c r="S24" s="97"/>
      <c r="T24" s="98"/>
      <c r="U24" s="97"/>
      <c r="V24" s="97"/>
      <c r="W24" s="97"/>
      <c r="X24" s="98"/>
      <c r="Y24" s="97"/>
      <c r="Z24" s="98"/>
      <c r="AA24" s="97"/>
      <c r="AB24" s="98"/>
      <c r="AC24" s="98"/>
      <c r="AG24" s="98"/>
      <c r="AI24" s="83"/>
      <c r="AJ24" s="84"/>
    </row>
    <row r="25" spans="1:38" ht="16" customHeight="1" x14ac:dyDescent="0.2">
      <c r="A25" s="83"/>
      <c r="B25" s="84"/>
      <c r="C25" s="84"/>
      <c r="D25" s="84"/>
      <c r="E25" s="84"/>
      <c r="F25" s="84"/>
      <c r="G25" s="84"/>
      <c r="H25" s="84"/>
      <c r="I25" s="84"/>
      <c r="J25" s="84"/>
      <c r="K25" s="92"/>
      <c r="L25" s="84"/>
      <c r="M25" s="84"/>
      <c r="N25" s="93"/>
      <c r="O25" s="94"/>
      <c r="P25" s="95"/>
      <c r="Q25" s="95"/>
      <c r="R25" s="95"/>
      <c r="S25" s="97"/>
      <c r="T25" s="98"/>
      <c r="U25" s="97"/>
      <c r="V25" s="97"/>
      <c r="W25" s="97"/>
      <c r="X25" s="98"/>
      <c r="Y25" s="97"/>
      <c r="Z25" s="98"/>
      <c r="AA25" s="97"/>
      <c r="AB25" s="98"/>
      <c r="AC25" s="98"/>
      <c r="AG25" s="98"/>
      <c r="AI25" s="83"/>
      <c r="AJ25" s="84"/>
    </row>
    <row r="26" spans="1:38" ht="16" customHeight="1" x14ac:dyDescent="0.2">
      <c r="A26" s="83"/>
      <c r="B26" s="84"/>
      <c r="C26" s="84"/>
      <c r="D26" s="84"/>
      <c r="E26" s="84"/>
      <c r="F26" s="84"/>
      <c r="G26" s="84"/>
      <c r="H26" s="84"/>
      <c r="I26" s="84"/>
      <c r="J26" s="84"/>
      <c r="K26" s="92"/>
      <c r="L26" s="84"/>
      <c r="M26" s="84"/>
      <c r="N26" s="93"/>
      <c r="O26" s="94"/>
      <c r="P26" s="95"/>
      <c r="Q26" s="95"/>
      <c r="R26" s="95"/>
      <c r="S26" s="97"/>
      <c r="T26" s="98"/>
      <c r="U26" s="97"/>
      <c r="V26" s="97"/>
      <c r="W26" s="97"/>
      <c r="X26" s="98"/>
      <c r="Y26" s="97"/>
      <c r="Z26" s="98"/>
      <c r="AA26" s="97"/>
      <c r="AB26" s="98"/>
      <c r="AC26" s="98"/>
      <c r="AG26" s="98"/>
      <c r="AI26" s="3"/>
      <c r="AJ26" s="7"/>
    </row>
    <row r="27" spans="1:38" x14ac:dyDescent="0.25">
      <c r="B27" s="7"/>
      <c r="C27" s="7"/>
      <c r="D27" s="7"/>
      <c r="E27" s="7"/>
      <c r="F27" s="7"/>
      <c r="G27" s="7"/>
      <c r="H27" s="7"/>
      <c r="I27" s="7"/>
      <c r="K27" s="15"/>
      <c r="L27" s="7"/>
      <c r="M27" s="7"/>
      <c r="AI27" s="3"/>
      <c r="AJ27" s="54" t="s">
        <v>55</v>
      </c>
    </row>
    <row r="28" spans="1:38" x14ac:dyDescent="0.25">
      <c r="B28" s="174" t="s">
        <v>55</v>
      </c>
      <c r="C28" s="175"/>
      <c r="D28" s="175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6"/>
      <c r="P28" s="175"/>
      <c r="Q28" s="175"/>
      <c r="R28" s="175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I28" s="3"/>
      <c r="AJ28" s="54" t="s">
        <v>56</v>
      </c>
    </row>
    <row r="29" spans="1:38" ht="14.5" customHeight="1" x14ac:dyDescent="0.25">
      <c r="B29" s="174" t="s">
        <v>56</v>
      </c>
      <c r="C29" s="175"/>
      <c r="D29" s="175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6"/>
      <c r="P29" s="175"/>
      <c r="Q29" s="175"/>
      <c r="R29" s="175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1"/>
      <c r="AD29" s="174" t="s">
        <v>57</v>
      </c>
      <c r="AE29" s="175"/>
      <c r="AF29" s="175"/>
      <c r="AG29" s="189"/>
      <c r="AI29" s="3"/>
      <c r="AJ29" s="50"/>
    </row>
    <row r="30" spans="1:38" x14ac:dyDescent="0.25"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2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3"/>
      <c r="AD30" s="53"/>
      <c r="AE30" s="53"/>
      <c r="AF30" s="53"/>
      <c r="AG30" s="53"/>
      <c r="AI30" s="3"/>
      <c r="AJ30" s="50"/>
    </row>
    <row r="31" spans="1:38" x14ac:dyDescent="0.25"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2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3"/>
      <c r="AD31" s="50"/>
      <c r="AE31" s="54"/>
      <c r="AF31" s="54"/>
      <c r="AI31" s="3"/>
      <c r="AJ31" s="50"/>
    </row>
    <row r="32" spans="1:38" x14ac:dyDescent="0.25"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2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5"/>
      <c r="AD32" s="50"/>
      <c r="AE32" s="54"/>
      <c r="AF32" s="54"/>
    </row>
    <row r="33" spans="2:35" x14ac:dyDescent="0.25"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2"/>
      <c r="P33" s="50"/>
      <c r="Q33" s="50"/>
      <c r="R33" s="50"/>
      <c r="S33" s="50"/>
      <c r="T33" s="52"/>
      <c r="U33" s="52"/>
      <c r="V33" s="50"/>
      <c r="W33" s="50"/>
      <c r="X33" s="50"/>
      <c r="Y33" s="50"/>
      <c r="Z33" s="50"/>
      <c r="AA33" s="50"/>
      <c r="AB33" s="50"/>
      <c r="AC33" s="50"/>
      <c r="AD33" s="50"/>
      <c r="AE33" s="54"/>
      <c r="AF33" s="54"/>
      <c r="AH33" s="136" t="s">
        <v>58</v>
      </c>
      <c r="AI33" s="136"/>
    </row>
    <row r="34" spans="2:35" x14ac:dyDescent="0.25">
      <c r="B34" s="199" t="s">
        <v>58</v>
      </c>
      <c r="C34" s="175"/>
      <c r="D34" s="175"/>
      <c r="E34" s="175"/>
      <c r="F34" s="175"/>
      <c r="G34" s="175"/>
      <c r="H34" s="175"/>
      <c r="I34" s="175"/>
      <c r="J34" s="175"/>
      <c r="K34" s="175"/>
      <c r="L34" s="175"/>
      <c r="M34" s="175"/>
      <c r="N34" s="175"/>
      <c r="O34" s="176"/>
      <c r="P34" s="175"/>
      <c r="Q34" s="175"/>
      <c r="R34" s="175"/>
      <c r="S34" s="56"/>
      <c r="T34" s="56"/>
      <c r="U34" s="56"/>
      <c r="V34" s="56"/>
      <c r="W34" s="56"/>
      <c r="X34" s="50"/>
      <c r="Y34" s="50"/>
      <c r="Z34" s="50"/>
      <c r="AA34" s="50"/>
      <c r="AB34" s="50"/>
      <c r="AC34" s="50"/>
      <c r="AD34" s="199" t="s">
        <v>59</v>
      </c>
      <c r="AE34" s="175"/>
      <c r="AF34" s="175"/>
      <c r="AG34" s="189"/>
      <c r="AH34" s="54" t="s">
        <v>60</v>
      </c>
      <c r="AI34" s="54"/>
    </row>
    <row r="35" spans="2:35" x14ac:dyDescent="0.25">
      <c r="B35" s="174" t="s">
        <v>60</v>
      </c>
      <c r="C35" s="175"/>
      <c r="D35" s="175"/>
      <c r="E35" s="175"/>
      <c r="F35" s="175"/>
      <c r="G35" s="175"/>
      <c r="H35" s="175"/>
      <c r="I35" s="175"/>
      <c r="J35" s="175"/>
      <c r="K35" s="175"/>
      <c r="L35" s="175"/>
      <c r="M35" s="175"/>
      <c r="N35" s="175"/>
      <c r="O35" s="176"/>
      <c r="P35" s="175"/>
      <c r="Q35" s="175"/>
      <c r="R35" s="175"/>
      <c r="S35" s="56"/>
      <c r="T35" s="56"/>
      <c r="U35" s="56"/>
      <c r="V35" s="56"/>
      <c r="W35" s="56"/>
      <c r="X35" s="50"/>
      <c r="Y35" s="50"/>
      <c r="Z35" s="50"/>
      <c r="AA35" s="50"/>
      <c r="AB35" s="50"/>
      <c r="AC35" s="50"/>
      <c r="AD35" s="174" t="s">
        <v>61</v>
      </c>
      <c r="AE35" s="175"/>
      <c r="AF35" s="175"/>
      <c r="AG35" s="189"/>
    </row>
    <row r="36" spans="2:35" ht="16" customHeight="1" x14ac:dyDescent="0.25">
      <c r="X36" s="7"/>
      <c r="Y36" s="7"/>
      <c r="Z36" s="7"/>
      <c r="AA36" s="7"/>
      <c r="AB36" s="7"/>
      <c r="AC36" s="7"/>
    </row>
    <row r="37" spans="2:35" ht="16" customHeight="1" x14ac:dyDescent="0.25">
      <c r="V37" s="7"/>
      <c r="W37" s="7"/>
      <c r="X37" s="7"/>
      <c r="Y37" s="7"/>
      <c r="Z37" s="7"/>
      <c r="AA37" s="7"/>
      <c r="AB37" s="7"/>
      <c r="AC37" s="18" t="s">
        <v>62</v>
      </c>
    </row>
    <row r="38" spans="2:35" ht="16" customHeight="1" x14ac:dyDescent="0.25">
      <c r="V38" s="7"/>
      <c r="W38" s="7"/>
      <c r="X38" s="7"/>
      <c r="Y38" s="7"/>
      <c r="Z38" s="7"/>
      <c r="AA38" s="7"/>
      <c r="AB38" s="7"/>
      <c r="AC38" s="18"/>
    </row>
    <row r="39" spans="2:35" ht="16" customHeight="1" x14ac:dyDescent="0.25">
      <c r="V39" s="7"/>
      <c r="W39" s="7"/>
      <c r="X39" s="7"/>
      <c r="Y39" s="7"/>
      <c r="Z39" s="7"/>
      <c r="AA39" s="7"/>
      <c r="AB39" s="7"/>
      <c r="AC39" s="19"/>
    </row>
    <row r="40" spans="2:35" ht="16" customHeight="1" x14ac:dyDescent="0.25">
      <c r="V40" s="7"/>
      <c r="W40" s="7"/>
      <c r="X40" s="7"/>
      <c r="Y40" s="7"/>
      <c r="Z40" s="7"/>
      <c r="AA40" s="7"/>
      <c r="AB40" s="7"/>
      <c r="AC40" s="18"/>
    </row>
    <row r="41" spans="2:35" ht="16" customHeight="1" x14ac:dyDescent="0.25">
      <c r="V41" s="7"/>
      <c r="W41" s="7"/>
      <c r="X41" s="7"/>
      <c r="Y41" s="7"/>
      <c r="Z41" s="7"/>
      <c r="AA41" s="7"/>
      <c r="AB41" s="7"/>
      <c r="AC41" s="18"/>
    </row>
    <row r="42" spans="2:35" ht="16" customHeight="1" x14ac:dyDescent="0.25">
      <c r="V42" s="7"/>
      <c r="W42" s="7"/>
      <c r="X42" s="7"/>
      <c r="Y42" s="7"/>
      <c r="Z42" s="7"/>
      <c r="AA42" s="7"/>
      <c r="AB42" s="7"/>
      <c r="AC42" s="7"/>
    </row>
    <row r="43" spans="2:35" ht="16" customHeight="1" x14ac:dyDescent="0.25">
      <c r="T43" s="20"/>
      <c r="V43" s="7"/>
      <c r="W43" s="7"/>
      <c r="X43" s="20"/>
      <c r="Y43" s="7"/>
      <c r="Z43" s="20"/>
      <c r="AA43" s="7"/>
      <c r="AB43" s="20"/>
      <c r="AC43" s="20"/>
    </row>
    <row r="44" spans="2:35" ht="16" customHeight="1" x14ac:dyDescent="0.25">
      <c r="T44" s="21"/>
      <c r="U44" s="21"/>
      <c r="V44" s="18"/>
      <c r="W44" s="18"/>
      <c r="X44" s="18"/>
      <c r="Y44" s="18"/>
      <c r="Z44" s="18"/>
      <c r="AA44" s="18"/>
      <c r="AB44" s="18"/>
      <c r="AC44" s="18"/>
    </row>
    <row r="45" spans="2:35" ht="16" customHeight="1" x14ac:dyDescent="0.25">
      <c r="T45" s="21"/>
      <c r="U45" s="21"/>
      <c r="V45" s="18"/>
      <c r="W45" s="18"/>
      <c r="X45" s="21"/>
      <c r="Y45" s="18"/>
      <c r="Z45" s="21"/>
      <c r="AA45" s="18"/>
      <c r="AB45" s="21"/>
      <c r="AC45" s="21"/>
    </row>
    <row r="46" spans="2:35" ht="16" customHeight="1" x14ac:dyDescent="0.25">
      <c r="T46" s="21"/>
      <c r="U46" s="22"/>
      <c r="V46" s="23"/>
      <c r="W46" s="23"/>
      <c r="X46" s="21"/>
      <c r="Y46" s="23"/>
      <c r="Z46" s="21"/>
      <c r="AA46" s="23"/>
      <c r="AB46" s="21"/>
      <c r="AC46" s="21"/>
    </row>
    <row r="47" spans="2:35" ht="16" customHeight="1" x14ac:dyDescent="0.25">
      <c r="T47" s="22"/>
      <c r="U47" s="22"/>
      <c r="V47" s="23"/>
      <c r="W47" s="23"/>
      <c r="X47" s="23"/>
      <c r="Y47" s="23"/>
      <c r="Z47" s="23"/>
      <c r="AA47" s="23"/>
      <c r="AB47" s="23"/>
      <c r="AC47" s="23"/>
    </row>
    <row r="48" spans="2:35" ht="16" customHeight="1" x14ac:dyDescent="0.25">
      <c r="T48" s="22"/>
      <c r="U48" s="22"/>
      <c r="V48" s="23"/>
      <c r="W48" s="23"/>
      <c r="X48" s="23"/>
      <c r="Y48" s="23"/>
      <c r="Z48" s="23"/>
      <c r="AA48" s="23"/>
      <c r="AB48" s="23"/>
      <c r="AC48" s="23"/>
      <c r="AH48" s="23"/>
      <c r="AI48" s="23"/>
    </row>
    <row r="49" spans="22:35" ht="16" customHeight="1" x14ac:dyDescent="0.25">
      <c r="V49" s="7"/>
      <c r="W49" s="7"/>
      <c r="X49" s="7"/>
      <c r="Y49" s="7"/>
      <c r="Z49" s="7"/>
      <c r="AA49" s="7"/>
      <c r="AB49" s="7"/>
      <c r="AC49" s="7"/>
      <c r="AH49" s="7"/>
      <c r="AI49" s="7"/>
    </row>
    <row r="50" spans="22:35" ht="16" customHeight="1" x14ac:dyDescent="0.25">
      <c r="V50" s="7"/>
      <c r="W50" s="7"/>
      <c r="X50" s="7"/>
      <c r="Z50" s="7"/>
      <c r="AA50" s="7"/>
      <c r="AB50" s="7"/>
      <c r="AC50" s="7"/>
      <c r="AH50" s="7"/>
      <c r="AI50" s="7"/>
    </row>
    <row r="51" spans="22:35" ht="16" customHeight="1" x14ac:dyDescent="0.25">
      <c r="Z51" s="7"/>
      <c r="AA51" s="7"/>
      <c r="AB51" s="7"/>
      <c r="AH51" s="7"/>
      <c r="AI51" s="7"/>
    </row>
    <row r="52" spans="22:35" ht="16" customHeight="1" x14ac:dyDescent="0.25">
      <c r="AH52" s="7"/>
      <c r="AI52" s="7"/>
    </row>
    <row r="53" spans="22:35" ht="16" customHeight="1" x14ac:dyDescent="0.25">
      <c r="X53" s="7"/>
      <c r="Y53" s="7"/>
      <c r="Z53" s="7"/>
      <c r="AD53" s="7"/>
      <c r="AH53" s="7"/>
      <c r="AI53" s="7"/>
    </row>
    <row r="54" spans="22:35" ht="16" customHeight="1" x14ac:dyDescent="0.2">
      <c r="V54" s="7"/>
      <c r="W54" s="7"/>
      <c r="X54" s="7"/>
      <c r="AF54" s="7"/>
      <c r="AG54" s="7"/>
      <c r="AH54" s="7"/>
    </row>
    <row r="55" spans="22:35" ht="16" customHeight="1" x14ac:dyDescent="0.25">
      <c r="V55" s="7"/>
      <c r="X55" s="7"/>
      <c r="Y55" s="7"/>
      <c r="Z55" s="7"/>
      <c r="AD55" s="7"/>
      <c r="AH55" s="7"/>
      <c r="AI55" s="7"/>
    </row>
    <row r="56" spans="22:35" ht="16" customHeight="1" x14ac:dyDescent="0.25">
      <c r="V56" s="7"/>
      <c r="W56" s="7"/>
      <c r="X56" s="7"/>
      <c r="Z56" s="7"/>
      <c r="AA56" s="7"/>
      <c r="AB56" s="7"/>
      <c r="AH56" s="7"/>
      <c r="AI56" s="7"/>
    </row>
    <row r="57" spans="22:35" ht="16" customHeight="1" x14ac:dyDescent="0.25">
      <c r="V57" s="7"/>
      <c r="W57" s="7"/>
      <c r="X57" s="7"/>
      <c r="AB57" s="7"/>
      <c r="AC57" s="7"/>
      <c r="AD57" s="7"/>
      <c r="AE57" s="7"/>
      <c r="AF57" s="7"/>
      <c r="AH57" s="7"/>
      <c r="AI57" s="7"/>
    </row>
    <row r="58" spans="22:35" ht="16" customHeight="1" x14ac:dyDescent="0.25">
      <c r="V58" s="7"/>
      <c r="W58" s="7"/>
      <c r="X58" s="7"/>
      <c r="AD58" s="7"/>
      <c r="AE58" s="7"/>
      <c r="AF58" s="7"/>
    </row>
    <row r="59" spans="22:35" ht="16" customHeight="1" x14ac:dyDescent="0.25">
      <c r="X59" s="7"/>
      <c r="Y59" s="7"/>
      <c r="Z59" s="7"/>
      <c r="AB59" s="7"/>
      <c r="AC59" s="7"/>
      <c r="AD59" s="7"/>
      <c r="AE59" s="7"/>
      <c r="AF59" s="7"/>
      <c r="AH59" s="7"/>
      <c r="AI59" s="7"/>
    </row>
    <row r="60" spans="22:35" ht="16" customHeight="1" x14ac:dyDescent="0.25">
      <c r="V60" s="7"/>
      <c r="W60" s="7"/>
      <c r="X60" s="7"/>
      <c r="AD60" s="7"/>
      <c r="AE60" s="7"/>
      <c r="AF60" s="7"/>
    </row>
    <row r="61" spans="22:35" ht="16" customHeight="1" x14ac:dyDescent="0.25">
      <c r="X61" s="7"/>
      <c r="AB61" s="7"/>
      <c r="AC61" s="7"/>
      <c r="AD61" s="7"/>
      <c r="AE61" s="7"/>
      <c r="AF61" s="7"/>
      <c r="AH61" s="7"/>
      <c r="AI61" s="7"/>
    </row>
    <row r="62" spans="22:35" ht="16" customHeight="1" x14ac:dyDescent="0.25">
      <c r="V62" s="7"/>
      <c r="W62" s="7"/>
      <c r="X62" s="7"/>
      <c r="Y62" s="7"/>
      <c r="Z62" s="7"/>
      <c r="AA62" s="7"/>
      <c r="AB62" s="7"/>
      <c r="AC62" s="7"/>
      <c r="AD62" s="7"/>
      <c r="AE62" s="7"/>
    </row>
  </sheetData>
  <mergeCells count="47">
    <mergeCell ref="AK5:AL7"/>
    <mergeCell ref="AD35:AG35"/>
    <mergeCell ref="A3:AI3"/>
    <mergeCell ref="C5:C7"/>
    <mergeCell ref="L6:L7"/>
    <mergeCell ref="B34:R34"/>
    <mergeCell ref="E5:E7"/>
    <mergeCell ref="T6:T7"/>
    <mergeCell ref="AH5:AH7"/>
    <mergeCell ref="F5:F7"/>
    <mergeCell ref="AD34:AG34"/>
    <mergeCell ref="AC6:AC7"/>
    <mergeCell ref="B28:R28"/>
    <mergeCell ref="Z6:Z7"/>
    <mergeCell ref="U6:W6"/>
    <mergeCell ref="AB6:AB7"/>
    <mergeCell ref="A1:AI1"/>
    <mergeCell ref="M6:M7"/>
    <mergeCell ref="AG5:AG7"/>
    <mergeCell ref="Q6:Q7"/>
    <mergeCell ref="H5:H7"/>
    <mergeCell ref="AI5:AI7"/>
    <mergeCell ref="J5:M5"/>
    <mergeCell ref="Y6:Y7"/>
    <mergeCell ref="AD5:AD7"/>
    <mergeCell ref="A2:AI2"/>
    <mergeCell ref="N5:N7"/>
    <mergeCell ref="S5:AC5"/>
    <mergeCell ref="K6:K7"/>
    <mergeCell ref="O6:O7"/>
    <mergeCell ref="A5:A7"/>
    <mergeCell ref="G5:G7"/>
    <mergeCell ref="AA6:AA7"/>
    <mergeCell ref="AJ5:AJ7"/>
    <mergeCell ref="P6:P7"/>
    <mergeCell ref="B5:B7"/>
    <mergeCell ref="X6:X7"/>
    <mergeCell ref="AE5:AE7"/>
    <mergeCell ref="R5:R7"/>
    <mergeCell ref="AF5:AF7"/>
    <mergeCell ref="I5:I7"/>
    <mergeCell ref="O5:Q5"/>
    <mergeCell ref="B35:R35"/>
    <mergeCell ref="D5:D7"/>
    <mergeCell ref="J6:J7"/>
    <mergeCell ref="AD29:AG29"/>
    <mergeCell ref="B29:R29"/>
  </mergeCells>
  <pageMargins left="0.25" right="0.25" top="0.75" bottom="0.75" header="0.3" footer="0.3"/>
  <pageSetup paperSize="14" scale="49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L76"/>
  <sheetViews>
    <sheetView topLeftCell="E1" zoomScale="75" zoomScaleNormal="75" workbookViewId="0">
      <selection activeCell="AB10" sqref="AB10"/>
    </sheetView>
  </sheetViews>
  <sheetFormatPr baseColWidth="10" defaultColWidth="8.83203125" defaultRowHeight="16" x14ac:dyDescent="0.2"/>
  <cols>
    <col min="1" max="1" width="4.5" style="3" customWidth="1"/>
    <col min="2" max="2" width="20.6640625" customWidth="1"/>
    <col min="3" max="3" width="18.83203125" customWidth="1"/>
    <col min="4" max="4" width="17.5" customWidth="1"/>
    <col min="5" max="5" width="17.6640625" customWidth="1"/>
    <col min="6" max="6" width="24.83203125" customWidth="1"/>
    <col min="7" max="7" width="7.16406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1.6640625" hidden="1" customWidth="1"/>
    <col min="19" max="19" width="11" customWidth="1"/>
    <col min="20" max="20" width="12.33203125" customWidth="1"/>
    <col min="21" max="21" width="10.5" customWidth="1"/>
    <col min="22" max="23" width="10.6640625" customWidth="1"/>
    <col min="24" max="24" width="12.1640625" customWidth="1"/>
    <col min="25" max="25" width="11.1640625" customWidth="1"/>
    <col min="26" max="26" width="11.6640625" customWidth="1"/>
    <col min="27" max="27" width="10.1640625" customWidth="1"/>
    <col min="28" max="28" width="10.83203125" customWidth="1"/>
    <col min="29" max="29" width="15" customWidth="1"/>
    <col min="30" max="30" width="16.1640625" customWidth="1"/>
    <col min="31" max="31" width="15.83203125" customWidth="1"/>
    <col min="32" max="32" width="17.33203125" customWidth="1"/>
    <col min="33" max="33" width="13.1640625" customWidth="1"/>
    <col min="34" max="34" width="12" customWidth="1"/>
    <col min="35" max="35" width="12.83203125" customWidth="1"/>
    <col min="36" max="36" width="17" customWidth="1"/>
  </cols>
  <sheetData>
    <row r="1" spans="1:38" ht="28" customHeight="1" x14ac:dyDescent="0.2">
      <c r="A1" s="188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6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75"/>
      <c r="AE1" s="175"/>
      <c r="AF1" s="175"/>
      <c r="AG1" s="175"/>
      <c r="AH1" s="175"/>
      <c r="AI1" s="175"/>
      <c r="AJ1" s="32"/>
    </row>
    <row r="2" spans="1:38" ht="28" customHeight="1" x14ac:dyDescent="0.2">
      <c r="A2" s="188" t="s">
        <v>1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  <c r="L2" s="175"/>
      <c r="M2" s="175"/>
      <c r="N2" s="175"/>
      <c r="O2" s="176"/>
      <c r="P2" s="175"/>
      <c r="Q2" s="175"/>
      <c r="R2" s="175"/>
      <c r="S2" s="175"/>
      <c r="T2" s="175"/>
      <c r="U2" s="175"/>
      <c r="V2" s="175"/>
      <c r="W2" s="175"/>
      <c r="X2" s="175"/>
      <c r="Y2" s="175"/>
      <c r="Z2" s="175"/>
      <c r="AA2" s="175"/>
      <c r="AB2" s="175"/>
      <c r="AC2" s="175"/>
      <c r="AD2" s="175"/>
      <c r="AE2" s="175"/>
      <c r="AF2" s="175"/>
      <c r="AG2" s="175"/>
      <c r="AH2" s="175"/>
      <c r="AI2" s="175"/>
      <c r="AJ2" s="32"/>
    </row>
    <row r="3" spans="1:38" ht="28" customHeight="1" x14ac:dyDescent="0.2">
      <c r="A3" s="188" t="s">
        <v>63</v>
      </c>
      <c r="B3" s="175"/>
      <c r="C3" s="175"/>
      <c r="D3" s="175"/>
      <c r="E3" s="175"/>
      <c r="F3" s="175"/>
      <c r="G3" s="175"/>
      <c r="H3" s="175"/>
      <c r="I3" s="175"/>
      <c r="J3" s="175"/>
      <c r="K3" s="175"/>
      <c r="L3" s="175"/>
      <c r="M3" s="175"/>
      <c r="N3" s="175"/>
      <c r="O3" s="176"/>
      <c r="P3" s="175"/>
      <c r="Q3" s="175"/>
      <c r="R3" s="175"/>
      <c r="S3" s="175"/>
      <c r="T3" s="175"/>
      <c r="U3" s="175"/>
      <c r="V3" s="175"/>
      <c r="W3" s="175"/>
      <c r="X3" s="175"/>
      <c r="Y3" s="175"/>
      <c r="Z3" s="175"/>
      <c r="AA3" s="175"/>
      <c r="AB3" s="175"/>
      <c r="AC3" s="175"/>
      <c r="AD3" s="175"/>
      <c r="AE3" s="175"/>
      <c r="AF3" s="175"/>
      <c r="AG3" s="175"/>
      <c r="AH3" s="175"/>
      <c r="AI3" s="175"/>
    </row>
    <row r="4" spans="1:38" x14ac:dyDescent="0.2">
      <c r="D4" t="s">
        <v>3</v>
      </c>
      <c r="AI4" s="83"/>
      <c r="AJ4" s="83"/>
    </row>
    <row r="5" spans="1:38" ht="16" customHeight="1" x14ac:dyDescent="0.2">
      <c r="A5" s="211" t="s">
        <v>4</v>
      </c>
      <c r="B5" s="211" t="s">
        <v>5</v>
      </c>
      <c r="C5" s="216" t="s">
        <v>6</v>
      </c>
      <c r="D5" s="207" t="s">
        <v>7</v>
      </c>
      <c r="E5" s="211" t="s">
        <v>8</v>
      </c>
      <c r="F5" s="218" t="s">
        <v>9</v>
      </c>
      <c r="G5" s="211" t="s">
        <v>10</v>
      </c>
      <c r="H5" s="214" t="s">
        <v>11</v>
      </c>
      <c r="I5" s="205" t="s">
        <v>12</v>
      </c>
      <c r="J5" s="205" t="s">
        <v>13</v>
      </c>
      <c r="K5" s="172"/>
      <c r="L5" s="172"/>
      <c r="M5" s="173"/>
      <c r="N5" s="208" t="s">
        <v>14</v>
      </c>
      <c r="O5" s="206" t="s">
        <v>15</v>
      </c>
      <c r="P5" s="172"/>
      <c r="Q5" s="173"/>
      <c r="R5" s="213" t="s">
        <v>16</v>
      </c>
      <c r="S5" s="220" t="s">
        <v>64</v>
      </c>
      <c r="T5" s="172"/>
      <c r="U5" s="172"/>
      <c r="V5" s="172"/>
      <c r="W5" s="172"/>
      <c r="X5" s="172"/>
      <c r="Y5" s="172"/>
      <c r="Z5" s="172"/>
      <c r="AA5" s="172"/>
      <c r="AB5" s="172"/>
      <c r="AC5" s="173"/>
      <c r="AD5" s="186" t="s">
        <v>17</v>
      </c>
      <c r="AE5" s="186" t="s">
        <v>18</v>
      </c>
      <c r="AF5" s="165" t="s">
        <v>19</v>
      </c>
      <c r="AG5" s="190" t="s">
        <v>20</v>
      </c>
      <c r="AH5" s="190" t="s">
        <v>21</v>
      </c>
      <c r="AI5" s="190" t="s">
        <v>22</v>
      </c>
      <c r="AJ5" s="181" t="s">
        <v>23</v>
      </c>
      <c r="AK5" s="192" t="s">
        <v>24</v>
      </c>
      <c r="AL5" s="193"/>
    </row>
    <row r="6" spans="1:38" ht="14.5" customHeight="1" x14ac:dyDescent="0.2">
      <c r="A6" s="169"/>
      <c r="B6" s="169"/>
      <c r="C6" s="169"/>
      <c r="D6" s="169"/>
      <c r="E6" s="169"/>
      <c r="F6" s="169"/>
      <c r="G6" s="169"/>
      <c r="H6" s="169"/>
      <c r="I6" s="169"/>
      <c r="J6" s="208" t="s">
        <v>25</v>
      </c>
      <c r="K6" s="208" t="s">
        <v>26</v>
      </c>
      <c r="L6" s="208" t="s">
        <v>27</v>
      </c>
      <c r="M6" s="208" t="s">
        <v>28</v>
      </c>
      <c r="N6" s="169"/>
      <c r="O6" s="209" t="s">
        <v>29</v>
      </c>
      <c r="P6" s="209" t="s">
        <v>30</v>
      </c>
      <c r="Q6" s="209" t="s">
        <v>31</v>
      </c>
      <c r="R6" s="169"/>
      <c r="S6" s="138"/>
      <c r="T6" s="217" t="s">
        <v>32</v>
      </c>
      <c r="U6" s="219" t="s">
        <v>26</v>
      </c>
      <c r="V6" s="172"/>
      <c r="W6" s="173"/>
      <c r="X6" s="212" t="s">
        <v>33</v>
      </c>
      <c r="Y6" s="215" t="s">
        <v>27</v>
      </c>
      <c r="Z6" s="215" t="s">
        <v>34</v>
      </c>
      <c r="AA6" s="210" t="s">
        <v>28</v>
      </c>
      <c r="AB6" s="210" t="s">
        <v>35</v>
      </c>
      <c r="AC6" s="202" t="s">
        <v>36</v>
      </c>
      <c r="AD6" s="166"/>
      <c r="AE6" s="166"/>
      <c r="AF6" s="166"/>
      <c r="AG6" s="166"/>
      <c r="AH6" s="166"/>
      <c r="AI6" s="166"/>
      <c r="AJ6" s="182"/>
      <c r="AK6" s="194"/>
      <c r="AL6" s="195"/>
    </row>
    <row r="7" spans="1:38" ht="34" customHeight="1" x14ac:dyDescent="0.2">
      <c r="A7" s="170"/>
      <c r="B7" s="170"/>
      <c r="C7" s="169"/>
      <c r="D7" s="169"/>
      <c r="E7" s="170"/>
      <c r="F7" s="170"/>
      <c r="G7" s="170"/>
      <c r="H7" s="170"/>
      <c r="I7" s="170"/>
      <c r="J7" s="169"/>
      <c r="K7" s="169"/>
      <c r="L7" s="169"/>
      <c r="M7" s="169"/>
      <c r="N7" s="169"/>
      <c r="O7" s="169"/>
      <c r="P7" s="169"/>
      <c r="Q7" s="169"/>
      <c r="R7" s="170"/>
      <c r="S7" s="57" t="s">
        <v>37</v>
      </c>
      <c r="T7" s="170"/>
      <c r="U7" s="4" t="s">
        <v>38</v>
      </c>
      <c r="V7" s="4" t="s">
        <v>39</v>
      </c>
      <c r="W7" s="4" t="s">
        <v>40</v>
      </c>
      <c r="X7" s="170"/>
      <c r="Y7" s="170"/>
      <c r="Z7" s="170"/>
      <c r="AA7" s="170"/>
      <c r="AB7" s="170"/>
      <c r="AC7" s="170"/>
      <c r="AD7" s="167"/>
      <c r="AE7" s="167"/>
      <c r="AF7" s="167"/>
      <c r="AG7" s="167"/>
      <c r="AH7" s="167"/>
      <c r="AI7" s="167"/>
      <c r="AJ7" s="183"/>
      <c r="AK7" s="196"/>
      <c r="AL7" s="197"/>
    </row>
    <row r="8" spans="1:38" ht="44.25" customHeight="1" x14ac:dyDescent="0.2">
      <c r="A8" s="124" t="s">
        <v>41</v>
      </c>
      <c r="B8" s="60"/>
      <c r="C8" s="76"/>
      <c r="D8" s="77"/>
      <c r="E8" s="77"/>
      <c r="F8" s="78"/>
      <c r="G8" s="78"/>
      <c r="H8" s="105"/>
      <c r="I8" s="107"/>
      <c r="J8" s="108"/>
      <c r="K8" s="109"/>
      <c r="L8" s="110"/>
      <c r="M8" s="110"/>
      <c r="N8" s="111">
        <f t="shared" ref="N8:N35" si="0">ROUND(I8*(SUM(J8:M8)),0)</f>
        <v>0</v>
      </c>
      <c r="O8" s="112"/>
      <c r="P8" s="113"/>
      <c r="Q8" s="113"/>
      <c r="R8" s="114"/>
      <c r="S8" s="68">
        <f t="shared" ref="S8:S35" si="1">I8*J8</f>
        <v>0</v>
      </c>
      <c r="T8" s="111">
        <f t="shared" ref="T8:T35" si="2">SUM(S8:S8)</f>
        <v>0</v>
      </c>
      <c r="U8" s="111">
        <f t="shared" ref="U8:U35" si="3">I8*K8*40%*O8</f>
        <v>0</v>
      </c>
      <c r="V8" s="111">
        <f t="shared" ref="V8:V35" si="4">IF(P8&gt;=6750,(I8*K8*40%),0)</f>
        <v>0</v>
      </c>
      <c r="W8" s="111">
        <f t="shared" ref="W8:W35" si="5">IF(P8&lt;6750,0,IF(Q8="",0,IF(OR(Q8="KURANG",Q8="SANGAT KURANG"),I8*K8*10%,I8*K8*20%)))</f>
        <v>0</v>
      </c>
      <c r="X8" s="111">
        <f t="shared" ref="X8:X35" si="6">SUM(U8:W8)</f>
        <v>0</v>
      </c>
      <c r="Y8" s="111">
        <f t="shared" ref="Y8:Y35" si="7">I8*L8</f>
        <v>0</v>
      </c>
      <c r="Z8" s="111">
        <f t="shared" ref="Z8:Z35" si="8">Y8</f>
        <v>0</v>
      </c>
      <c r="AA8" s="111">
        <f t="shared" ref="AA8:AA35" si="9">I8*M8</f>
        <v>0</v>
      </c>
      <c r="AB8" s="111">
        <f t="shared" ref="AB8:AB35" si="10">AA8</f>
        <v>0</v>
      </c>
      <c r="AC8" s="72">
        <f t="shared" ref="AC8:AC35" si="11">ROUND((T8+X8+Z8+AB8),0)</f>
        <v>0</v>
      </c>
      <c r="AD8" s="140">
        <f t="shared" ref="AD8:AD35" si="12">AG8</f>
        <v>0</v>
      </c>
      <c r="AE8" s="140">
        <f t="shared" ref="AE8:AE35" si="13">AI8</f>
        <v>0</v>
      </c>
      <c r="AF8" s="140">
        <f t="shared" ref="AF8:AF35" si="14">AC8+AD8+AE8</f>
        <v>0</v>
      </c>
      <c r="AG8" s="140"/>
      <c r="AH8" s="141"/>
      <c r="AI8" s="141">
        <f t="shared" ref="AI8:AI35" si="15">AH8*4</f>
        <v>0</v>
      </c>
      <c r="AJ8" s="146">
        <f t="shared" ref="AJ8:AJ35" si="16">AF8-AG8-AH8-AI8</f>
        <v>0</v>
      </c>
      <c r="AK8" s="147">
        <v>1</v>
      </c>
      <c r="AL8" s="148"/>
    </row>
    <row r="9" spans="1:38" ht="44.25" customHeight="1" x14ac:dyDescent="0.2">
      <c r="A9" s="124" t="s">
        <v>42</v>
      </c>
      <c r="B9" s="60"/>
      <c r="C9" s="76"/>
      <c r="D9" s="77"/>
      <c r="E9" s="77"/>
      <c r="F9" s="78"/>
      <c r="G9" s="78"/>
      <c r="H9" s="105"/>
      <c r="I9" s="107"/>
      <c r="J9" s="108"/>
      <c r="K9" s="109"/>
      <c r="L9" s="110"/>
      <c r="M9" s="110"/>
      <c r="N9" s="111">
        <f t="shared" si="0"/>
        <v>0</v>
      </c>
      <c r="O9" s="112"/>
      <c r="P9" s="113"/>
      <c r="Q9" s="113"/>
      <c r="R9" s="114"/>
      <c r="S9" s="68">
        <f t="shared" si="1"/>
        <v>0</v>
      </c>
      <c r="T9" s="111">
        <f t="shared" si="2"/>
        <v>0</v>
      </c>
      <c r="U9" s="111">
        <f t="shared" si="3"/>
        <v>0</v>
      </c>
      <c r="V9" s="111">
        <f t="shared" si="4"/>
        <v>0</v>
      </c>
      <c r="W9" s="111">
        <f t="shared" si="5"/>
        <v>0</v>
      </c>
      <c r="X9" s="111">
        <f t="shared" si="6"/>
        <v>0</v>
      </c>
      <c r="Y9" s="111">
        <f t="shared" si="7"/>
        <v>0</v>
      </c>
      <c r="Z9" s="111">
        <f t="shared" si="8"/>
        <v>0</v>
      </c>
      <c r="AA9" s="111">
        <f t="shared" si="9"/>
        <v>0</v>
      </c>
      <c r="AB9" s="111">
        <f t="shared" si="10"/>
        <v>0</v>
      </c>
      <c r="AC9" s="72">
        <f t="shared" si="11"/>
        <v>0</v>
      </c>
      <c r="AD9" s="140">
        <f t="shared" si="12"/>
        <v>0</v>
      </c>
      <c r="AE9" s="140">
        <f t="shared" si="13"/>
        <v>0</v>
      </c>
      <c r="AF9" s="140">
        <f t="shared" si="14"/>
        <v>0</v>
      </c>
      <c r="AG9" s="140"/>
      <c r="AH9" s="141"/>
      <c r="AI9" s="141">
        <f t="shared" si="15"/>
        <v>0</v>
      </c>
      <c r="AJ9" s="146">
        <f t="shared" si="16"/>
        <v>0</v>
      </c>
      <c r="AK9" s="147">
        <v>2</v>
      </c>
      <c r="AL9" s="148"/>
    </row>
    <row r="10" spans="1:38" ht="44.25" customHeight="1" x14ac:dyDescent="0.2">
      <c r="A10" s="124" t="s">
        <v>43</v>
      </c>
      <c r="B10" s="60"/>
      <c r="C10" s="76"/>
      <c r="D10" s="77"/>
      <c r="E10" s="77"/>
      <c r="F10" s="78"/>
      <c r="G10" s="78"/>
      <c r="H10" s="105"/>
      <c r="I10" s="107"/>
      <c r="J10" s="108"/>
      <c r="K10" s="109"/>
      <c r="L10" s="110"/>
      <c r="M10" s="110"/>
      <c r="N10" s="111">
        <f t="shared" si="0"/>
        <v>0</v>
      </c>
      <c r="O10" s="112"/>
      <c r="P10" s="113"/>
      <c r="Q10" s="113"/>
      <c r="R10" s="114"/>
      <c r="S10" s="68">
        <f t="shared" si="1"/>
        <v>0</v>
      </c>
      <c r="T10" s="111">
        <f t="shared" si="2"/>
        <v>0</v>
      </c>
      <c r="U10" s="111">
        <f t="shared" si="3"/>
        <v>0</v>
      </c>
      <c r="V10" s="111">
        <f t="shared" si="4"/>
        <v>0</v>
      </c>
      <c r="W10" s="111">
        <f t="shared" si="5"/>
        <v>0</v>
      </c>
      <c r="X10" s="111">
        <f t="shared" si="6"/>
        <v>0</v>
      </c>
      <c r="Y10" s="111">
        <f t="shared" si="7"/>
        <v>0</v>
      </c>
      <c r="Z10" s="111">
        <f t="shared" si="8"/>
        <v>0</v>
      </c>
      <c r="AA10" s="111">
        <f t="shared" si="9"/>
        <v>0</v>
      </c>
      <c r="AB10" s="111">
        <f t="shared" si="10"/>
        <v>0</v>
      </c>
      <c r="AC10" s="72">
        <f t="shared" si="11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ht="44.25" customHeight="1" x14ac:dyDescent="0.2">
      <c r="A11" s="124" t="s">
        <v>44</v>
      </c>
      <c r="B11" s="60"/>
      <c r="C11" s="76"/>
      <c r="D11" s="77"/>
      <c r="E11" s="77"/>
      <c r="F11" s="78"/>
      <c r="G11" s="78"/>
      <c r="H11" s="105"/>
      <c r="I11" s="107"/>
      <c r="J11" s="108"/>
      <c r="K11" s="109"/>
      <c r="L11" s="110"/>
      <c r="M11" s="110"/>
      <c r="N11" s="111">
        <f t="shared" si="0"/>
        <v>0</v>
      </c>
      <c r="O11" s="112"/>
      <c r="P11" s="113"/>
      <c r="Q11" s="113"/>
      <c r="R11" s="114"/>
      <c r="S11" s="68">
        <f t="shared" si="1"/>
        <v>0</v>
      </c>
      <c r="T11" s="111">
        <f t="shared" si="2"/>
        <v>0</v>
      </c>
      <c r="U11" s="111">
        <f t="shared" si="3"/>
        <v>0</v>
      </c>
      <c r="V11" s="111">
        <f t="shared" si="4"/>
        <v>0</v>
      </c>
      <c r="W11" s="111">
        <f t="shared" si="5"/>
        <v>0</v>
      </c>
      <c r="X11" s="111">
        <f t="shared" si="6"/>
        <v>0</v>
      </c>
      <c r="Y11" s="111">
        <f t="shared" si="7"/>
        <v>0</v>
      </c>
      <c r="Z11" s="111">
        <f t="shared" si="8"/>
        <v>0</v>
      </c>
      <c r="AA11" s="111">
        <f t="shared" si="9"/>
        <v>0</v>
      </c>
      <c r="AB11" s="111">
        <f t="shared" si="10"/>
        <v>0</v>
      </c>
      <c r="AC11" s="72">
        <f t="shared" si="11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ht="44.25" customHeight="1" x14ac:dyDescent="0.2">
      <c r="A12" s="124" t="s">
        <v>45</v>
      </c>
      <c r="B12" s="60"/>
      <c r="C12" s="76"/>
      <c r="D12" s="77"/>
      <c r="E12" s="60"/>
      <c r="F12" s="62"/>
      <c r="G12" s="78"/>
      <c r="H12" s="105"/>
      <c r="I12" s="107"/>
      <c r="J12" s="108"/>
      <c r="K12" s="109"/>
      <c r="L12" s="110"/>
      <c r="M12" s="110"/>
      <c r="N12" s="111">
        <f t="shared" si="0"/>
        <v>0</v>
      </c>
      <c r="O12" s="112"/>
      <c r="P12" s="113"/>
      <c r="Q12" s="113"/>
      <c r="R12" s="114"/>
      <c r="S12" s="68">
        <f t="shared" si="1"/>
        <v>0</v>
      </c>
      <c r="T12" s="111">
        <f t="shared" si="2"/>
        <v>0</v>
      </c>
      <c r="U12" s="111">
        <f t="shared" si="3"/>
        <v>0</v>
      </c>
      <c r="V12" s="111">
        <f t="shared" si="4"/>
        <v>0</v>
      </c>
      <c r="W12" s="111">
        <f t="shared" si="5"/>
        <v>0</v>
      </c>
      <c r="X12" s="111">
        <f t="shared" si="6"/>
        <v>0</v>
      </c>
      <c r="Y12" s="111">
        <f t="shared" si="7"/>
        <v>0</v>
      </c>
      <c r="Z12" s="111">
        <f t="shared" si="8"/>
        <v>0</v>
      </c>
      <c r="AA12" s="111">
        <f t="shared" si="9"/>
        <v>0</v>
      </c>
      <c r="AB12" s="111">
        <f t="shared" si="10"/>
        <v>0</v>
      </c>
      <c r="AC12" s="72">
        <f t="shared" si="11"/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ht="44.25" customHeight="1" x14ac:dyDescent="0.2">
      <c r="A13" s="124" t="s">
        <v>46</v>
      </c>
      <c r="B13" s="60"/>
      <c r="C13" s="76"/>
      <c r="D13" s="77"/>
      <c r="E13" s="77"/>
      <c r="F13" s="78"/>
      <c r="G13" s="62"/>
      <c r="H13" s="115"/>
      <c r="I13" s="107"/>
      <c r="J13" s="108"/>
      <c r="K13" s="109"/>
      <c r="L13" s="116"/>
      <c r="M13" s="110"/>
      <c r="N13" s="111">
        <f t="shared" si="0"/>
        <v>0</v>
      </c>
      <c r="O13" s="112"/>
      <c r="P13" s="113"/>
      <c r="Q13" s="113"/>
      <c r="R13" s="114"/>
      <c r="S13" s="68">
        <f t="shared" si="1"/>
        <v>0</v>
      </c>
      <c r="T13" s="111">
        <f t="shared" si="2"/>
        <v>0</v>
      </c>
      <c r="U13" s="111">
        <f t="shared" si="3"/>
        <v>0</v>
      </c>
      <c r="V13" s="111">
        <f t="shared" si="4"/>
        <v>0</v>
      </c>
      <c r="W13" s="111">
        <f t="shared" si="5"/>
        <v>0</v>
      </c>
      <c r="X13" s="111">
        <f t="shared" si="6"/>
        <v>0</v>
      </c>
      <c r="Y13" s="111">
        <f t="shared" si="7"/>
        <v>0</v>
      </c>
      <c r="Z13" s="111">
        <f t="shared" si="8"/>
        <v>0</v>
      </c>
      <c r="AA13" s="111">
        <f t="shared" si="9"/>
        <v>0</v>
      </c>
      <c r="AB13" s="111">
        <f t="shared" si="10"/>
        <v>0</v>
      </c>
      <c r="AC13" s="72">
        <f t="shared" si="11"/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ht="44.25" customHeight="1" x14ac:dyDescent="0.2">
      <c r="A14" s="124" t="s">
        <v>47</v>
      </c>
      <c r="B14" s="60"/>
      <c r="C14" s="76"/>
      <c r="D14" s="77"/>
      <c r="E14" s="77"/>
      <c r="F14" s="78"/>
      <c r="G14" s="78"/>
      <c r="H14" s="106"/>
      <c r="I14" s="107"/>
      <c r="J14" s="108"/>
      <c r="K14" s="109"/>
      <c r="L14" s="116"/>
      <c r="M14" s="110"/>
      <c r="N14" s="111">
        <f t="shared" si="0"/>
        <v>0</v>
      </c>
      <c r="O14" s="112"/>
      <c r="P14" s="113"/>
      <c r="Q14" s="113"/>
      <c r="R14" s="114"/>
      <c r="S14" s="68">
        <f t="shared" si="1"/>
        <v>0</v>
      </c>
      <c r="T14" s="111">
        <f t="shared" si="2"/>
        <v>0</v>
      </c>
      <c r="U14" s="111">
        <f t="shared" si="3"/>
        <v>0</v>
      </c>
      <c r="V14" s="111">
        <f t="shared" si="4"/>
        <v>0</v>
      </c>
      <c r="W14" s="111">
        <f t="shared" si="5"/>
        <v>0</v>
      </c>
      <c r="X14" s="111">
        <f t="shared" si="6"/>
        <v>0</v>
      </c>
      <c r="Y14" s="111">
        <f t="shared" si="7"/>
        <v>0</v>
      </c>
      <c r="Z14" s="111">
        <f t="shared" si="8"/>
        <v>0</v>
      </c>
      <c r="AA14" s="111">
        <f t="shared" si="9"/>
        <v>0</v>
      </c>
      <c r="AB14" s="111">
        <f t="shared" si="10"/>
        <v>0</v>
      </c>
      <c r="AC14" s="72">
        <f t="shared" si="11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ht="44.25" customHeight="1" x14ac:dyDescent="0.2">
      <c r="A15" s="124" t="s">
        <v>48</v>
      </c>
      <c r="B15" s="60"/>
      <c r="C15" s="76"/>
      <c r="D15" s="77"/>
      <c r="E15" s="77"/>
      <c r="F15" s="78"/>
      <c r="G15" s="78"/>
      <c r="H15" s="106"/>
      <c r="I15" s="107"/>
      <c r="J15" s="108"/>
      <c r="K15" s="109"/>
      <c r="L15" s="116"/>
      <c r="M15" s="110"/>
      <c r="N15" s="111">
        <f t="shared" si="0"/>
        <v>0</v>
      </c>
      <c r="O15" s="112"/>
      <c r="P15" s="113"/>
      <c r="Q15" s="113"/>
      <c r="R15" s="114"/>
      <c r="S15" s="68">
        <f t="shared" si="1"/>
        <v>0</v>
      </c>
      <c r="T15" s="111">
        <f t="shared" si="2"/>
        <v>0</v>
      </c>
      <c r="U15" s="111">
        <f t="shared" si="3"/>
        <v>0</v>
      </c>
      <c r="V15" s="111">
        <f t="shared" si="4"/>
        <v>0</v>
      </c>
      <c r="W15" s="111">
        <f t="shared" si="5"/>
        <v>0</v>
      </c>
      <c r="X15" s="111">
        <f t="shared" si="6"/>
        <v>0</v>
      </c>
      <c r="Y15" s="111">
        <f t="shared" si="7"/>
        <v>0</v>
      </c>
      <c r="Z15" s="111">
        <f t="shared" si="8"/>
        <v>0</v>
      </c>
      <c r="AA15" s="111">
        <f t="shared" si="9"/>
        <v>0</v>
      </c>
      <c r="AB15" s="111">
        <f t="shared" si="10"/>
        <v>0</v>
      </c>
      <c r="AC15" s="72">
        <f t="shared" si="11"/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ht="44.25" customHeight="1" x14ac:dyDescent="0.2">
      <c r="A16" s="124" t="s">
        <v>49</v>
      </c>
      <c r="B16" s="60"/>
      <c r="C16" s="76"/>
      <c r="D16" s="77"/>
      <c r="E16" s="77"/>
      <c r="F16" s="78"/>
      <c r="G16" s="78"/>
      <c r="H16" s="106"/>
      <c r="I16" s="107"/>
      <c r="J16" s="108"/>
      <c r="K16" s="109"/>
      <c r="L16" s="116"/>
      <c r="M16" s="110"/>
      <c r="N16" s="111">
        <f t="shared" si="0"/>
        <v>0</v>
      </c>
      <c r="O16" s="112"/>
      <c r="P16" s="113"/>
      <c r="Q16" s="113"/>
      <c r="R16" s="114"/>
      <c r="S16" s="68">
        <f t="shared" si="1"/>
        <v>0</v>
      </c>
      <c r="T16" s="111">
        <f t="shared" si="2"/>
        <v>0</v>
      </c>
      <c r="U16" s="111">
        <f t="shared" si="3"/>
        <v>0</v>
      </c>
      <c r="V16" s="111">
        <f t="shared" si="4"/>
        <v>0</v>
      </c>
      <c r="W16" s="111">
        <f t="shared" si="5"/>
        <v>0</v>
      </c>
      <c r="X16" s="111">
        <f t="shared" si="6"/>
        <v>0</v>
      </c>
      <c r="Y16" s="111">
        <f t="shared" si="7"/>
        <v>0</v>
      </c>
      <c r="Z16" s="111">
        <f t="shared" si="8"/>
        <v>0</v>
      </c>
      <c r="AA16" s="111">
        <f t="shared" si="9"/>
        <v>0</v>
      </c>
      <c r="AB16" s="111">
        <f t="shared" si="10"/>
        <v>0</v>
      </c>
      <c r="AC16" s="72">
        <f t="shared" si="11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ht="44.25" customHeight="1" x14ac:dyDescent="0.2">
      <c r="A17" s="124" t="s">
        <v>50</v>
      </c>
      <c r="B17" s="60"/>
      <c r="C17" s="76"/>
      <c r="D17" s="77"/>
      <c r="E17" s="77"/>
      <c r="F17" s="78"/>
      <c r="G17" s="78"/>
      <c r="H17" s="106"/>
      <c r="I17" s="107"/>
      <c r="J17" s="108"/>
      <c r="K17" s="109"/>
      <c r="L17" s="116"/>
      <c r="M17" s="110"/>
      <c r="N17" s="111">
        <f t="shared" si="0"/>
        <v>0</v>
      </c>
      <c r="O17" s="112"/>
      <c r="P17" s="113"/>
      <c r="Q17" s="113"/>
      <c r="R17" s="114"/>
      <c r="S17" s="68">
        <f t="shared" si="1"/>
        <v>0</v>
      </c>
      <c r="T17" s="111">
        <f t="shared" si="2"/>
        <v>0</v>
      </c>
      <c r="U17" s="111">
        <f t="shared" si="3"/>
        <v>0</v>
      </c>
      <c r="V17" s="111">
        <f t="shared" si="4"/>
        <v>0</v>
      </c>
      <c r="W17" s="111">
        <f t="shared" si="5"/>
        <v>0</v>
      </c>
      <c r="X17" s="111">
        <f t="shared" si="6"/>
        <v>0</v>
      </c>
      <c r="Y17" s="111">
        <f t="shared" si="7"/>
        <v>0</v>
      </c>
      <c r="Z17" s="111">
        <f t="shared" si="8"/>
        <v>0</v>
      </c>
      <c r="AA17" s="111">
        <f t="shared" si="9"/>
        <v>0</v>
      </c>
      <c r="AB17" s="111">
        <f t="shared" si="10"/>
        <v>0</v>
      </c>
      <c r="AC17" s="72">
        <f t="shared" si="11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ht="44.25" customHeight="1" x14ac:dyDescent="0.2">
      <c r="A18" s="124" t="s">
        <v>51</v>
      </c>
      <c r="B18" s="60"/>
      <c r="C18" s="76"/>
      <c r="D18" s="77"/>
      <c r="E18" s="77"/>
      <c r="F18" s="78"/>
      <c r="G18" s="78"/>
      <c r="H18" s="106"/>
      <c r="I18" s="107"/>
      <c r="J18" s="108"/>
      <c r="K18" s="109"/>
      <c r="L18" s="116"/>
      <c r="M18" s="110"/>
      <c r="N18" s="111">
        <f t="shared" si="0"/>
        <v>0</v>
      </c>
      <c r="O18" s="112"/>
      <c r="P18" s="113"/>
      <c r="Q18" s="113"/>
      <c r="R18" s="114"/>
      <c r="S18" s="68">
        <f t="shared" si="1"/>
        <v>0</v>
      </c>
      <c r="T18" s="111">
        <f t="shared" si="2"/>
        <v>0</v>
      </c>
      <c r="U18" s="111">
        <f t="shared" si="3"/>
        <v>0</v>
      </c>
      <c r="V18" s="111">
        <f t="shared" si="4"/>
        <v>0</v>
      </c>
      <c r="W18" s="111">
        <f t="shared" si="5"/>
        <v>0</v>
      </c>
      <c r="X18" s="111">
        <f t="shared" si="6"/>
        <v>0</v>
      </c>
      <c r="Y18" s="111">
        <f t="shared" si="7"/>
        <v>0</v>
      </c>
      <c r="Z18" s="111">
        <f t="shared" si="8"/>
        <v>0</v>
      </c>
      <c r="AA18" s="111">
        <f t="shared" si="9"/>
        <v>0</v>
      </c>
      <c r="AB18" s="111">
        <f t="shared" si="10"/>
        <v>0</v>
      </c>
      <c r="AC18" s="72">
        <f t="shared" si="11"/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ht="44.25" customHeight="1" x14ac:dyDescent="0.2">
      <c r="A19" s="124" t="s">
        <v>52</v>
      </c>
      <c r="B19" s="60"/>
      <c r="C19" s="76"/>
      <c r="D19" s="77"/>
      <c r="E19" s="77"/>
      <c r="F19" s="78"/>
      <c r="G19" s="78"/>
      <c r="H19" s="106"/>
      <c r="I19" s="107"/>
      <c r="J19" s="108"/>
      <c r="K19" s="109"/>
      <c r="L19" s="116"/>
      <c r="M19" s="110"/>
      <c r="N19" s="111">
        <f t="shared" si="0"/>
        <v>0</v>
      </c>
      <c r="O19" s="112"/>
      <c r="P19" s="113"/>
      <c r="Q19" s="113"/>
      <c r="R19" s="114"/>
      <c r="S19" s="68">
        <f t="shared" si="1"/>
        <v>0</v>
      </c>
      <c r="T19" s="111">
        <f t="shared" si="2"/>
        <v>0</v>
      </c>
      <c r="U19" s="111">
        <f t="shared" si="3"/>
        <v>0</v>
      </c>
      <c r="V19" s="111">
        <f t="shared" si="4"/>
        <v>0</v>
      </c>
      <c r="W19" s="111">
        <f t="shared" si="5"/>
        <v>0</v>
      </c>
      <c r="X19" s="111">
        <f t="shared" si="6"/>
        <v>0</v>
      </c>
      <c r="Y19" s="111">
        <f t="shared" si="7"/>
        <v>0</v>
      </c>
      <c r="Z19" s="111">
        <f t="shared" si="8"/>
        <v>0</v>
      </c>
      <c r="AA19" s="111">
        <f t="shared" si="9"/>
        <v>0</v>
      </c>
      <c r="AB19" s="111">
        <f t="shared" si="10"/>
        <v>0</v>
      </c>
      <c r="AC19" s="72">
        <f t="shared" si="11"/>
        <v>0</v>
      </c>
      <c r="AD19" s="140">
        <f t="shared" si="12"/>
        <v>0</v>
      </c>
      <c r="AE19" s="140">
        <f t="shared" si="13"/>
        <v>0</v>
      </c>
      <c r="AF19" s="140">
        <f t="shared" si="14"/>
        <v>0</v>
      </c>
      <c r="AG19" s="140"/>
      <c r="AH19" s="141"/>
      <c r="AI19" s="141">
        <f t="shared" si="15"/>
        <v>0</v>
      </c>
      <c r="AJ19" s="146">
        <f t="shared" si="16"/>
        <v>0</v>
      </c>
      <c r="AK19" s="147">
        <v>12</v>
      </c>
      <c r="AL19" s="148"/>
    </row>
    <row r="20" spans="1:38" ht="44.25" customHeight="1" x14ac:dyDescent="0.2">
      <c r="A20" s="124" t="s">
        <v>53</v>
      </c>
      <c r="B20" s="60"/>
      <c r="C20" s="76"/>
      <c r="D20" s="77"/>
      <c r="E20" s="77"/>
      <c r="F20" s="78"/>
      <c r="G20" s="78"/>
      <c r="H20" s="106"/>
      <c r="I20" s="107"/>
      <c r="J20" s="108"/>
      <c r="K20" s="109"/>
      <c r="L20" s="116"/>
      <c r="M20" s="110"/>
      <c r="N20" s="111">
        <f t="shared" si="0"/>
        <v>0</v>
      </c>
      <c r="O20" s="112"/>
      <c r="P20" s="113"/>
      <c r="Q20" s="113"/>
      <c r="R20" s="114"/>
      <c r="S20" s="68">
        <f t="shared" si="1"/>
        <v>0</v>
      </c>
      <c r="T20" s="111">
        <f t="shared" si="2"/>
        <v>0</v>
      </c>
      <c r="U20" s="111">
        <f t="shared" si="3"/>
        <v>0</v>
      </c>
      <c r="V20" s="111">
        <f t="shared" si="4"/>
        <v>0</v>
      </c>
      <c r="W20" s="111">
        <f t="shared" si="5"/>
        <v>0</v>
      </c>
      <c r="X20" s="111">
        <f t="shared" si="6"/>
        <v>0</v>
      </c>
      <c r="Y20" s="111">
        <f t="shared" si="7"/>
        <v>0</v>
      </c>
      <c r="Z20" s="111">
        <f t="shared" si="8"/>
        <v>0</v>
      </c>
      <c r="AA20" s="111">
        <f t="shared" si="9"/>
        <v>0</v>
      </c>
      <c r="AB20" s="111">
        <f t="shared" si="10"/>
        <v>0</v>
      </c>
      <c r="AC20" s="72">
        <f t="shared" si="11"/>
        <v>0</v>
      </c>
      <c r="AD20" s="140">
        <f t="shared" si="12"/>
        <v>0</v>
      </c>
      <c r="AE20" s="140">
        <f t="shared" si="13"/>
        <v>0</v>
      </c>
      <c r="AF20" s="140">
        <f t="shared" si="14"/>
        <v>0</v>
      </c>
      <c r="AG20" s="140"/>
      <c r="AH20" s="141"/>
      <c r="AI20" s="141">
        <f t="shared" si="15"/>
        <v>0</v>
      </c>
      <c r="AJ20" s="146">
        <f t="shared" si="16"/>
        <v>0</v>
      </c>
      <c r="AK20" s="147">
        <v>13</v>
      </c>
      <c r="AL20" s="148"/>
    </row>
    <row r="21" spans="1:38" ht="44.25" customHeight="1" x14ac:dyDescent="0.2">
      <c r="A21" s="124" t="s">
        <v>54</v>
      </c>
      <c r="B21" s="60"/>
      <c r="C21" s="76"/>
      <c r="D21" s="77"/>
      <c r="E21" s="77"/>
      <c r="F21" s="78"/>
      <c r="G21" s="78"/>
      <c r="H21" s="106"/>
      <c r="I21" s="107"/>
      <c r="J21" s="108"/>
      <c r="K21" s="109"/>
      <c r="L21" s="116"/>
      <c r="M21" s="110"/>
      <c r="N21" s="111">
        <f t="shared" si="0"/>
        <v>0</v>
      </c>
      <c r="O21" s="112"/>
      <c r="P21" s="113"/>
      <c r="Q21" s="113"/>
      <c r="R21" s="114"/>
      <c r="S21" s="68">
        <f t="shared" si="1"/>
        <v>0</v>
      </c>
      <c r="T21" s="111">
        <f t="shared" si="2"/>
        <v>0</v>
      </c>
      <c r="U21" s="111">
        <f t="shared" si="3"/>
        <v>0</v>
      </c>
      <c r="V21" s="111">
        <f t="shared" si="4"/>
        <v>0</v>
      </c>
      <c r="W21" s="111">
        <f t="shared" si="5"/>
        <v>0</v>
      </c>
      <c r="X21" s="111">
        <f t="shared" si="6"/>
        <v>0</v>
      </c>
      <c r="Y21" s="111">
        <f t="shared" si="7"/>
        <v>0</v>
      </c>
      <c r="Z21" s="111">
        <f t="shared" si="8"/>
        <v>0</v>
      </c>
      <c r="AA21" s="111">
        <f t="shared" si="9"/>
        <v>0</v>
      </c>
      <c r="AB21" s="111">
        <f t="shared" si="10"/>
        <v>0</v>
      </c>
      <c r="AC21" s="72">
        <f t="shared" si="11"/>
        <v>0</v>
      </c>
      <c r="AD21" s="140">
        <f t="shared" si="12"/>
        <v>0</v>
      </c>
      <c r="AE21" s="140">
        <f t="shared" si="13"/>
        <v>0</v>
      </c>
      <c r="AF21" s="140">
        <f t="shared" si="14"/>
        <v>0</v>
      </c>
      <c r="AG21" s="140"/>
      <c r="AH21" s="141"/>
      <c r="AI21" s="141">
        <f t="shared" si="15"/>
        <v>0</v>
      </c>
      <c r="AJ21" s="146">
        <f t="shared" si="16"/>
        <v>0</v>
      </c>
      <c r="AK21" s="147">
        <v>14</v>
      </c>
      <c r="AL21" s="148"/>
    </row>
    <row r="22" spans="1:38" ht="44.25" customHeight="1" x14ac:dyDescent="0.2">
      <c r="A22" s="124" t="s">
        <v>65</v>
      </c>
      <c r="B22" s="60"/>
      <c r="C22" s="76"/>
      <c r="D22" s="77"/>
      <c r="E22" s="77"/>
      <c r="F22" s="78"/>
      <c r="G22" s="78"/>
      <c r="H22" s="105"/>
      <c r="I22" s="107"/>
      <c r="J22" s="108"/>
      <c r="K22" s="109"/>
      <c r="L22" s="116"/>
      <c r="M22" s="110"/>
      <c r="N22" s="111">
        <f t="shared" si="0"/>
        <v>0</v>
      </c>
      <c r="O22" s="112"/>
      <c r="P22" s="113"/>
      <c r="Q22" s="113"/>
      <c r="R22" s="114"/>
      <c r="S22" s="68">
        <f t="shared" si="1"/>
        <v>0</v>
      </c>
      <c r="T22" s="111">
        <f t="shared" si="2"/>
        <v>0</v>
      </c>
      <c r="U22" s="111">
        <f t="shared" si="3"/>
        <v>0</v>
      </c>
      <c r="V22" s="111">
        <f t="shared" si="4"/>
        <v>0</v>
      </c>
      <c r="W22" s="111">
        <f t="shared" si="5"/>
        <v>0</v>
      </c>
      <c r="X22" s="111">
        <f t="shared" si="6"/>
        <v>0</v>
      </c>
      <c r="Y22" s="111">
        <f t="shared" si="7"/>
        <v>0</v>
      </c>
      <c r="Z22" s="111">
        <f t="shared" si="8"/>
        <v>0</v>
      </c>
      <c r="AA22" s="111">
        <f t="shared" si="9"/>
        <v>0</v>
      </c>
      <c r="AB22" s="111">
        <f t="shared" si="10"/>
        <v>0</v>
      </c>
      <c r="AC22" s="72">
        <f t="shared" si="11"/>
        <v>0</v>
      </c>
      <c r="AD22" s="140">
        <f t="shared" si="12"/>
        <v>0</v>
      </c>
      <c r="AE22" s="140">
        <f t="shared" si="13"/>
        <v>0</v>
      </c>
      <c r="AF22" s="140">
        <f t="shared" si="14"/>
        <v>0</v>
      </c>
      <c r="AG22" s="140"/>
      <c r="AH22" s="141"/>
      <c r="AI22" s="141">
        <f t="shared" si="15"/>
        <v>0</v>
      </c>
      <c r="AJ22" s="146">
        <f t="shared" si="16"/>
        <v>0</v>
      </c>
      <c r="AK22" s="147">
        <v>15</v>
      </c>
      <c r="AL22" s="148"/>
    </row>
    <row r="23" spans="1:38" ht="44.25" customHeight="1" x14ac:dyDescent="0.2">
      <c r="A23" s="124" t="s">
        <v>66</v>
      </c>
      <c r="B23" s="60"/>
      <c r="C23" s="76"/>
      <c r="D23" s="77"/>
      <c r="E23" s="77"/>
      <c r="F23" s="78"/>
      <c r="G23" s="78"/>
      <c r="H23" s="105"/>
      <c r="I23" s="107"/>
      <c r="J23" s="108"/>
      <c r="K23" s="109"/>
      <c r="L23" s="116"/>
      <c r="M23" s="110"/>
      <c r="N23" s="111">
        <f t="shared" si="0"/>
        <v>0</v>
      </c>
      <c r="O23" s="112"/>
      <c r="P23" s="113"/>
      <c r="Q23" s="113"/>
      <c r="R23" s="114"/>
      <c r="S23" s="68">
        <f t="shared" si="1"/>
        <v>0</v>
      </c>
      <c r="T23" s="111">
        <f t="shared" si="2"/>
        <v>0</v>
      </c>
      <c r="U23" s="111">
        <f t="shared" si="3"/>
        <v>0</v>
      </c>
      <c r="V23" s="111">
        <f t="shared" si="4"/>
        <v>0</v>
      </c>
      <c r="W23" s="111">
        <f t="shared" si="5"/>
        <v>0</v>
      </c>
      <c r="X23" s="111">
        <f t="shared" si="6"/>
        <v>0</v>
      </c>
      <c r="Y23" s="111">
        <f t="shared" si="7"/>
        <v>0</v>
      </c>
      <c r="Z23" s="111">
        <f t="shared" si="8"/>
        <v>0</v>
      </c>
      <c r="AA23" s="111">
        <f t="shared" si="9"/>
        <v>0</v>
      </c>
      <c r="AB23" s="111">
        <f t="shared" si="10"/>
        <v>0</v>
      </c>
      <c r="AC23" s="72">
        <f t="shared" si="11"/>
        <v>0</v>
      </c>
      <c r="AD23" s="140">
        <f t="shared" si="12"/>
        <v>0</v>
      </c>
      <c r="AE23" s="140">
        <f t="shared" si="13"/>
        <v>0</v>
      </c>
      <c r="AF23" s="140">
        <f t="shared" si="14"/>
        <v>0</v>
      </c>
      <c r="AG23" s="140"/>
      <c r="AH23" s="141"/>
      <c r="AI23" s="141">
        <f t="shared" si="15"/>
        <v>0</v>
      </c>
      <c r="AJ23" s="146">
        <f t="shared" si="16"/>
        <v>0</v>
      </c>
      <c r="AK23" s="147">
        <v>16</v>
      </c>
      <c r="AL23" s="148"/>
    </row>
    <row r="24" spans="1:38" ht="44.25" customHeight="1" x14ac:dyDescent="0.2">
      <c r="A24" s="124" t="s">
        <v>67</v>
      </c>
      <c r="B24" s="60"/>
      <c r="C24" s="76"/>
      <c r="D24" s="77"/>
      <c r="E24" s="77"/>
      <c r="F24" s="78"/>
      <c r="G24" s="78"/>
      <c r="H24" s="106"/>
      <c r="I24" s="107"/>
      <c r="J24" s="108"/>
      <c r="K24" s="109"/>
      <c r="L24" s="116"/>
      <c r="M24" s="110"/>
      <c r="N24" s="111">
        <f t="shared" si="0"/>
        <v>0</v>
      </c>
      <c r="O24" s="112"/>
      <c r="P24" s="113"/>
      <c r="Q24" s="113"/>
      <c r="R24" s="114"/>
      <c r="S24" s="68">
        <f t="shared" si="1"/>
        <v>0</v>
      </c>
      <c r="T24" s="111">
        <f t="shared" si="2"/>
        <v>0</v>
      </c>
      <c r="U24" s="111">
        <f t="shared" si="3"/>
        <v>0</v>
      </c>
      <c r="V24" s="111">
        <f t="shared" si="4"/>
        <v>0</v>
      </c>
      <c r="W24" s="111">
        <f t="shared" si="5"/>
        <v>0</v>
      </c>
      <c r="X24" s="111">
        <f t="shared" si="6"/>
        <v>0</v>
      </c>
      <c r="Y24" s="111">
        <f t="shared" si="7"/>
        <v>0</v>
      </c>
      <c r="Z24" s="111">
        <f t="shared" si="8"/>
        <v>0</v>
      </c>
      <c r="AA24" s="111">
        <f t="shared" si="9"/>
        <v>0</v>
      </c>
      <c r="AB24" s="111">
        <f t="shared" si="10"/>
        <v>0</v>
      </c>
      <c r="AC24" s="72">
        <f t="shared" si="11"/>
        <v>0</v>
      </c>
      <c r="AD24" s="140">
        <f t="shared" si="12"/>
        <v>0</v>
      </c>
      <c r="AE24" s="140">
        <f t="shared" si="13"/>
        <v>0</v>
      </c>
      <c r="AF24" s="140">
        <f t="shared" si="14"/>
        <v>0</v>
      </c>
      <c r="AG24" s="140"/>
      <c r="AH24" s="141"/>
      <c r="AI24" s="141">
        <f t="shared" si="15"/>
        <v>0</v>
      </c>
      <c r="AJ24" s="146">
        <f t="shared" si="16"/>
        <v>0</v>
      </c>
      <c r="AK24" s="147">
        <v>17</v>
      </c>
      <c r="AL24" s="148"/>
    </row>
    <row r="25" spans="1:38" ht="44.25" customHeight="1" x14ac:dyDescent="0.2">
      <c r="A25" s="124" t="s">
        <v>68</v>
      </c>
      <c r="B25" s="60"/>
      <c r="C25" s="76"/>
      <c r="D25" s="77"/>
      <c r="E25" s="77"/>
      <c r="F25" s="78"/>
      <c r="G25" s="78"/>
      <c r="H25" s="106"/>
      <c r="I25" s="107"/>
      <c r="J25" s="108"/>
      <c r="K25" s="109"/>
      <c r="L25" s="116"/>
      <c r="M25" s="110"/>
      <c r="N25" s="111">
        <f t="shared" si="0"/>
        <v>0</v>
      </c>
      <c r="O25" s="112"/>
      <c r="P25" s="113"/>
      <c r="Q25" s="113"/>
      <c r="R25" s="114"/>
      <c r="S25" s="68">
        <f t="shared" si="1"/>
        <v>0</v>
      </c>
      <c r="T25" s="111">
        <f t="shared" si="2"/>
        <v>0</v>
      </c>
      <c r="U25" s="111">
        <f t="shared" si="3"/>
        <v>0</v>
      </c>
      <c r="V25" s="111">
        <f t="shared" si="4"/>
        <v>0</v>
      </c>
      <c r="W25" s="111">
        <f t="shared" si="5"/>
        <v>0</v>
      </c>
      <c r="X25" s="111">
        <f t="shared" si="6"/>
        <v>0</v>
      </c>
      <c r="Y25" s="111">
        <f t="shared" si="7"/>
        <v>0</v>
      </c>
      <c r="Z25" s="111">
        <f t="shared" si="8"/>
        <v>0</v>
      </c>
      <c r="AA25" s="111">
        <f t="shared" si="9"/>
        <v>0</v>
      </c>
      <c r="AB25" s="111">
        <f t="shared" si="10"/>
        <v>0</v>
      </c>
      <c r="AC25" s="72">
        <f t="shared" si="11"/>
        <v>0</v>
      </c>
      <c r="AD25" s="140">
        <f t="shared" si="12"/>
        <v>0</v>
      </c>
      <c r="AE25" s="140">
        <f t="shared" si="13"/>
        <v>0</v>
      </c>
      <c r="AF25" s="140">
        <f t="shared" si="14"/>
        <v>0</v>
      </c>
      <c r="AG25" s="140"/>
      <c r="AH25" s="141"/>
      <c r="AI25" s="141">
        <f t="shared" si="15"/>
        <v>0</v>
      </c>
      <c r="AJ25" s="146">
        <f t="shared" si="16"/>
        <v>0</v>
      </c>
      <c r="AK25" s="147">
        <v>18</v>
      </c>
      <c r="AL25" s="148"/>
    </row>
    <row r="26" spans="1:38" ht="44.25" customHeight="1" x14ac:dyDescent="0.2">
      <c r="A26" s="124" t="s">
        <v>69</v>
      </c>
      <c r="B26" s="60"/>
      <c r="C26" s="76"/>
      <c r="D26" s="77"/>
      <c r="E26" s="77"/>
      <c r="F26" s="78"/>
      <c r="G26" s="78"/>
      <c r="H26" s="106"/>
      <c r="I26" s="107"/>
      <c r="J26" s="108"/>
      <c r="K26" s="109"/>
      <c r="L26" s="116"/>
      <c r="M26" s="110"/>
      <c r="N26" s="111">
        <f t="shared" si="0"/>
        <v>0</v>
      </c>
      <c r="O26" s="112"/>
      <c r="P26" s="113"/>
      <c r="Q26" s="113"/>
      <c r="R26" s="114"/>
      <c r="S26" s="68">
        <f t="shared" si="1"/>
        <v>0</v>
      </c>
      <c r="T26" s="111">
        <f t="shared" si="2"/>
        <v>0</v>
      </c>
      <c r="U26" s="111">
        <f t="shared" si="3"/>
        <v>0</v>
      </c>
      <c r="V26" s="111">
        <f t="shared" si="4"/>
        <v>0</v>
      </c>
      <c r="W26" s="111">
        <f t="shared" si="5"/>
        <v>0</v>
      </c>
      <c r="X26" s="111">
        <f t="shared" si="6"/>
        <v>0</v>
      </c>
      <c r="Y26" s="111">
        <f t="shared" si="7"/>
        <v>0</v>
      </c>
      <c r="Z26" s="111">
        <f t="shared" si="8"/>
        <v>0</v>
      </c>
      <c r="AA26" s="111">
        <f t="shared" si="9"/>
        <v>0</v>
      </c>
      <c r="AB26" s="111">
        <f t="shared" si="10"/>
        <v>0</v>
      </c>
      <c r="AC26" s="72">
        <f t="shared" si="11"/>
        <v>0</v>
      </c>
      <c r="AD26" s="140">
        <f t="shared" si="12"/>
        <v>0</v>
      </c>
      <c r="AE26" s="140">
        <f t="shared" si="13"/>
        <v>0</v>
      </c>
      <c r="AF26" s="140">
        <f t="shared" si="14"/>
        <v>0</v>
      </c>
      <c r="AG26" s="140"/>
      <c r="AH26" s="141"/>
      <c r="AI26" s="141">
        <f t="shared" si="15"/>
        <v>0</v>
      </c>
      <c r="AJ26" s="146">
        <f t="shared" si="16"/>
        <v>0</v>
      </c>
      <c r="AK26" s="147">
        <v>19</v>
      </c>
      <c r="AL26" s="148"/>
    </row>
    <row r="27" spans="1:38" ht="44.25" customHeight="1" x14ac:dyDescent="0.2">
      <c r="A27" s="124" t="s">
        <v>70</v>
      </c>
      <c r="B27" s="60"/>
      <c r="C27" s="76"/>
      <c r="D27" s="77"/>
      <c r="E27" s="77"/>
      <c r="F27" s="78"/>
      <c r="G27" s="78"/>
      <c r="H27" s="106"/>
      <c r="I27" s="107"/>
      <c r="J27" s="108"/>
      <c r="K27" s="109"/>
      <c r="L27" s="116"/>
      <c r="M27" s="110"/>
      <c r="N27" s="111">
        <f t="shared" si="0"/>
        <v>0</v>
      </c>
      <c r="O27" s="112"/>
      <c r="P27" s="113"/>
      <c r="Q27" s="113"/>
      <c r="R27" s="114"/>
      <c r="S27" s="68">
        <f t="shared" si="1"/>
        <v>0</v>
      </c>
      <c r="T27" s="111">
        <f t="shared" si="2"/>
        <v>0</v>
      </c>
      <c r="U27" s="111">
        <f t="shared" si="3"/>
        <v>0</v>
      </c>
      <c r="V27" s="111">
        <f t="shared" si="4"/>
        <v>0</v>
      </c>
      <c r="W27" s="111">
        <f t="shared" si="5"/>
        <v>0</v>
      </c>
      <c r="X27" s="111">
        <f t="shared" si="6"/>
        <v>0</v>
      </c>
      <c r="Y27" s="111">
        <f t="shared" si="7"/>
        <v>0</v>
      </c>
      <c r="Z27" s="111">
        <f t="shared" si="8"/>
        <v>0</v>
      </c>
      <c r="AA27" s="111">
        <f t="shared" si="9"/>
        <v>0</v>
      </c>
      <c r="AB27" s="111">
        <f t="shared" si="10"/>
        <v>0</v>
      </c>
      <c r="AC27" s="72">
        <f t="shared" si="11"/>
        <v>0</v>
      </c>
      <c r="AD27" s="140">
        <f t="shared" si="12"/>
        <v>0</v>
      </c>
      <c r="AE27" s="140">
        <f t="shared" si="13"/>
        <v>0</v>
      </c>
      <c r="AF27" s="140">
        <f t="shared" si="14"/>
        <v>0</v>
      </c>
      <c r="AG27" s="140"/>
      <c r="AH27" s="141"/>
      <c r="AI27" s="141">
        <f t="shared" si="15"/>
        <v>0</v>
      </c>
      <c r="AJ27" s="146">
        <f t="shared" si="16"/>
        <v>0</v>
      </c>
      <c r="AK27" s="147">
        <v>20</v>
      </c>
      <c r="AL27" s="148"/>
    </row>
    <row r="28" spans="1:38" ht="44.25" customHeight="1" x14ac:dyDescent="0.2">
      <c r="A28" s="124" t="s">
        <v>71</v>
      </c>
      <c r="B28" s="60"/>
      <c r="C28" s="76"/>
      <c r="D28" s="77"/>
      <c r="E28" s="77"/>
      <c r="F28" s="78"/>
      <c r="G28" s="78"/>
      <c r="H28" s="106"/>
      <c r="I28" s="107"/>
      <c r="J28" s="108"/>
      <c r="K28" s="109"/>
      <c r="L28" s="116"/>
      <c r="M28" s="110"/>
      <c r="N28" s="111">
        <f t="shared" si="0"/>
        <v>0</v>
      </c>
      <c r="O28" s="112"/>
      <c r="P28" s="113"/>
      <c r="Q28" s="113"/>
      <c r="R28" s="114"/>
      <c r="S28" s="68">
        <f t="shared" si="1"/>
        <v>0</v>
      </c>
      <c r="T28" s="111">
        <f t="shared" si="2"/>
        <v>0</v>
      </c>
      <c r="U28" s="111">
        <f t="shared" si="3"/>
        <v>0</v>
      </c>
      <c r="V28" s="111">
        <f t="shared" si="4"/>
        <v>0</v>
      </c>
      <c r="W28" s="111">
        <f t="shared" si="5"/>
        <v>0</v>
      </c>
      <c r="X28" s="111">
        <f t="shared" si="6"/>
        <v>0</v>
      </c>
      <c r="Y28" s="111">
        <f t="shared" si="7"/>
        <v>0</v>
      </c>
      <c r="Z28" s="111">
        <f t="shared" si="8"/>
        <v>0</v>
      </c>
      <c r="AA28" s="111">
        <f t="shared" si="9"/>
        <v>0</v>
      </c>
      <c r="AB28" s="111">
        <f t="shared" si="10"/>
        <v>0</v>
      </c>
      <c r="AC28" s="72">
        <f t="shared" si="11"/>
        <v>0</v>
      </c>
      <c r="AD28" s="140">
        <f t="shared" si="12"/>
        <v>0</v>
      </c>
      <c r="AE28" s="140">
        <f t="shared" si="13"/>
        <v>0</v>
      </c>
      <c r="AF28" s="140">
        <f t="shared" si="14"/>
        <v>0</v>
      </c>
      <c r="AG28" s="140"/>
      <c r="AH28" s="141"/>
      <c r="AI28" s="141">
        <f t="shared" si="15"/>
        <v>0</v>
      </c>
      <c r="AJ28" s="146">
        <f t="shared" si="16"/>
        <v>0</v>
      </c>
      <c r="AK28" s="147">
        <v>21</v>
      </c>
      <c r="AL28" s="148"/>
    </row>
    <row r="29" spans="1:38" ht="44.25" customHeight="1" x14ac:dyDescent="0.2">
      <c r="A29" s="124" t="s">
        <v>72</v>
      </c>
      <c r="B29" s="60"/>
      <c r="C29" s="76"/>
      <c r="D29" s="77"/>
      <c r="E29" s="77"/>
      <c r="F29" s="78"/>
      <c r="G29" s="78"/>
      <c r="H29" s="106"/>
      <c r="I29" s="107"/>
      <c r="J29" s="108"/>
      <c r="K29" s="109"/>
      <c r="L29" s="116"/>
      <c r="M29" s="110"/>
      <c r="N29" s="111">
        <f t="shared" si="0"/>
        <v>0</v>
      </c>
      <c r="O29" s="112"/>
      <c r="P29" s="113"/>
      <c r="Q29" s="113"/>
      <c r="R29" s="114"/>
      <c r="S29" s="68">
        <f t="shared" si="1"/>
        <v>0</v>
      </c>
      <c r="T29" s="111">
        <f t="shared" si="2"/>
        <v>0</v>
      </c>
      <c r="U29" s="111">
        <f t="shared" si="3"/>
        <v>0</v>
      </c>
      <c r="V29" s="111">
        <f t="shared" si="4"/>
        <v>0</v>
      </c>
      <c r="W29" s="111">
        <f t="shared" si="5"/>
        <v>0</v>
      </c>
      <c r="X29" s="111">
        <f t="shared" si="6"/>
        <v>0</v>
      </c>
      <c r="Y29" s="111">
        <f t="shared" si="7"/>
        <v>0</v>
      </c>
      <c r="Z29" s="111">
        <f t="shared" si="8"/>
        <v>0</v>
      </c>
      <c r="AA29" s="111">
        <f t="shared" si="9"/>
        <v>0</v>
      </c>
      <c r="AB29" s="111">
        <f t="shared" si="10"/>
        <v>0</v>
      </c>
      <c r="AC29" s="72">
        <f t="shared" si="11"/>
        <v>0</v>
      </c>
      <c r="AD29" s="140">
        <f t="shared" si="12"/>
        <v>0</v>
      </c>
      <c r="AE29" s="140">
        <f t="shared" si="13"/>
        <v>0</v>
      </c>
      <c r="AF29" s="140">
        <f t="shared" si="14"/>
        <v>0</v>
      </c>
      <c r="AG29" s="140"/>
      <c r="AH29" s="141"/>
      <c r="AI29" s="141">
        <f t="shared" si="15"/>
        <v>0</v>
      </c>
      <c r="AJ29" s="146">
        <f t="shared" si="16"/>
        <v>0</v>
      </c>
      <c r="AK29" s="147">
        <v>22</v>
      </c>
      <c r="AL29" s="148"/>
    </row>
    <row r="30" spans="1:38" ht="44.25" customHeight="1" x14ac:dyDescent="0.2">
      <c r="A30" s="124" t="s">
        <v>73</v>
      </c>
      <c r="B30" s="60"/>
      <c r="C30" s="76"/>
      <c r="D30" s="77"/>
      <c r="E30" s="77"/>
      <c r="F30" s="78"/>
      <c r="G30" s="78"/>
      <c r="H30" s="106"/>
      <c r="I30" s="107"/>
      <c r="J30" s="108"/>
      <c r="K30" s="109"/>
      <c r="L30" s="116"/>
      <c r="M30" s="110"/>
      <c r="N30" s="111">
        <f t="shared" si="0"/>
        <v>0</v>
      </c>
      <c r="O30" s="112"/>
      <c r="P30" s="113"/>
      <c r="Q30" s="113"/>
      <c r="R30" s="114"/>
      <c r="S30" s="68">
        <f t="shared" si="1"/>
        <v>0</v>
      </c>
      <c r="T30" s="111">
        <f t="shared" si="2"/>
        <v>0</v>
      </c>
      <c r="U30" s="111">
        <f t="shared" si="3"/>
        <v>0</v>
      </c>
      <c r="V30" s="111">
        <f t="shared" si="4"/>
        <v>0</v>
      </c>
      <c r="W30" s="111">
        <f t="shared" si="5"/>
        <v>0</v>
      </c>
      <c r="X30" s="111">
        <f t="shared" si="6"/>
        <v>0</v>
      </c>
      <c r="Y30" s="111">
        <f t="shared" si="7"/>
        <v>0</v>
      </c>
      <c r="Z30" s="111">
        <f t="shared" si="8"/>
        <v>0</v>
      </c>
      <c r="AA30" s="111">
        <f t="shared" si="9"/>
        <v>0</v>
      </c>
      <c r="AB30" s="111">
        <f t="shared" si="10"/>
        <v>0</v>
      </c>
      <c r="AC30" s="72">
        <f t="shared" si="11"/>
        <v>0</v>
      </c>
      <c r="AD30" s="140">
        <f t="shared" si="12"/>
        <v>0</v>
      </c>
      <c r="AE30" s="140">
        <f t="shared" si="13"/>
        <v>0</v>
      </c>
      <c r="AF30" s="140">
        <f t="shared" si="14"/>
        <v>0</v>
      </c>
      <c r="AG30" s="140"/>
      <c r="AH30" s="141"/>
      <c r="AI30" s="141">
        <f t="shared" si="15"/>
        <v>0</v>
      </c>
      <c r="AJ30" s="146">
        <f t="shared" si="16"/>
        <v>0</v>
      </c>
      <c r="AK30" s="147">
        <v>23</v>
      </c>
      <c r="AL30" s="148"/>
    </row>
    <row r="31" spans="1:38" ht="44.25" customHeight="1" x14ac:dyDescent="0.2">
      <c r="A31" s="124" t="s">
        <v>74</v>
      </c>
      <c r="B31" s="60"/>
      <c r="C31" s="76"/>
      <c r="D31" s="77"/>
      <c r="E31" s="77"/>
      <c r="F31" s="78"/>
      <c r="G31" s="78"/>
      <c r="H31" s="106"/>
      <c r="I31" s="107"/>
      <c r="J31" s="108"/>
      <c r="K31" s="109"/>
      <c r="L31" s="116"/>
      <c r="M31" s="110"/>
      <c r="N31" s="111">
        <f t="shared" si="0"/>
        <v>0</v>
      </c>
      <c r="O31" s="112"/>
      <c r="P31" s="113"/>
      <c r="Q31" s="113"/>
      <c r="R31" s="114"/>
      <c r="S31" s="68">
        <f t="shared" si="1"/>
        <v>0</v>
      </c>
      <c r="T31" s="111">
        <f t="shared" si="2"/>
        <v>0</v>
      </c>
      <c r="U31" s="111">
        <f t="shared" si="3"/>
        <v>0</v>
      </c>
      <c r="V31" s="111">
        <f t="shared" si="4"/>
        <v>0</v>
      </c>
      <c r="W31" s="111">
        <f t="shared" si="5"/>
        <v>0</v>
      </c>
      <c r="X31" s="111">
        <f t="shared" si="6"/>
        <v>0</v>
      </c>
      <c r="Y31" s="111">
        <f t="shared" si="7"/>
        <v>0</v>
      </c>
      <c r="Z31" s="111">
        <f t="shared" si="8"/>
        <v>0</v>
      </c>
      <c r="AA31" s="111">
        <f t="shared" si="9"/>
        <v>0</v>
      </c>
      <c r="AB31" s="111">
        <f t="shared" si="10"/>
        <v>0</v>
      </c>
      <c r="AC31" s="72">
        <f t="shared" si="11"/>
        <v>0</v>
      </c>
      <c r="AD31" s="140">
        <f t="shared" si="12"/>
        <v>0</v>
      </c>
      <c r="AE31" s="140">
        <f t="shared" si="13"/>
        <v>0</v>
      </c>
      <c r="AF31" s="140">
        <f t="shared" si="14"/>
        <v>0</v>
      </c>
      <c r="AG31" s="140"/>
      <c r="AH31" s="141"/>
      <c r="AI31" s="141">
        <f t="shared" si="15"/>
        <v>0</v>
      </c>
      <c r="AJ31" s="146">
        <f t="shared" si="16"/>
        <v>0</v>
      </c>
      <c r="AK31" s="147">
        <v>24</v>
      </c>
      <c r="AL31" s="148"/>
    </row>
    <row r="32" spans="1:38" ht="44.25" customHeight="1" x14ac:dyDescent="0.2">
      <c r="A32" s="124" t="s">
        <v>75</v>
      </c>
      <c r="B32" s="60"/>
      <c r="C32" s="76"/>
      <c r="D32" s="77"/>
      <c r="E32" s="77"/>
      <c r="F32" s="78"/>
      <c r="G32" s="78"/>
      <c r="H32" s="106"/>
      <c r="I32" s="107"/>
      <c r="J32" s="108"/>
      <c r="K32" s="109"/>
      <c r="L32" s="116"/>
      <c r="M32" s="110"/>
      <c r="N32" s="111">
        <f t="shared" si="0"/>
        <v>0</v>
      </c>
      <c r="O32" s="112"/>
      <c r="P32" s="113"/>
      <c r="Q32" s="113"/>
      <c r="R32" s="114"/>
      <c r="S32" s="68">
        <f t="shared" si="1"/>
        <v>0</v>
      </c>
      <c r="T32" s="111">
        <f t="shared" si="2"/>
        <v>0</v>
      </c>
      <c r="U32" s="111">
        <f t="shared" si="3"/>
        <v>0</v>
      </c>
      <c r="V32" s="111">
        <f t="shared" si="4"/>
        <v>0</v>
      </c>
      <c r="W32" s="111">
        <f t="shared" si="5"/>
        <v>0</v>
      </c>
      <c r="X32" s="111">
        <f t="shared" si="6"/>
        <v>0</v>
      </c>
      <c r="Y32" s="111">
        <f t="shared" si="7"/>
        <v>0</v>
      </c>
      <c r="Z32" s="111">
        <f t="shared" si="8"/>
        <v>0</v>
      </c>
      <c r="AA32" s="111">
        <f t="shared" si="9"/>
        <v>0</v>
      </c>
      <c r="AB32" s="111">
        <f t="shared" si="10"/>
        <v>0</v>
      </c>
      <c r="AC32" s="72">
        <f t="shared" si="11"/>
        <v>0</v>
      </c>
      <c r="AD32" s="140">
        <f t="shared" si="12"/>
        <v>0</v>
      </c>
      <c r="AE32" s="140">
        <f t="shared" si="13"/>
        <v>0</v>
      </c>
      <c r="AF32" s="140">
        <f t="shared" si="14"/>
        <v>0</v>
      </c>
      <c r="AG32" s="140"/>
      <c r="AH32" s="141"/>
      <c r="AI32" s="141">
        <f t="shared" si="15"/>
        <v>0</v>
      </c>
      <c r="AJ32" s="146">
        <f t="shared" si="16"/>
        <v>0</v>
      </c>
      <c r="AK32" s="147">
        <v>25</v>
      </c>
      <c r="AL32" s="148"/>
    </row>
    <row r="33" spans="1:38" ht="44.25" customHeight="1" x14ac:dyDescent="0.2">
      <c r="A33" s="124" t="s">
        <v>76</v>
      </c>
      <c r="B33" s="60"/>
      <c r="C33" s="76"/>
      <c r="D33" s="77"/>
      <c r="E33" s="77"/>
      <c r="F33" s="78"/>
      <c r="G33" s="78"/>
      <c r="H33" s="106"/>
      <c r="I33" s="107"/>
      <c r="J33" s="108"/>
      <c r="K33" s="109"/>
      <c r="L33" s="116"/>
      <c r="M33" s="110"/>
      <c r="N33" s="111">
        <f t="shared" si="0"/>
        <v>0</v>
      </c>
      <c r="O33" s="112"/>
      <c r="P33" s="113"/>
      <c r="Q33" s="113"/>
      <c r="R33" s="114"/>
      <c r="S33" s="68">
        <f t="shared" si="1"/>
        <v>0</v>
      </c>
      <c r="T33" s="111">
        <f t="shared" si="2"/>
        <v>0</v>
      </c>
      <c r="U33" s="111">
        <f t="shared" si="3"/>
        <v>0</v>
      </c>
      <c r="V33" s="111">
        <f t="shared" si="4"/>
        <v>0</v>
      </c>
      <c r="W33" s="111">
        <f t="shared" si="5"/>
        <v>0</v>
      </c>
      <c r="X33" s="111">
        <f t="shared" si="6"/>
        <v>0</v>
      </c>
      <c r="Y33" s="111">
        <f t="shared" si="7"/>
        <v>0</v>
      </c>
      <c r="Z33" s="111">
        <f t="shared" si="8"/>
        <v>0</v>
      </c>
      <c r="AA33" s="111">
        <f t="shared" si="9"/>
        <v>0</v>
      </c>
      <c r="AB33" s="111">
        <f t="shared" si="10"/>
        <v>0</v>
      </c>
      <c r="AC33" s="72">
        <f t="shared" si="11"/>
        <v>0</v>
      </c>
      <c r="AD33" s="140">
        <f t="shared" si="12"/>
        <v>0</v>
      </c>
      <c r="AE33" s="140">
        <f t="shared" si="13"/>
        <v>0</v>
      </c>
      <c r="AF33" s="140">
        <f t="shared" si="14"/>
        <v>0</v>
      </c>
      <c r="AG33" s="140"/>
      <c r="AH33" s="141"/>
      <c r="AI33" s="141">
        <f t="shared" si="15"/>
        <v>0</v>
      </c>
      <c r="AJ33" s="146">
        <f t="shared" si="16"/>
        <v>0</v>
      </c>
      <c r="AK33" s="147">
        <v>26</v>
      </c>
      <c r="AL33" s="148"/>
    </row>
    <row r="34" spans="1:38" ht="44.25" customHeight="1" x14ac:dyDescent="0.2">
      <c r="A34" s="124" t="s">
        <v>77</v>
      </c>
      <c r="B34" s="60"/>
      <c r="C34" s="76"/>
      <c r="D34" s="77"/>
      <c r="E34" s="77"/>
      <c r="F34" s="78"/>
      <c r="G34" s="78"/>
      <c r="H34" s="106"/>
      <c r="I34" s="107"/>
      <c r="J34" s="108"/>
      <c r="K34" s="109"/>
      <c r="L34" s="116"/>
      <c r="M34" s="110"/>
      <c r="N34" s="111">
        <f t="shared" si="0"/>
        <v>0</v>
      </c>
      <c r="O34" s="112"/>
      <c r="P34" s="113"/>
      <c r="Q34" s="113"/>
      <c r="R34" s="114"/>
      <c r="S34" s="68">
        <f t="shared" si="1"/>
        <v>0</v>
      </c>
      <c r="T34" s="111">
        <f t="shared" si="2"/>
        <v>0</v>
      </c>
      <c r="U34" s="111">
        <f t="shared" si="3"/>
        <v>0</v>
      </c>
      <c r="V34" s="111">
        <f t="shared" si="4"/>
        <v>0</v>
      </c>
      <c r="W34" s="111">
        <f t="shared" si="5"/>
        <v>0</v>
      </c>
      <c r="X34" s="111">
        <f t="shared" si="6"/>
        <v>0</v>
      </c>
      <c r="Y34" s="111">
        <f t="shared" si="7"/>
        <v>0</v>
      </c>
      <c r="Z34" s="111">
        <f t="shared" si="8"/>
        <v>0</v>
      </c>
      <c r="AA34" s="111">
        <f t="shared" si="9"/>
        <v>0</v>
      </c>
      <c r="AB34" s="111">
        <f t="shared" si="10"/>
        <v>0</v>
      </c>
      <c r="AC34" s="72">
        <f t="shared" si="11"/>
        <v>0</v>
      </c>
      <c r="AD34" s="140">
        <f t="shared" si="12"/>
        <v>0</v>
      </c>
      <c r="AE34" s="140">
        <f t="shared" si="13"/>
        <v>0</v>
      </c>
      <c r="AF34" s="140">
        <f t="shared" si="14"/>
        <v>0</v>
      </c>
      <c r="AG34" s="140"/>
      <c r="AH34" s="141"/>
      <c r="AI34" s="141">
        <f t="shared" si="15"/>
        <v>0</v>
      </c>
      <c r="AJ34" s="146">
        <f t="shared" si="16"/>
        <v>0</v>
      </c>
      <c r="AK34" s="147">
        <v>27</v>
      </c>
      <c r="AL34" s="148"/>
    </row>
    <row r="35" spans="1:38" ht="44.25" customHeight="1" x14ac:dyDescent="0.2">
      <c r="A35" s="124" t="s">
        <v>78</v>
      </c>
      <c r="B35" s="60"/>
      <c r="C35" s="76"/>
      <c r="D35" s="77"/>
      <c r="E35" s="77"/>
      <c r="F35" s="78"/>
      <c r="G35" s="78"/>
      <c r="H35" s="106"/>
      <c r="I35" s="107"/>
      <c r="J35" s="108"/>
      <c r="K35" s="109"/>
      <c r="L35" s="116"/>
      <c r="M35" s="110"/>
      <c r="N35" s="111">
        <f t="shared" si="0"/>
        <v>0</v>
      </c>
      <c r="O35" s="112"/>
      <c r="P35" s="113"/>
      <c r="Q35" s="113"/>
      <c r="R35" s="114"/>
      <c r="S35" s="68">
        <f t="shared" si="1"/>
        <v>0</v>
      </c>
      <c r="T35" s="111">
        <f t="shared" si="2"/>
        <v>0</v>
      </c>
      <c r="U35" s="111">
        <f t="shared" si="3"/>
        <v>0</v>
      </c>
      <c r="V35" s="111">
        <f t="shared" si="4"/>
        <v>0</v>
      </c>
      <c r="W35" s="111">
        <f t="shared" si="5"/>
        <v>0</v>
      </c>
      <c r="X35" s="111">
        <f t="shared" si="6"/>
        <v>0</v>
      </c>
      <c r="Y35" s="111">
        <f t="shared" si="7"/>
        <v>0</v>
      </c>
      <c r="Z35" s="111">
        <f t="shared" si="8"/>
        <v>0</v>
      </c>
      <c r="AA35" s="111">
        <f t="shared" si="9"/>
        <v>0</v>
      </c>
      <c r="AB35" s="111">
        <f t="shared" si="10"/>
        <v>0</v>
      </c>
      <c r="AC35" s="72">
        <f t="shared" si="11"/>
        <v>0</v>
      </c>
      <c r="AD35" s="140">
        <f t="shared" si="12"/>
        <v>0</v>
      </c>
      <c r="AE35" s="140">
        <f t="shared" si="13"/>
        <v>0</v>
      </c>
      <c r="AF35" s="140">
        <f t="shared" si="14"/>
        <v>0</v>
      </c>
      <c r="AG35" s="140"/>
      <c r="AH35" s="141"/>
      <c r="AI35" s="141">
        <f t="shared" si="15"/>
        <v>0</v>
      </c>
      <c r="AJ35" s="146">
        <f t="shared" si="16"/>
        <v>0</v>
      </c>
      <c r="AK35" s="147">
        <v>28</v>
      </c>
      <c r="AL35" s="148"/>
    </row>
    <row r="36" spans="1:38" x14ac:dyDescent="0.2">
      <c r="A36" s="117"/>
      <c r="B36" s="118"/>
      <c r="C36" s="118"/>
      <c r="D36" s="118"/>
      <c r="E36" s="118"/>
      <c r="F36" s="118"/>
      <c r="G36" s="118"/>
      <c r="H36" s="118"/>
      <c r="I36" s="118"/>
      <c r="J36" s="118"/>
      <c r="K36" s="119"/>
      <c r="L36" s="120"/>
      <c r="M36" s="120"/>
      <c r="N36" s="111">
        <f>I36*(SUM(K36:M36))</f>
        <v>0</v>
      </c>
      <c r="O36" s="121"/>
      <c r="P36" s="122"/>
      <c r="Q36" s="122"/>
      <c r="R36" s="122"/>
      <c r="S36" s="122"/>
      <c r="T36" s="122">
        <f>SUM(T8:T35)</f>
        <v>0</v>
      </c>
      <c r="U36" s="123"/>
      <c r="V36" s="123"/>
      <c r="W36" s="123"/>
      <c r="X36" s="122">
        <f>SUM(X8:X35)</f>
        <v>0</v>
      </c>
      <c r="Y36" s="123"/>
      <c r="Z36" s="122">
        <f>SUM(Z8:Z35)</f>
        <v>0</v>
      </c>
      <c r="AA36" s="123"/>
      <c r="AB36" s="122">
        <f t="shared" ref="AB36:AJ36" si="17">SUM(AB8:AB35)</f>
        <v>0</v>
      </c>
      <c r="AC36" s="122">
        <f t="shared" si="17"/>
        <v>0</v>
      </c>
      <c r="AD36" s="122">
        <f t="shared" si="17"/>
        <v>0</v>
      </c>
      <c r="AE36" s="122">
        <f t="shared" si="17"/>
        <v>0</v>
      </c>
      <c r="AF36" s="122">
        <f t="shared" si="17"/>
        <v>0</v>
      </c>
      <c r="AG36" s="122">
        <f t="shared" si="17"/>
        <v>0</v>
      </c>
      <c r="AH36" s="122">
        <f t="shared" si="17"/>
        <v>0</v>
      </c>
      <c r="AI36" s="122">
        <f t="shared" si="17"/>
        <v>0</v>
      </c>
      <c r="AJ36" s="122">
        <f t="shared" si="17"/>
        <v>0</v>
      </c>
      <c r="AK36" s="122"/>
      <c r="AL36" s="122">
        <f>SUM(AL8:AL35)</f>
        <v>0</v>
      </c>
    </row>
    <row r="37" spans="1:38" x14ac:dyDescent="0.2">
      <c r="B37" s="7"/>
      <c r="C37" s="7"/>
      <c r="D37" s="7"/>
      <c r="E37" s="7"/>
      <c r="F37" s="7"/>
      <c r="G37" s="7"/>
      <c r="H37" s="7"/>
      <c r="I37" s="7"/>
      <c r="K37" s="15"/>
      <c r="L37" s="7"/>
      <c r="M37" s="7"/>
      <c r="N37" s="99"/>
      <c r="O37" s="100"/>
      <c r="P37" s="101"/>
      <c r="Q37" s="101"/>
      <c r="R37" s="101"/>
      <c r="T37" s="24"/>
      <c r="U37" s="26"/>
      <c r="V37" s="26"/>
      <c r="W37" s="26"/>
      <c r="X37" s="24"/>
      <c r="Y37" s="26"/>
      <c r="Z37" s="24"/>
      <c r="AA37" s="26"/>
      <c r="AB37" s="24"/>
    </row>
    <row r="38" spans="1:38" x14ac:dyDescent="0.2">
      <c r="B38" s="7"/>
      <c r="C38" s="7"/>
      <c r="D38" s="7"/>
      <c r="E38" s="7"/>
      <c r="F38" s="7"/>
      <c r="G38" s="7"/>
      <c r="H38" s="7"/>
      <c r="I38" s="7"/>
      <c r="K38" s="15"/>
      <c r="L38" s="7"/>
      <c r="M38" s="7"/>
      <c r="N38" s="99"/>
      <c r="O38" s="100"/>
      <c r="P38" s="101"/>
      <c r="Q38" s="101"/>
      <c r="R38" s="101"/>
      <c r="T38" s="24"/>
      <c r="U38" s="26"/>
      <c r="V38" s="26"/>
      <c r="W38" s="26"/>
      <c r="X38" s="24"/>
      <c r="Y38" s="26"/>
      <c r="Z38" s="24"/>
      <c r="AA38" s="26"/>
      <c r="AB38" s="24"/>
    </row>
    <row r="39" spans="1:38" x14ac:dyDescent="0.2">
      <c r="B39" s="7"/>
      <c r="C39" s="7"/>
      <c r="D39" s="7"/>
      <c r="E39" s="7"/>
      <c r="F39" s="7"/>
      <c r="G39" s="7"/>
      <c r="H39" s="7"/>
      <c r="I39" s="7"/>
      <c r="K39" s="15"/>
      <c r="L39" s="7"/>
      <c r="M39" s="7"/>
      <c r="N39" s="99"/>
      <c r="O39" s="100"/>
      <c r="P39" s="101"/>
      <c r="Q39" s="101"/>
      <c r="R39" s="101"/>
      <c r="T39" s="24"/>
      <c r="U39" s="26"/>
      <c r="V39" s="26"/>
      <c r="W39" s="26"/>
      <c r="X39" s="24"/>
      <c r="Y39" s="26"/>
      <c r="Z39" s="24"/>
      <c r="AA39" s="26"/>
      <c r="AB39" s="24"/>
    </row>
    <row r="40" spans="1:38" x14ac:dyDescent="0.2">
      <c r="B40" s="7"/>
      <c r="C40" s="7"/>
      <c r="D40" s="7"/>
      <c r="E40" s="7"/>
      <c r="F40" s="7"/>
      <c r="G40" s="7"/>
      <c r="H40" s="7"/>
      <c r="I40" s="7"/>
      <c r="K40" s="15"/>
      <c r="L40" s="7"/>
      <c r="M40" s="7"/>
      <c r="N40" s="99"/>
      <c r="O40" s="100"/>
      <c r="P40" s="101"/>
      <c r="Q40" s="101"/>
      <c r="R40" s="101"/>
      <c r="T40" s="24"/>
      <c r="U40" s="26"/>
      <c r="V40" s="26"/>
      <c r="W40" s="26"/>
      <c r="X40" s="24"/>
      <c r="Y40" s="26"/>
      <c r="Z40" s="24"/>
      <c r="AA40" s="26"/>
      <c r="AB40" s="24"/>
    </row>
    <row r="41" spans="1:38" x14ac:dyDescent="0.2">
      <c r="B41" s="7"/>
      <c r="C41" s="7"/>
      <c r="D41" s="7"/>
      <c r="E41" s="7"/>
      <c r="F41" s="7"/>
      <c r="G41" s="7"/>
      <c r="H41" s="7"/>
      <c r="I41" s="7"/>
      <c r="K41" s="15"/>
      <c r="L41" s="7"/>
      <c r="M41" s="7"/>
    </row>
    <row r="42" spans="1:38" ht="19" customHeight="1" x14ac:dyDescent="0.25">
      <c r="B42" s="174" t="s">
        <v>55</v>
      </c>
      <c r="C42" s="175"/>
      <c r="D42" s="175"/>
      <c r="E42" s="175"/>
      <c r="F42" s="175"/>
      <c r="G42" s="175"/>
      <c r="H42" s="175"/>
      <c r="I42" s="175"/>
      <c r="J42" s="175"/>
      <c r="K42" s="175"/>
      <c r="L42" s="175"/>
      <c r="M42" s="175"/>
      <c r="N42" s="175"/>
      <c r="O42" s="176"/>
      <c r="P42" s="175"/>
      <c r="Q42" s="175"/>
      <c r="R42" s="175"/>
      <c r="S42" s="175"/>
      <c r="T42" s="50"/>
      <c r="U42" s="50"/>
      <c r="V42" s="50"/>
      <c r="W42" s="50"/>
      <c r="X42" s="50"/>
      <c r="Y42" s="50"/>
      <c r="Z42" s="50"/>
      <c r="AA42" s="50"/>
      <c r="AB42" s="50"/>
    </row>
    <row r="43" spans="1:38" ht="14.5" customHeight="1" x14ac:dyDescent="0.25">
      <c r="B43" s="174" t="s">
        <v>56</v>
      </c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5"/>
      <c r="N43" s="175"/>
      <c r="O43" s="176"/>
      <c r="P43" s="175"/>
      <c r="Q43" s="175"/>
      <c r="R43" s="175"/>
      <c r="S43" s="175"/>
      <c r="T43" s="50"/>
      <c r="U43" s="50"/>
      <c r="V43" s="50"/>
      <c r="W43" s="50"/>
      <c r="X43" s="50"/>
      <c r="Y43" s="50"/>
      <c r="Z43" s="50"/>
      <c r="AA43" s="50"/>
      <c r="AB43" s="50"/>
      <c r="AD43" s="54" t="s">
        <v>57</v>
      </c>
      <c r="AE43" s="54"/>
      <c r="AF43" s="54"/>
      <c r="AG43" s="54"/>
    </row>
    <row r="44" spans="1:38" ht="19" customHeight="1" x14ac:dyDescent="0.25"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2"/>
      <c r="P44" s="50"/>
      <c r="Q44" s="50"/>
      <c r="R44" s="50"/>
      <c r="T44" s="50"/>
      <c r="U44" s="50"/>
      <c r="V44" s="50"/>
      <c r="W44" s="50"/>
      <c r="X44" s="50"/>
      <c r="Y44" s="50"/>
      <c r="Z44" s="50"/>
      <c r="AA44" s="50"/>
      <c r="AB44" s="50"/>
      <c r="AD44" s="53"/>
      <c r="AE44" s="53"/>
      <c r="AF44" s="53"/>
      <c r="AG44" s="53"/>
    </row>
    <row r="45" spans="1:38" ht="19" customHeight="1" x14ac:dyDescent="0.25">
      <c r="B45" s="50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2"/>
      <c r="P45" s="50"/>
      <c r="Q45" s="50"/>
      <c r="R45" s="50"/>
      <c r="T45" s="50"/>
      <c r="U45" s="50"/>
      <c r="V45" s="50"/>
      <c r="W45" s="50"/>
      <c r="X45" s="50"/>
      <c r="Y45" s="50"/>
      <c r="Z45" s="50"/>
      <c r="AA45" s="50"/>
      <c r="AB45" s="50"/>
      <c r="AD45" s="50"/>
      <c r="AE45" s="54"/>
      <c r="AF45" s="54"/>
      <c r="AG45" s="50"/>
    </row>
    <row r="46" spans="1:38" ht="19" customHeight="1" x14ac:dyDescent="0.25"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2"/>
      <c r="P46" s="50"/>
      <c r="Q46" s="50"/>
      <c r="R46" s="50"/>
      <c r="T46" s="50"/>
      <c r="U46" s="50"/>
      <c r="V46" s="50"/>
      <c r="W46" s="50"/>
      <c r="X46" s="50"/>
      <c r="Y46" s="50"/>
      <c r="Z46" s="50"/>
      <c r="AA46" s="50"/>
      <c r="AB46" s="50"/>
      <c r="AD46" s="50"/>
      <c r="AE46" s="54"/>
      <c r="AF46" s="54"/>
      <c r="AG46" s="50"/>
    </row>
    <row r="47" spans="1:38" ht="19" customHeight="1" x14ac:dyDescent="0.25"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2"/>
      <c r="P47" s="50"/>
      <c r="Q47" s="50"/>
      <c r="R47" s="50"/>
      <c r="T47" s="52"/>
      <c r="U47" s="52"/>
      <c r="V47" s="50"/>
      <c r="W47" s="50"/>
      <c r="X47" s="50"/>
      <c r="Y47" s="50"/>
      <c r="Z47" s="50"/>
      <c r="AA47" s="50"/>
      <c r="AB47" s="50"/>
      <c r="AD47" s="50"/>
      <c r="AE47" s="54"/>
      <c r="AF47" s="54"/>
      <c r="AG47" s="50"/>
    </row>
    <row r="48" spans="1:38" ht="19" customHeight="1" x14ac:dyDescent="0.25">
      <c r="B48" s="199" t="s">
        <v>58</v>
      </c>
      <c r="C48" s="175"/>
      <c r="D48" s="175"/>
      <c r="E48" s="175"/>
      <c r="F48" s="175"/>
      <c r="G48" s="175"/>
      <c r="H48" s="175"/>
      <c r="I48" s="175"/>
      <c r="J48" s="175"/>
      <c r="K48" s="175"/>
      <c r="L48" s="175"/>
      <c r="M48" s="175"/>
      <c r="N48" s="175"/>
      <c r="O48" s="176"/>
      <c r="P48" s="175"/>
      <c r="Q48" s="175"/>
      <c r="R48" s="175"/>
      <c r="S48" s="175"/>
      <c r="T48" s="56"/>
      <c r="U48" s="56"/>
      <c r="V48" s="56"/>
      <c r="W48" s="56"/>
      <c r="X48" s="50"/>
      <c r="Y48" s="50"/>
      <c r="Z48" s="50"/>
      <c r="AA48" s="50"/>
      <c r="AB48" s="50"/>
      <c r="AD48" s="136" t="s">
        <v>59</v>
      </c>
      <c r="AE48" s="136"/>
      <c r="AF48" s="136"/>
      <c r="AG48" s="136"/>
    </row>
    <row r="49" spans="2:33" ht="19" customHeight="1" x14ac:dyDescent="0.25">
      <c r="B49" s="174" t="s">
        <v>60</v>
      </c>
      <c r="C49" s="175"/>
      <c r="D49" s="175"/>
      <c r="E49" s="175"/>
      <c r="F49" s="175"/>
      <c r="G49" s="175"/>
      <c r="H49" s="175"/>
      <c r="I49" s="175"/>
      <c r="J49" s="175"/>
      <c r="K49" s="175"/>
      <c r="L49" s="175"/>
      <c r="M49" s="175"/>
      <c r="N49" s="175"/>
      <c r="O49" s="176"/>
      <c r="P49" s="175"/>
      <c r="Q49" s="175"/>
      <c r="R49" s="175"/>
      <c r="S49" s="175"/>
      <c r="T49" s="56"/>
      <c r="U49" s="56"/>
      <c r="V49" s="56"/>
      <c r="W49" s="56"/>
      <c r="X49" s="50"/>
      <c r="Y49" s="50"/>
      <c r="Z49" s="50"/>
      <c r="AA49" s="50"/>
      <c r="AB49" s="50"/>
      <c r="AD49" s="54" t="s">
        <v>61</v>
      </c>
      <c r="AE49" s="54"/>
      <c r="AF49" s="54"/>
      <c r="AG49" s="54"/>
    </row>
    <row r="50" spans="2:33" x14ac:dyDescent="0.2">
      <c r="X50" s="7"/>
      <c r="Y50" s="7"/>
      <c r="Z50" s="7"/>
      <c r="AA50" s="7"/>
      <c r="AB50" s="7"/>
    </row>
    <row r="51" spans="2:33" x14ac:dyDescent="0.2">
      <c r="V51" s="7"/>
      <c r="W51" s="7"/>
      <c r="X51" s="7"/>
      <c r="Y51" s="7"/>
      <c r="Z51" s="7"/>
      <c r="AA51" s="7"/>
      <c r="AB51" s="7"/>
    </row>
    <row r="52" spans="2:33" x14ac:dyDescent="0.2">
      <c r="V52" s="7"/>
      <c r="W52" s="7"/>
      <c r="X52" s="7"/>
      <c r="Y52" s="7"/>
      <c r="Z52" s="7"/>
      <c r="AA52" s="7"/>
      <c r="AB52" s="7"/>
    </row>
    <row r="53" spans="2:33" x14ac:dyDescent="0.2">
      <c r="V53" s="7"/>
      <c r="W53" s="7"/>
      <c r="X53" s="7"/>
      <c r="Y53" s="7"/>
      <c r="Z53" s="7"/>
      <c r="AA53" s="7"/>
      <c r="AB53" s="7"/>
    </row>
    <row r="54" spans="2:33" x14ac:dyDescent="0.2">
      <c r="V54" s="7"/>
      <c r="W54" s="7"/>
      <c r="X54" s="7"/>
      <c r="Y54" s="7"/>
      <c r="Z54" s="7"/>
      <c r="AA54" s="7"/>
      <c r="AB54" s="7"/>
    </row>
    <row r="55" spans="2:33" x14ac:dyDescent="0.2">
      <c r="V55" s="7"/>
      <c r="W55" s="7"/>
      <c r="X55" s="7"/>
      <c r="Y55" s="7"/>
      <c r="Z55" s="7"/>
      <c r="AA55" s="7"/>
      <c r="AB55" s="7"/>
    </row>
    <row r="56" spans="2:33" x14ac:dyDescent="0.2">
      <c r="V56" s="7"/>
      <c r="W56" s="7"/>
      <c r="X56" s="7"/>
      <c r="Y56" s="7"/>
      <c r="Z56" s="7"/>
      <c r="AA56" s="7"/>
      <c r="AB56" s="7"/>
    </row>
    <row r="57" spans="2:33" x14ac:dyDescent="0.2">
      <c r="T57" s="20"/>
      <c r="V57" s="7"/>
      <c r="W57" s="7"/>
      <c r="X57" s="20"/>
      <c r="Y57" s="7"/>
      <c r="Z57" s="20"/>
      <c r="AA57" s="7"/>
      <c r="AB57" s="20"/>
    </row>
    <row r="58" spans="2:33" x14ac:dyDescent="0.2">
      <c r="T58" s="21"/>
      <c r="U58" s="21"/>
      <c r="V58" s="18"/>
      <c r="W58" s="18"/>
      <c r="X58" s="18"/>
      <c r="Y58" s="18"/>
      <c r="Z58" s="18"/>
      <c r="AA58" s="18"/>
      <c r="AB58" s="18"/>
    </row>
    <row r="59" spans="2:33" x14ac:dyDescent="0.2">
      <c r="T59" s="21"/>
      <c r="U59" s="21"/>
      <c r="V59" s="18"/>
      <c r="W59" s="18"/>
      <c r="X59" s="21"/>
      <c r="Y59" s="18"/>
      <c r="Z59" s="21"/>
      <c r="AA59" s="18"/>
      <c r="AB59" s="21"/>
    </row>
    <row r="60" spans="2:33" x14ac:dyDescent="0.2">
      <c r="T60" s="21"/>
      <c r="U60" s="22"/>
      <c r="V60" s="23"/>
      <c r="W60" s="23"/>
      <c r="X60" s="21"/>
      <c r="Y60" s="23"/>
      <c r="Z60" s="21"/>
      <c r="AA60" s="23"/>
      <c r="AB60" s="21"/>
    </row>
    <row r="61" spans="2:33" x14ac:dyDescent="0.2">
      <c r="T61" s="22"/>
      <c r="U61" s="22"/>
      <c r="V61" s="23"/>
      <c r="W61" s="23"/>
      <c r="X61" s="23"/>
      <c r="Y61" s="23"/>
      <c r="Z61" s="23"/>
      <c r="AA61" s="23"/>
      <c r="AB61" s="23"/>
    </row>
    <row r="62" spans="2:33" x14ac:dyDescent="0.2">
      <c r="T62" s="22"/>
      <c r="U62" s="22"/>
      <c r="V62" s="23"/>
      <c r="W62" s="23"/>
      <c r="X62" s="23"/>
      <c r="Y62" s="23"/>
      <c r="Z62" s="23"/>
      <c r="AA62" s="23"/>
      <c r="AB62" s="23"/>
    </row>
    <row r="63" spans="2:33" x14ac:dyDescent="0.2">
      <c r="V63" s="7"/>
      <c r="W63" s="7"/>
      <c r="X63" s="7"/>
      <c r="Y63" s="7"/>
      <c r="Z63" s="7"/>
      <c r="AA63" s="7"/>
      <c r="AB63" s="7"/>
    </row>
    <row r="64" spans="2:33" x14ac:dyDescent="0.2">
      <c r="V64" s="7"/>
      <c r="W64" s="7"/>
      <c r="X64" s="7"/>
      <c r="Y64" s="7"/>
      <c r="Z64" s="7"/>
      <c r="AA64" s="7"/>
      <c r="AB64" s="7"/>
    </row>
    <row r="65" spans="22:28" x14ac:dyDescent="0.2">
      <c r="V65" s="7"/>
      <c r="W65" s="7"/>
      <c r="X65" s="7"/>
      <c r="Y65" s="7"/>
      <c r="Z65" s="7"/>
      <c r="AA65" s="7"/>
      <c r="AB65" s="7"/>
    </row>
    <row r="66" spans="22:28" x14ac:dyDescent="0.2">
      <c r="V66" s="7"/>
      <c r="W66" s="7"/>
      <c r="X66" s="7"/>
      <c r="Y66" s="7"/>
      <c r="Z66" s="7"/>
      <c r="AA66" s="7"/>
      <c r="AB66" s="7"/>
    </row>
    <row r="67" spans="22:28" x14ac:dyDescent="0.2">
      <c r="V67" s="7"/>
      <c r="W67" s="7"/>
      <c r="X67" s="7"/>
      <c r="Y67" s="7"/>
      <c r="Z67" s="7"/>
      <c r="AA67" s="7"/>
      <c r="AB67" s="7"/>
    </row>
    <row r="68" spans="22:28" x14ac:dyDescent="0.2">
      <c r="V68" s="7"/>
      <c r="W68" s="7"/>
      <c r="X68" s="7"/>
      <c r="Y68" s="7"/>
      <c r="Z68" s="7"/>
      <c r="AA68" s="7"/>
      <c r="AB68" s="7"/>
    </row>
    <row r="69" spans="22:28" x14ac:dyDescent="0.2">
      <c r="V69" s="7"/>
      <c r="W69" s="7"/>
      <c r="X69" s="7"/>
      <c r="Y69" s="7"/>
      <c r="Z69" s="7"/>
      <c r="AA69" s="7"/>
      <c r="AB69" s="7"/>
    </row>
    <row r="70" spans="22:28" x14ac:dyDescent="0.2">
      <c r="V70" s="7"/>
      <c r="W70" s="7"/>
      <c r="X70" s="7"/>
      <c r="Y70" s="7"/>
      <c r="Z70" s="7"/>
      <c r="AA70" s="7"/>
      <c r="AB70" s="7"/>
    </row>
    <row r="71" spans="22:28" x14ac:dyDescent="0.2">
      <c r="V71" s="7"/>
      <c r="W71" s="7"/>
      <c r="X71" s="7"/>
      <c r="Y71" s="7"/>
      <c r="Z71" s="7"/>
      <c r="AA71" s="7"/>
      <c r="AB71" s="7"/>
    </row>
    <row r="72" spans="22:28" x14ac:dyDescent="0.2">
      <c r="V72" s="7"/>
      <c r="W72" s="7"/>
      <c r="X72" s="7"/>
      <c r="Y72" s="7"/>
      <c r="Z72" s="7"/>
      <c r="AA72" s="7"/>
      <c r="AB72" s="7"/>
    </row>
    <row r="73" spans="22:28" x14ac:dyDescent="0.2">
      <c r="V73" s="7"/>
      <c r="W73" s="7"/>
      <c r="X73" s="7"/>
      <c r="Y73" s="7"/>
      <c r="Z73" s="7"/>
      <c r="AA73" s="7"/>
      <c r="AB73" s="7"/>
    </row>
    <row r="74" spans="22:28" x14ac:dyDescent="0.2">
      <c r="V74" s="7"/>
      <c r="W74" s="7"/>
      <c r="X74" s="7"/>
      <c r="Y74" s="7"/>
      <c r="Z74" s="7"/>
      <c r="AA74" s="7"/>
      <c r="AB74" s="7"/>
    </row>
    <row r="75" spans="22:28" x14ac:dyDescent="0.2">
      <c r="V75" s="7"/>
      <c r="W75" s="7"/>
      <c r="X75" s="7"/>
      <c r="Y75" s="7"/>
      <c r="Z75" s="7"/>
      <c r="AA75" s="7"/>
      <c r="AB75" s="7"/>
    </row>
    <row r="76" spans="22:28" x14ac:dyDescent="0.2">
      <c r="V76" s="7"/>
      <c r="W76" s="7"/>
      <c r="X76" s="7"/>
      <c r="Y76" s="7"/>
      <c r="Z76" s="7"/>
      <c r="AA76" s="7"/>
      <c r="AB76" s="7"/>
    </row>
  </sheetData>
  <mergeCells count="44">
    <mergeCell ref="B49:S49"/>
    <mergeCell ref="Y6:Y7"/>
    <mergeCell ref="J5:M5"/>
    <mergeCell ref="AD5:AD7"/>
    <mergeCell ref="AK5:AL7"/>
    <mergeCell ref="AC6:AC7"/>
    <mergeCell ref="L6:L7"/>
    <mergeCell ref="C5:C7"/>
    <mergeCell ref="T6:T7"/>
    <mergeCell ref="E5:E7"/>
    <mergeCell ref="AH5:AH7"/>
    <mergeCell ref="F5:F7"/>
    <mergeCell ref="Z6:Z7"/>
    <mergeCell ref="AB6:AB7"/>
    <mergeCell ref="U6:W6"/>
    <mergeCell ref="N5:N7"/>
    <mergeCell ref="A1:AI1"/>
    <mergeCell ref="M6:M7"/>
    <mergeCell ref="AG5:AG7"/>
    <mergeCell ref="Q6:Q7"/>
    <mergeCell ref="H5:H7"/>
    <mergeCell ref="AI5:AI7"/>
    <mergeCell ref="A3:AI3"/>
    <mergeCell ref="A2:AI2"/>
    <mergeCell ref="S5:AC5"/>
    <mergeCell ref="K6:K7"/>
    <mergeCell ref="O6:O7"/>
    <mergeCell ref="A5:A7"/>
    <mergeCell ref="AJ5:AJ7"/>
    <mergeCell ref="G5:G7"/>
    <mergeCell ref="B5:B7"/>
    <mergeCell ref="X6:X7"/>
    <mergeCell ref="AE5:AE7"/>
    <mergeCell ref="R5:R7"/>
    <mergeCell ref="AF5:AF7"/>
    <mergeCell ref="I5:I7"/>
    <mergeCell ref="O5:Q5"/>
    <mergeCell ref="B48:S48"/>
    <mergeCell ref="D5:D7"/>
    <mergeCell ref="B42:S42"/>
    <mergeCell ref="J6:J7"/>
    <mergeCell ref="P6:P7"/>
    <mergeCell ref="AA6:AA7"/>
    <mergeCell ref="B43:S43"/>
  </mergeCells>
  <pageMargins left="0.25" right="0.25" top="0.75" bottom="0.75" header="0.3" footer="0.3"/>
  <pageSetup paperSize="14" scale="49" orientation="landscape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L65"/>
  <sheetViews>
    <sheetView topLeftCell="G4" zoomScale="75" zoomScaleNormal="75" workbookViewId="0">
      <selection activeCell="T8" sqref="T8"/>
    </sheetView>
  </sheetViews>
  <sheetFormatPr baseColWidth="10" defaultColWidth="8.83203125" defaultRowHeight="16" x14ac:dyDescent="0.2"/>
  <cols>
    <col min="1" max="1" width="4.5" style="3" customWidth="1"/>
    <col min="2" max="2" width="20.6640625" customWidth="1"/>
    <col min="3" max="3" width="19.83203125" customWidth="1"/>
    <col min="4" max="4" width="17" customWidth="1"/>
    <col min="5" max="5" width="18.33203125" customWidth="1"/>
    <col min="6" max="6" width="16.6640625" customWidth="1"/>
    <col min="7" max="7" width="8.16406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1" customWidth="1"/>
    <col min="20" max="20" width="12.6640625" customWidth="1"/>
    <col min="21" max="21" width="10.83203125" customWidth="1"/>
    <col min="22" max="22" width="10.5" customWidth="1"/>
    <col min="23" max="23" width="10.83203125" customWidth="1"/>
    <col min="24" max="24" width="12.1640625" customWidth="1"/>
    <col min="25" max="25" width="11" customWidth="1"/>
    <col min="26" max="26" width="11.6640625" customWidth="1"/>
    <col min="27" max="28" width="10.1640625" customWidth="1"/>
    <col min="29" max="29" width="15.5" customWidth="1"/>
    <col min="30" max="30" width="13.33203125" customWidth="1"/>
    <col min="31" max="31" width="13.6640625" customWidth="1"/>
    <col min="32" max="32" width="15.83203125" customWidth="1"/>
    <col min="33" max="33" width="12.83203125" customWidth="1"/>
    <col min="34" max="34" width="15" customWidth="1"/>
    <col min="35" max="35" width="13.33203125" customWidth="1"/>
    <col min="36" max="36" width="17.5" customWidth="1"/>
  </cols>
  <sheetData>
    <row r="1" spans="1:38" ht="28" customHeight="1" x14ac:dyDescent="0.2">
      <c r="A1" s="188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6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75"/>
      <c r="AE1" s="175"/>
      <c r="AF1" s="175"/>
      <c r="AG1" s="175"/>
      <c r="AH1" s="175"/>
      <c r="AI1" s="175"/>
      <c r="AJ1" s="32"/>
    </row>
    <row r="2" spans="1:38" ht="28" customHeight="1" x14ac:dyDescent="0.2">
      <c r="A2" s="188" t="s">
        <v>1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  <c r="L2" s="175"/>
      <c r="M2" s="175"/>
      <c r="N2" s="175"/>
      <c r="O2" s="176"/>
      <c r="P2" s="175"/>
      <c r="Q2" s="175"/>
      <c r="R2" s="175"/>
      <c r="S2" s="175"/>
      <c r="T2" s="175"/>
      <c r="U2" s="175"/>
      <c r="V2" s="175"/>
      <c r="W2" s="175"/>
      <c r="X2" s="175"/>
      <c r="Y2" s="175"/>
      <c r="Z2" s="175"/>
      <c r="AA2" s="175"/>
      <c r="AB2" s="175"/>
      <c r="AC2" s="175"/>
      <c r="AD2" s="175"/>
      <c r="AE2" s="175"/>
      <c r="AF2" s="175"/>
      <c r="AG2" s="175"/>
      <c r="AH2" s="175"/>
      <c r="AI2" s="175"/>
      <c r="AJ2" s="32"/>
    </row>
    <row r="3" spans="1:38" ht="28" customHeight="1" x14ac:dyDescent="0.2">
      <c r="A3" s="188" t="s">
        <v>79</v>
      </c>
      <c r="B3" s="175"/>
      <c r="C3" s="175"/>
      <c r="D3" s="175"/>
      <c r="E3" s="175"/>
      <c r="F3" s="175"/>
      <c r="G3" s="175"/>
      <c r="H3" s="175"/>
      <c r="I3" s="175"/>
      <c r="J3" s="175"/>
      <c r="K3" s="175"/>
      <c r="L3" s="175"/>
      <c r="M3" s="175"/>
      <c r="N3" s="175"/>
      <c r="O3" s="176"/>
      <c r="P3" s="175"/>
      <c r="Q3" s="175"/>
      <c r="R3" s="175"/>
      <c r="S3" s="175"/>
      <c r="T3" s="175"/>
      <c r="U3" s="175"/>
      <c r="V3" s="175"/>
      <c r="W3" s="175"/>
      <c r="X3" s="175"/>
      <c r="Y3" s="175"/>
      <c r="Z3" s="175"/>
      <c r="AA3" s="175"/>
      <c r="AB3" s="175"/>
      <c r="AC3" s="175"/>
      <c r="AD3" s="175"/>
      <c r="AE3" s="175"/>
      <c r="AF3" s="175"/>
      <c r="AG3" s="175"/>
      <c r="AH3" s="175"/>
      <c r="AI3" s="175"/>
    </row>
    <row r="4" spans="1:38" x14ac:dyDescent="0.2">
      <c r="D4" t="s">
        <v>3</v>
      </c>
      <c r="AI4" s="83"/>
      <c r="AJ4" s="83"/>
    </row>
    <row r="5" spans="1:38" s="84" customFormat="1" ht="16" customHeight="1" x14ac:dyDescent="0.2">
      <c r="A5" s="179" t="s">
        <v>4</v>
      </c>
      <c r="B5" s="179" t="s">
        <v>5</v>
      </c>
      <c r="C5" s="198" t="s">
        <v>6</v>
      </c>
      <c r="D5" s="177" t="s">
        <v>7</v>
      </c>
      <c r="E5" s="179" t="s">
        <v>8</v>
      </c>
      <c r="F5" s="201" t="s">
        <v>9</v>
      </c>
      <c r="G5" s="179" t="s">
        <v>10</v>
      </c>
      <c r="H5" s="179" t="s">
        <v>11</v>
      </c>
      <c r="I5" s="168" t="s">
        <v>12</v>
      </c>
      <c r="J5" s="168" t="s">
        <v>13</v>
      </c>
      <c r="K5" s="172"/>
      <c r="L5" s="172"/>
      <c r="M5" s="173"/>
      <c r="N5" s="178" t="s">
        <v>14</v>
      </c>
      <c r="O5" s="171" t="s">
        <v>15</v>
      </c>
      <c r="P5" s="172"/>
      <c r="Q5" s="173"/>
      <c r="R5" s="187" t="s">
        <v>16</v>
      </c>
      <c r="S5" s="204"/>
      <c r="T5" s="172"/>
      <c r="U5" s="172"/>
      <c r="V5" s="172"/>
      <c r="W5" s="172"/>
      <c r="X5" s="172"/>
      <c r="Y5" s="172"/>
      <c r="Z5" s="172"/>
      <c r="AA5" s="172"/>
      <c r="AB5" s="172"/>
      <c r="AC5" s="173"/>
      <c r="AD5" s="186" t="s">
        <v>17</v>
      </c>
      <c r="AE5" s="186" t="s">
        <v>18</v>
      </c>
      <c r="AF5" s="165" t="s">
        <v>19</v>
      </c>
      <c r="AG5" s="190" t="s">
        <v>20</v>
      </c>
      <c r="AH5" s="190" t="s">
        <v>21</v>
      </c>
      <c r="AI5" s="190" t="s">
        <v>22</v>
      </c>
      <c r="AJ5" s="181" t="s">
        <v>23</v>
      </c>
      <c r="AK5" s="192" t="s">
        <v>24</v>
      </c>
      <c r="AL5" s="193"/>
    </row>
    <row r="6" spans="1:38" s="84" customFormat="1" ht="14.5" customHeight="1" x14ac:dyDescent="0.2">
      <c r="A6" s="169"/>
      <c r="B6" s="169"/>
      <c r="C6" s="169"/>
      <c r="D6" s="169"/>
      <c r="E6" s="169"/>
      <c r="F6" s="169"/>
      <c r="G6" s="169"/>
      <c r="H6" s="169"/>
      <c r="I6" s="169"/>
      <c r="J6" s="178" t="s">
        <v>25</v>
      </c>
      <c r="K6" s="178" t="s">
        <v>26</v>
      </c>
      <c r="L6" s="178" t="s">
        <v>27</v>
      </c>
      <c r="M6" s="178" t="s">
        <v>28</v>
      </c>
      <c r="N6" s="169"/>
      <c r="O6" s="184" t="s">
        <v>29</v>
      </c>
      <c r="P6" s="184" t="s">
        <v>30</v>
      </c>
      <c r="Q6" s="184" t="s">
        <v>31</v>
      </c>
      <c r="R6" s="169"/>
      <c r="S6" s="137"/>
      <c r="T6" s="200" t="s">
        <v>32</v>
      </c>
      <c r="U6" s="203" t="s">
        <v>26</v>
      </c>
      <c r="V6" s="172"/>
      <c r="W6" s="173"/>
      <c r="X6" s="185" t="s">
        <v>33</v>
      </c>
      <c r="Y6" s="191" t="s">
        <v>27</v>
      </c>
      <c r="Z6" s="191" t="s">
        <v>34</v>
      </c>
      <c r="AA6" s="180" t="s">
        <v>28</v>
      </c>
      <c r="AB6" s="180" t="s">
        <v>35</v>
      </c>
      <c r="AC6" s="202" t="s">
        <v>36</v>
      </c>
      <c r="AD6" s="166"/>
      <c r="AE6" s="166"/>
      <c r="AF6" s="166"/>
      <c r="AG6" s="166"/>
      <c r="AH6" s="166"/>
      <c r="AI6" s="166"/>
      <c r="AJ6" s="182"/>
      <c r="AK6" s="194"/>
      <c r="AL6" s="195"/>
    </row>
    <row r="7" spans="1:38" s="84" customFormat="1" ht="34" customHeight="1" x14ac:dyDescent="0.2">
      <c r="A7" s="170"/>
      <c r="B7" s="170"/>
      <c r="C7" s="169"/>
      <c r="D7" s="169"/>
      <c r="E7" s="170"/>
      <c r="F7" s="170"/>
      <c r="G7" s="170"/>
      <c r="H7" s="170"/>
      <c r="I7" s="170"/>
      <c r="J7" s="169"/>
      <c r="K7" s="169"/>
      <c r="L7" s="169"/>
      <c r="M7" s="169"/>
      <c r="N7" s="169"/>
      <c r="O7" s="169"/>
      <c r="P7" s="169"/>
      <c r="Q7" s="169"/>
      <c r="R7" s="170"/>
      <c r="S7" s="57" t="s">
        <v>37</v>
      </c>
      <c r="T7" s="170"/>
      <c r="U7" s="58" t="s">
        <v>38</v>
      </c>
      <c r="V7" s="58" t="s">
        <v>39</v>
      </c>
      <c r="W7" s="58" t="s">
        <v>40</v>
      </c>
      <c r="X7" s="170"/>
      <c r="Y7" s="170"/>
      <c r="Z7" s="170"/>
      <c r="AA7" s="170"/>
      <c r="AB7" s="170"/>
      <c r="AC7" s="170"/>
      <c r="AD7" s="167"/>
      <c r="AE7" s="167"/>
      <c r="AF7" s="167"/>
      <c r="AG7" s="167"/>
      <c r="AH7" s="167"/>
      <c r="AI7" s="167"/>
      <c r="AJ7" s="183"/>
      <c r="AK7" s="196"/>
      <c r="AL7" s="197"/>
    </row>
    <row r="8" spans="1:38" s="84" customFormat="1" ht="45" customHeight="1" x14ac:dyDescent="0.2">
      <c r="A8" s="124" t="s">
        <v>41</v>
      </c>
      <c r="B8" s="60"/>
      <c r="C8" s="76"/>
      <c r="D8" s="77"/>
      <c r="E8" s="77"/>
      <c r="F8" s="78"/>
      <c r="G8" s="78"/>
      <c r="H8" s="79"/>
      <c r="I8" s="64"/>
      <c r="J8" s="65"/>
      <c r="K8" s="66"/>
      <c r="L8" s="67"/>
      <c r="M8" s="67"/>
      <c r="N8" s="68">
        <f t="shared" ref="N8:N24" si="0">ROUND(I8*(SUM(J8:M8)),0)</f>
        <v>0</v>
      </c>
      <c r="O8" s="69"/>
      <c r="P8" s="70"/>
      <c r="Q8" s="70"/>
      <c r="R8" s="71"/>
      <c r="S8" s="68">
        <f t="shared" ref="S8:S24" si="1">I8*J8</f>
        <v>0</v>
      </c>
      <c r="T8" s="68">
        <f t="shared" ref="T8:T24" si="2">SUM(S8:S8)</f>
        <v>0</v>
      </c>
      <c r="U8" s="68">
        <f t="shared" ref="U8:U24" si="3">I8*K8*40%*O8</f>
        <v>0</v>
      </c>
      <c r="V8" s="68">
        <f t="shared" ref="V8:V24" si="4">IF(P8&gt;=6750,(I8*K8*40%),0)</f>
        <v>0</v>
      </c>
      <c r="W8" s="68">
        <f t="shared" ref="W8:W24" si="5">IF(P8&lt;6750,0,IF(Q8="",0,IF(OR(Q8="KURANG",Q8="SANGAT KURANG"),I8*K8*10%,I8*K8*20%)))</f>
        <v>0</v>
      </c>
      <c r="X8" s="68">
        <f t="shared" ref="X8:X24" si="6">SUM(U8:W8)</f>
        <v>0</v>
      </c>
      <c r="Y8" s="68">
        <f t="shared" ref="Y8:Y24" si="7">I8*L8</f>
        <v>0</v>
      </c>
      <c r="Z8" s="68">
        <f t="shared" ref="Z8:Z24" si="8">Y8</f>
        <v>0</v>
      </c>
      <c r="AA8" s="68">
        <f t="shared" ref="AA8:AA24" si="9">I8*M8</f>
        <v>0</v>
      </c>
      <c r="AB8" s="68">
        <f t="shared" ref="AB8:AB24" si="10">AA8</f>
        <v>0</v>
      </c>
      <c r="AC8" s="72">
        <f t="shared" ref="AC8:AC24" si="11">ROUND((T8+X8+Z8+AB8),0)</f>
        <v>0</v>
      </c>
      <c r="AD8" s="140">
        <f t="shared" ref="AD8:AD24" si="12">AG8</f>
        <v>0</v>
      </c>
      <c r="AE8" s="140">
        <f t="shared" ref="AE8:AE24" si="13">AI8</f>
        <v>0</v>
      </c>
      <c r="AF8" s="140">
        <f t="shared" ref="AF8:AF24" si="14">AC8+AD8+AE8</f>
        <v>0</v>
      </c>
      <c r="AG8" s="140"/>
      <c r="AH8" s="141"/>
      <c r="AI8" s="141">
        <f t="shared" ref="AI8:AI24" si="15">AH8*4</f>
        <v>0</v>
      </c>
      <c r="AJ8" s="146">
        <f t="shared" ref="AJ8:AJ24" si="16">AF8-AG8-AH8-AI8</f>
        <v>0</v>
      </c>
      <c r="AK8" s="147">
        <v>1</v>
      </c>
      <c r="AL8" s="148"/>
    </row>
    <row r="9" spans="1:38" s="84" customFormat="1" ht="45" customHeight="1" x14ac:dyDescent="0.2">
      <c r="A9" s="124" t="s">
        <v>42</v>
      </c>
      <c r="B9" s="60"/>
      <c r="C9" s="76"/>
      <c r="D9" s="77"/>
      <c r="E9" s="77"/>
      <c r="F9" s="78"/>
      <c r="G9" s="78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si="1"/>
        <v>0</v>
      </c>
      <c r="T9" s="68">
        <f t="shared" si="2"/>
        <v>0</v>
      </c>
      <c r="U9" s="68">
        <f t="shared" si="3"/>
        <v>0</v>
      </c>
      <c r="V9" s="68">
        <f t="shared" si="4"/>
        <v>0</v>
      </c>
      <c r="W9" s="68">
        <f t="shared" si="5"/>
        <v>0</v>
      </c>
      <c r="X9" s="68">
        <f t="shared" si="6"/>
        <v>0</v>
      </c>
      <c r="Y9" s="68">
        <f t="shared" si="7"/>
        <v>0</v>
      </c>
      <c r="Z9" s="68">
        <f t="shared" si="8"/>
        <v>0</v>
      </c>
      <c r="AA9" s="68">
        <f t="shared" si="9"/>
        <v>0</v>
      </c>
      <c r="AB9" s="68">
        <f t="shared" si="10"/>
        <v>0</v>
      </c>
      <c r="AC9" s="72">
        <f t="shared" si="11"/>
        <v>0</v>
      </c>
      <c r="AD9" s="140">
        <f t="shared" si="12"/>
        <v>0</v>
      </c>
      <c r="AE9" s="140">
        <f t="shared" si="13"/>
        <v>0</v>
      </c>
      <c r="AF9" s="140">
        <f t="shared" si="14"/>
        <v>0</v>
      </c>
      <c r="AG9" s="140"/>
      <c r="AH9" s="141"/>
      <c r="AI9" s="141">
        <f t="shared" si="15"/>
        <v>0</v>
      </c>
      <c r="AJ9" s="146">
        <f t="shared" si="16"/>
        <v>0</v>
      </c>
      <c r="AK9" s="147">
        <v>2</v>
      </c>
      <c r="AL9" s="148"/>
    </row>
    <row r="10" spans="1:38" s="84" customFormat="1" ht="45" customHeight="1" x14ac:dyDescent="0.2">
      <c r="A10" s="124" t="s">
        <v>43</v>
      </c>
      <c r="B10" s="60"/>
      <c r="C10" s="76"/>
      <c r="D10" s="77"/>
      <c r="E10" s="77"/>
      <c r="F10" s="78"/>
      <c r="G10" s="78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1"/>
        <v>0</v>
      </c>
      <c r="T10" s="68">
        <f t="shared" si="2"/>
        <v>0</v>
      </c>
      <c r="U10" s="68">
        <f t="shared" si="3"/>
        <v>0</v>
      </c>
      <c r="V10" s="68">
        <f t="shared" si="4"/>
        <v>0</v>
      </c>
      <c r="W10" s="68">
        <f t="shared" si="5"/>
        <v>0</v>
      </c>
      <c r="X10" s="68">
        <f t="shared" si="6"/>
        <v>0</v>
      </c>
      <c r="Y10" s="68">
        <f t="shared" si="7"/>
        <v>0</v>
      </c>
      <c r="Z10" s="68">
        <f t="shared" si="8"/>
        <v>0</v>
      </c>
      <c r="AA10" s="68">
        <f t="shared" si="9"/>
        <v>0</v>
      </c>
      <c r="AB10" s="68">
        <f t="shared" si="10"/>
        <v>0</v>
      </c>
      <c r="AC10" s="72">
        <f t="shared" si="11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s="84" customFormat="1" ht="45" customHeight="1" x14ac:dyDescent="0.2">
      <c r="A11" s="124" t="s">
        <v>44</v>
      </c>
      <c r="B11" s="60"/>
      <c r="C11" s="76"/>
      <c r="D11" s="77"/>
      <c r="E11" s="77"/>
      <c r="F11" s="78"/>
      <c r="G11" s="62"/>
      <c r="H11" s="63"/>
      <c r="I11" s="64"/>
      <c r="J11" s="65"/>
      <c r="K11" s="66"/>
      <c r="L11" s="104"/>
      <c r="M11" s="67"/>
      <c r="N11" s="68">
        <f t="shared" si="0"/>
        <v>0</v>
      </c>
      <c r="O11" s="69"/>
      <c r="P11" s="70"/>
      <c r="Q11" s="70"/>
      <c r="R11" s="71"/>
      <c r="S11" s="68">
        <f t="shared" si="1"/>
        <v>0</v>
      </c>
      <c r="T11" s="68">
        <f t="shared" si="2"/>
        <v>0</v>
      </c>
      <c r="U11" s="68">
        <f t="shared" si="3"/>
        <v>0</v>
      </c>
      <c r="V11" s="68">
        <f t="shared" si="4"/>
        <v>0</v>
      </c>
      <c r="W11" s="68">
        <f t="shared" si="5"/>
        <v>0</v>
      </c>
      <c r="X11" s="68">
        <f t="shared" si="6"/>
        <v>0</v>
      </c>
      <c r="Y11" s="68">
        <f t="shared" si="7"/>
        <v>0</v>
      </c>
      <c r="Z11" s="68">
        <f t="shared" si="8"/>
        <v>0</v>
      </c>
      <c r="AA11" s="68">
        <f t="shared" si="9"/>
        <v>0</v>
      </c>
      <c r="AB11" s="68">
        <f t="shared" si="10"/>
        <v>0</v>
      </c>
      <c r="AC11" s="72">
        <f t="shared" si="11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s="84" customFormat="1" ht="45" customHeight="1" x14ac:dyDescent="0.2">
      <c r="A12" s="124" t="s">
        <v>45</v>
      </c>
      <c r="B12" s="60"/>
      <c r="C12" s="76"/>
      <c r="D12" s="77"/>
      <c r="E12" s="77"/>
      <c r="F12" s="78"/>
      <c r="G12" s="78"/>
      <c r="H12" s="103"/>
      <c r="I12" s="64"/>
      <c r="J12" s="65"/>
      <c r="K12" s="66"/>
      <c r="L12" s="104"/>
      <c r="M12" s="67"/>
      <c r="N12" s="68">
        <f t="shared" si="0"/>
        <v>0</v>
      </c>
      <c r="O12" s="69"/>
      <c r="P12" s="70"/>
      <c r="Q12" s="70"/>
      <c r="R12" s="71"/>
      <c r="S12" s="68">
        <f t="shared" si="1"/>
        <v>0</v>
      </c>
      <c r="T12" s="68">
        <f t="shared" si="2"/>
        <v>0</v>
      </c>
      <c r="U12" s="68">
        <f t="shared" si="3"/>
        <v>0</v>
      </c>
      <c r="V12" s="68">
        <f t="shared" si="4"/>
        <v>0</v>
      </c>
      <c r="W12" s="68">
        <f t="shared" si="5"/>
        <v>0</v>
      </c>
      <c r="X12" s="68">
        <f t="shared" si="6"/>
        <v>0</v>
      </c>
      <c r="Y12" s="68">
        <f t="shared" si="7"/>
        <v>0</v>
      </c>
      <c r="Z12" s="68">
        <f t="shared" si="8"/>
        <v>0</v>
      </c>
      <c r="AA12" s="68">
        <f t="shared" si="9"/>
        <v>0</v>
      </c>
      <c r="AB12" s="68">
        <f t="shared" si="10"/>
        <v>0</v>
      </c>
      <c r="AC12" s="72">
        <f t="shared" si="11"/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s="84" customFormat="1" ht="45" customHeight="1" x14ac:dyDescent="0.2">
      <c r="A13" s="124" t="s">
        <v>46</v>
      </c>
      <c r="B13" s="60"/>
      <c r="C13" s="76"/>
      <c r="D13" s="77"/>
      <c r="E13" s="77"/>
      <c r="F13" s="78"/>
      <c r="G13" s="62"/>
      <c r="H13" s="63"/>
      <c r="I13" s="64"/>
      <c r="J13" s="65"/>
      <c r="K13" s="66"/>
      <c r="L13" s="104"/>
      <c r="M13" s="67"/>
      <c r="N13" s="68">
        <f t="shared" si="0"/>
        <v>0</v>
      </c>
      <c r="O13" s="69"/>
      <c r="P13" s="70"/>
      <c r="Q13" s="70"/>
      <c r="R13" s="71"/>
      <c r="S13" s="68">
        <f t="shared" si="1"/>
        <v>0</v>
      </c>
      <c r="T13" s="68">
        <f t="shared" si="2"/>
        <v>0</v>
      </c>
      <c r="U13" s="68">
        <f t="shared" si="3"/>
        <v>0</v>
      </c>
      <c r="V13" s="68">
        <f t="shared" si="4"/>
        <v>0</v>
      </c>
      <c r="W13" s="68">
        <f t="shared" si="5"/>
        <v>0</v>
      </c>
      <c r="X13" s="68">
        <f t="shared" si="6"/>
        <v>0</v>
      </c>
      <c r="Y13" s="68">
        <f t="shared" si="7"/>
        <v>0</v>
      </c>
      <c r="Z13" s="68">
        <f t="shared" si="8"/>
        <v>0</v>
      </c>
      <c r="AA13" s="68">
        <f t="shared" si="9"/>
        <v>0</v>
      </c>
      <c r="AB13" s="68">
        <f t="shared" si="10"/>
        <v>0</v>
      </c>
      <c r="AC13" s="72">
        <f t="shared" si="11"/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s="84" customFormat="1" ht="45" customHeight="1" x14ac:dyDescent="0.2">
      <c r="A14" s="124" t="s">
        <v>47</v>
      </c>
      <c r="B14" s="60"/>
      <c r="C14" s="76"/>
      <c r="D14" s="77"/>
      <c r="E14" s="77"/>
      <c r="F14" s="78"/>
      <c r="G14" s="62"/>
      <c r="H14" s="63"/>
      <c r="I14" s="64"/>
      <c r="J14" s="65"/>
      <c r="K14" s="66"/>
      <c r="L14" s="104"/>
      <c r="M14" s="67"/>
      <c r="N14" s="68">
        <f t="shared" si="0"/>
        <v>0</v>
      </c>
      <c r="O14" s="69"/>
      <c r="P14" s="70"/>
      <c r="Q14" s="70"/>
      <c r="R14" s="71"/>
      <c r="S14" s="68">
        <f t="shared" si="1"/>
        <v>0</v>
      </c>
      <c r="T14" s="68">
        <f t="shared" si="2"/>
        <v>0</v>
      </c>
      <c r="U14" s="68">
        <f t="shared" si="3"/>
        <v>0</v>
      </c>
      <c r="V14" s="68">
        <f t="shared" si="4"/>
        <v>0</v>
      </c>
      <c r="W14" s="68">
        <f t="shared" si="5"/>
        <v>0</v>
      </c>
      <c r="X14" s="68">
        <f t="shared" si="6"/>
        <v>0</v>
      </c>
      <c r="Y14" s="68">
        <f t="shared" si="7"/>
        <v>0</v>
      </c>
      <c r="Z14" s="68">
        <f t="shared" si="8"/>
        <v>0</v>
      </c>
      <c r="AA14" s="68">
        <f t="shared" si="9"/>
        <v>0</v>
      </c>
      <c r="AB14" s="68">
        <f t="shared" si="10"/>
        <v>0</v>
      </c>
      <c r="AC14" s="72">
        <f t="shared" si="11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s="84" customFormat="1" ht="45" customHeight="1" x14ac:dyDescent="0.2">
      <c r="A15" s="124" t="s">
        <v>48</v>
      </c>
      <c r="B15" s="60"/>
      <c r="C15" s="76"/>
      <c r="D15" s="77"/>
      <c r="E15" s="77"/>
      <c r="F15" s="78"/>
      <c r="G15" s="62"/>
      <c r="H15" s="63"/>
      <c r="I15" s="64"/>
      <c r="J15" s="65"/>
      <c r="K15" s="66"/>
      <c r="L15" s="104"/>
      <c r="M15" s="67"/>
      <c r="N15" s="68">
        <f t="shared" si="0"/>
        <v>0</v>
      </c>
      <c r="O15" s="69"/>
      <c r="P15" s="70"/>
      <c r="Q15" s="70"/>
      <c r="R15" s="71"/>
      <c r="S15" s="68">
        <f t="shared" si="1"/>
        <v>0</v>
      </c>
      <c r="T15" s="68">
        <f t="shared" si="2"/>
        <v>0</v>
      </c>
      <c r="U15" s="68">
        <f t="shared" si="3"/>
        <v>0</v>
      </c>
      <c r="V15" s="68">
        <f t="shared" si="4"/>
        <v>0</v>
      </c>
      <c r="W15" s="68">
        <f t="shared" si="5"/>
        <v>0</v>
      </c>
      <c r="X15" s="68">
        <f t="shared" si="6"/>
        <v>0</v>
      </c>
      <c r="Y15" s="68">
        <f t="shared" si="7"/>
        <v>0</v>
      </c>
      <c r="Z15" s="68">
        <f t="shared" si="8"/>
        <v>0</v>
      </c>
      <c r="AA15" s="68">
        <f t="shared" si="9"/>
        <v>0</v>
      </c>
      <c r="AB15" s="68">
        <f t="shared" si="10"/>
        <v>0</v>
      </c>
      <c r="AC15" s="72">
        <f t="shared" si="11"/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s="84" customFormat="1" ht="45" customHeight="1" x14ac:dyDescent="0.2">
      <c r="A16" s="124" t="s">
        <v>49</v>
      </c>
      <c r="B16" s="60"/>
      <c r="C16" s="76"/>
      <c r="D16" s="77"/>
      <c r="E16" s="77"/>
      <c r="F16" s="78"/>
      <c r="G16" s="62"/>
      <c r="H16" s="63"/>
      <c r="I16" s="64"/>
      <c r="J16" s="65"/>
      <c r="K16" s="66"/>
      <c r="L16" s="104"/>
      <c r="M16" s="67"/>
      <c r="N16" s="68">
        <f t="shared" si="0"/>
        <v>0</v>
      </c>
      <c r="O16" s="69"/>
      <c r="P16" s="70"/>
      <c r="Q16" s="70"/>
      <c r="R16" s="71"/>
      <c r="S16" s="68">
        <f t="shared" si="1"/>
        <v>0</v>
      </c>
      <c r="T16" s="68">
        <f t="shared" si="2"/>
        <v>0</v>
      </c>
      <c r="U16" s="68">
        <f t="shared" si="3"/>
        <v>0</v>
      </c>
      <c r="V16" s="68">
        <f t="shared" si="4"/>
        <v>0</v>
      </c>
      <c r="W16" s="68">
        <f t="shared" si="5"/>
        <v>0</v>
      </c>
      <c r="X16" s="68">
        <f t="shared" si="6"/>
        <v>0</v>
      </c>
      <c r="Y16" s="68">
        <f t="shared" si="7"/>
        <v>0</v>
      </c>
      <c r="Z16" s="68">
        <f t="shared" si="8"/>
        <v>0</v>
      </c>
      <c r="AA16" s="68">
        <f t="shared" si="9"/>
        <v>0</v>
      </c>
      <c r="AB16" s="68">
        <f t="shared" si="10"/>
        <v>0</v>
      </c>
      <c r="AC16" s="72">
        <f t="shared" si="11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s="84" customFormat="1" ht="45" customHeight="1" x14ac:dyDescent="0.2">
      <c r="A17" s="124" t="s">
        <v>50</v>
      </c>
      <c r="B17" s="60"/>
      <c r="C17" s="76"/>
      <c r="D17" s="77"/>
      <c r="E17" s="77"/>
      <c r="F17" s="78"/>
      <c r="G17" s="78"/>
      <c r="H17" s="79"/>
      <c r="I17" s="64"/>
      <c r="J17" s="65"/>
      <c r="K17" s="66"/>
      <c r="L17" s="104"/>
      <c r="M17" s="67"/>
      <c r="N17" s="68">
        <f t="shared" si="0"/>
        <v>0</v>
      </c>
      <c r="O17" s="69"/>
      <c r="P17" s="70"/>
      <c r="Q17" s="70"/>
      <c r="R17" s="71"/>
      <c r="S17" s="68">
        <f t="shared" si="1"/>
        <v>0</v>
      </c>
      <c r="T17" s="68">
        <f t="shared" si="2"/>
        <v>0</v>
      </c>
      <c r="U17" s="68">
        <f t="shared" si="3"/>
        <v>0</v>
      </c>
      <c r="V17" s="68">
        <f t="shared" si="4"/>
        <v>0</v>
      </c>
      <c r="W17" s="68">
        <f t="shared" si="5"/>
        <v>0</v>
      </c>
      <c r="X17" s="68">
        <f t="shared" si="6"/>
        <v>0</v>
      </c>
      <c r="Y17" s="68">
        <f t="shared" si="7"/>
        <v>0</v>
      </c>
      <c r="Z17" s="68">
        <f t="shared" si="8"/>
        <v>0</v>
      </c>
      <c r="AA17" s="68">
        <f t="shared" si="9"/>
        <v>0</v>
      </c>
      <c r="AB17" s="68">
        <f t="shared" si="10"/>
        <v>0</v>
      </c>
      <c r="AC17" s="72">
        <f t="shared" si="11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s="84" customFormat="1" ht="45" customHeight="1" x14ac:dyDescent="0.2">
      <c r="A18" s="124" t="s">
        <v>51</v>
      </c>
      <c r="B18" s="60"/>
      <c r="C18" s="76"/>
      <c r="D18" s="77"/>
      <c r="E18" s="77"/>
      <c r="F18" s="78"/>
      <c r="G18" s="78"/>
      <c r="H18" s="103"/>
      <c r="I18" s="64"/>
      <c r="J18" s="65"/>
      <c r="K18" s="66"/>
      <c r="L18" s="104"/>
      <c r="M18" s="67"/>
      <c r="N18" s="68">
        <f t="shared" si="0"/>
        <v>0</v>
      </c>
      <c r="O18" s="69"/>
      <c r="P18" s="70"/>
      <c r="Q18" s="70"/>
      <c r="R18" s="71"/>
      <c r="S18" s="68">
        <f t="shared" si="1"/>
        <v>0</v>
      </c>
      <c r="T18" s="68">
        <f t="shared" si="2"/>
        <v>0</v>
      </c>
      <c r="U18" s="68">
        <f t="shared" si="3"/>
        <v>0</v>
      </c>
      <c r="V18" s="68">
        <f t="shared" si="4"/>
        <v>0</v>
      </c>
      <c r="W18" s="68">
        <f t="shared" si="5"/>
        <v>0</v>
      </c>
      <c r="X18" s="68">
        <f t="shared" si="6"/>
        <v>0</v>
      </c>
      <c r="Y18" s="68">
        <f t="shared" si="7"/>
        <v>0</v>
      </c>
      <c r="Z18" s="68">
        <f t="shared" si="8"/>
        <v>0</v>
      </c>
      <c r="AA18" s="68">
        <f t="shared" si="9"/>
        <v>0</v>
      </c>
      <c r="AB18" s="68">
        <f t="shared" si="10"/>
        <v>0</v>
      </c>
      <c r="AC18" s="72">
        <f t="shared" si="11"/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s="84" customFormat="1" ht="45" customHeight="1" x14ac:dyDescent="0.2">
      <c r="A19" s="124" t="s">
        <v>52</v>
      </c>
      <c r="B19" s="60"/>
      <c r="C19" s="76"/>
      <c r="D19" s="77"/>
      <c r="E19" s="77"/>
      <c r="F19" s="78"/>
      <c r="G19" s="62"/>
      <c r="H19" s="63"/>
      <c r="I19" s="64"/>
      <c r="J19" s="65"/>
      <c r="K19" s="66"/>
      <c r="L19" s="104"/>
      <c r="M19" s="67"/>
      <c r="N19" s="68">
        <f t="shared" si="0"/>
        <v>0</v>
      </c>
      <c r="O19" s="69"/>
      <c r="P19" s="70"/>
      <c r="Q19" s="70"/>
      <c r="R19" s="71"/>
      <c r="S19" s="68">
        <f t="shared" si="1"/>
        <v>0</v>
      </c>
      <c r="T19" s="68">
        <f t="shared" si="2"/>
        <v>0</v>
      </c>
      <c r="U19" s="68">
        <f t="shared" si="3"/>
        <v>0</v>
      </c>
      <c r="V19" s="68">
        <f t="shared" si="4"/>
        <v>0</v>
      </c>
      <c r="W19" s="68">
        <f t="shared" si="5"/>
        <v>0</v>
      </c>
      <c r="X19" s="68">
        <f t="shared" si="6"/>
        <v>0</v>
      </c>
      <c r="Y19" s="68">
        <f t="shared" si="7"/>
        <v>0</v>
      </c>
      <c r="Z19" s="68">
        <f t="shared" si="8"/>
        <v>0</v>
      </c>
      <c r="AA19" s="68">
        <f t="shared" si="9"/>
        <v>0</v>
      </c>
      <c r="AB19" s="68">
        <f t="shared" si="10"/>
        <v>0</v>
      </c>
      <c r="AC19" s="72">
        <f t="shared" si="11"/>
        <v>0</v>
      </c>
      <c r="AD19" s="140">
        <f t="shared" si="12"/>
        <v>0</v>
      </c>
      <c r="AE19" s="140">
        <f t="shared" si="13"/>
        <v>0</v>
      </c>
      <c r="AF19" s="140">
        <f t="shared" si="14"/>
        <v>0</v>
      </c>
      <c r="AG19" s="140"/>
      <c r="AH19" s="141"/>
      <c r="AI19" s="141">
        <f t="shared" si="15"/>
        <v>0</v>
      </c>
      <c r="AJ19" s="146">
        <f t="shared" si="16"/>
        <v>0</v>
      </c>
      <c r="AK19" s="147">
        <v>12</v>
      </c>
      <c r="AL19" s="148"/>
    </row>
    <row r="20" spans="1:38" s="84" customFormat="1" ht="45" customHeight="1" x14ac:dyDescent="0.2">
      <c r="A20" s="124" t="s">
        <v>53</v>
      </c>
      <c r="B20" s="60"/>
      <c r="C20" s="76"/>
      <c r="D20" s="77"/>
      <c r="E20" s="77"/>
      <c r="F20" s="78"/>
      <c r="G20" s="62"/>
      <c r="H20" s="63"/>
      <c r="I20" s="64"/>
      <c r="J20" s="65"/>
      <c r="K20" s="66"/>
      <c r="L20" s="104"/>
      <c r="M20" s="67"/>
      <c r="N20" s="68">
        <f t="shared" si="0"/>
        <v>0</v>
      </c>
      <c r="O20" s="69"/>
      <c r="P20" s="70"/>
      <c r="Q20" s="70"/>
      <c r="R20" s="71"/>
      <c r="S20" s="68">
        <f t="shared" si="1"/>
        <v>0</v>
      </c>
      <c r="T20" s="68">
        <f t="shared" si="2"/>
        <v>0</v>
      </c>
      <c r="U20" s="68">
        <f t="shared" si="3"/>
        <v>0</v>
      </c>
      <c r="V20" s="68">
        <f t="shared" si="4"/>
        <v>0</v>
      </c>
      <c r="W20" s="68">
        <f t="shared" si="5"/>
        <v>0</v>
      </c>
      <c r="X20" s="68">
        <f t="shared" si="6"/>
        <v>0</v>
      </c>
      <c r="Y20" s="68">
        <f t="shared" si="7"/>
        <v>0</v>
      </c>
      <c r="Z20" s="68">
        <f t="shared" si="8"/>
        <v>0</v>
      </c>
      <c r="AA20" s="68">
        <f t="shared" si="9"/>
        <v>0</v>
      </c>
      <c r="AB20" s="68">
        <f t="shared" si="10"/>
        <v>0</v>
      </c>
      <c r="AC20" s="72">
        <f t="shared" si="11"/>
        <v>0</v>
      </c>
      <c r="AD20" s="140">
        <f t="shared" si="12"/>
        <v>0</v>
      </c>
      <c r="AE20" s="140">
        <f t="shared" si="13"/>
        <v>0</v>
      </c>
      <c r="AF20" s="140">
        <f t="shared" si="14"/>
        <v>0</v>
      </c>
      <c r="AG20" s="140"/>
      <c r="AH20" s="141"/>
      <c r="AI20" s="141">
        <f t="shared" si="15"/>
        <v>0</v>
      </c>
      <c r="AJ20" s="146">
        <f t="shared" si="16"/>
        <v>0</v>
      </c>
      <c r="AK20" s="147">
        <v>13</v>
      </c>
      <c r="AL20" s="148"/>
    </row>
    <row r="21" spans="1:38" s="84" customFormat="1" ht="45" customHeight="1" x14ac:dyDescent="0.2">
      <c r="A21" s="124" t="s">
        <v>54</v>
      </c>
      <c r="B21" s="60"/>
      <c r="C21" s="76"/>
      <c r="D21" s="77"/>
      <c r="E21" s="77"/>
      <c r="F21" s="78"/>
      <c r="G21" s="62"/>
      <c r="H21" s="63"/>
      <c r="I21" s="64"/>
      <c r="J21" s="65"/>
      <c r="K21" s="66"/>
      <c r="L21" s="104"/>
      <c r="M21" s="67"/>
      <c r="N21" s="68">
        <f t="shared" si="0"/>
        <v>0</v>
      </c>
      <c r="O21" s="69"/>
      <c r="P21" s="70"/>
      <c r="Q21" s="70"/>
      <c r="R21" s="71"/>
      <c r="S21" s="68">
        <f t="shared" si="1"/>
        <v>0</v>
      </c>
      <c r="T21" s="68">
        <f t="shared" si="2"/>
        <v>0</v>
      </c>
      <c r="U21" s="68">
        <f t="shared" si="3"/>
        <v>0</v>
      </c>
      <c r="V21" s="68">
        <f t="shared" si="4"/>
        <v>0</v>
      </c>
      <c r="W21" s="68">
        <f t="shared" si="5"/>
        <v>0</v>
      </c>
      <c r="X21" s="68">
        <f t="shared" si="6"/>
        <v>0</v>
      </c>
      <c r="Y21" s="68">
        <f t="shared" si="7"/>
        <v>0</v>
      </c>
      <c r="Z21" s="68">
        <f t="shared" si="8"/>
        <v>0</v>
      </c>
      <c r="AA21" s="68">
        <f t="shared" si="9"/>
        <v>0</v>
      </c>
      <c r="AB21" s="68">
        <f t="shared" si="10"/>
        <v>0</v>
      </c>
      <c r="AC21" s="72">
        <f t="shared" si="11"/>
        <v>0</v>
      </c>
      <c r="AD21" s="140">
        <f t="shared" si="12"/>
        <v>0</v>
      </c>
      <c r="AE21" s="140">
        <f t="shared" si="13"/>
        <v>0</v>
      </c>
      <c r="AF21" s="140">
        <f t="shared" si="14"/>
        <v>0</v>
      </c>
      <c r="AG21" s="140"/>
      <c r="AH21" s="141"/>
      <c r="AI21" s="141">
        <f t="shared" si="15"/>
        <v>0</v>
      </c>
      <c r="AJ21" s="146">
        <f t="shared" si="16"/>
        <v>0</v>
      </c>
      <c r="AK21" s="147">
        <v>14</v>
      </c>
      <c r="AL21" s="148"/>
    </row>
    <row r="22" spans="1:38" s="84" customFormat="1" ht="45" customHeight="1" x14ac:dyDescent="0.2">
      <c r="A22" s="124" t="s">
        <v>65</v>
      </c>
      <c r="B22" s="60"/>
      <c r="C22" s="76"/>
      <c r="D22" s="77"/>
      <c r="E22" s="77"/>
      <c r="F22" s="78"/>
      <c r="G22" s="62"/>
      <c r="H22" s="63"/>
      <c r="I22" s="64"/>
      <c r="J22" s="65"/>
      <c r="K22" s="66"/>
      <c r="L22" s="104"/>
      <c r="M22" s="67"/>
      <c r="N22" s="68">
        <f t="shared" si="0"/>
        <v>0</v>
      </c>
      <c r="O22" s="69"/>
      <c r="P22" s="70"/>
      <c r="Q22" s="70"/>
      <c r="R22" s="71"/>
      <c r="S22" s="68">
        <f t="shared" si="1"/>
        <v>0</v>
      </c>
      <c r="T22" s="68">
        <f t="shared" si="2"/>
        <v>0</v>
      </c>
      <c r="U22" s="68">
        <f t="shared" si="3"/>
        <v>0</v>
      </c>
      <c r="V22" s="68">
        <f t="shared" si="4"/>
        <v>0</v>
      </c>
      <c r="W22" s="68">
        <f t="shared" si="5"/>
        <v>0</v>
      </c>
      <c r="X22" s="68">
        <f t="shared" si="6"/>
        <v>0</v>
      </c>
      <c r="Y22" s="68">
        <f t="shared" si="7"/>
        <v>0</v>
      </c>
      <c r="Z22" s="68">
        <f t="shared" si="8"/>
        <v>0</v>
      </c>
      <c r="AA22" s="68">
        <f t="shared" si="9"/>
        <v>0</v>
      </c>
      <c r="AB22" s="68">
        <f t="shared" si="10"/>
        <v>0</v>
      </c>
      <c r="AC22" s="72">
        <f t="shared" si="11"/>
        <v>0</v>
      </c>
      <c r="AD22" s="140">
        <f t="shared" si="12"/>
        <v>0</v>
      </c>
      <c r="AE22" s="140">
        <f t="shared" si="13"/>
        <v>0</v>
      </c>
      <c r="AF22" s="140">
        <f t="shared" si="14"/>
        <v>0</v>
      </c>
      <c r="AG22" s="140"/>
      <c r="AH22" s="141"/>
      <c r="AI22" s="141">
        <f t="shared" si="15"/>
        <v>0</v>
      </c>
      <c r="AJ22" s="146">
        <f t="shared" si="16"/>
        <v>0</v>
      </c>
      <c r="AK22" s="147">
        <v>15</v>
      </c>
      <c r="AL22" s="148"/>
    </row>
    <row r="23" spans="1:38" s="84" customFormat="1" ht="45" customHeight="1" x14ac:dyDescent="0.2">
      <c r="A23" s="124" t="s">
        <v>66</v>
      </c>
      <c r="B23" s="60"/>
      <c r="C23" s="76"/>
      <c r="D23" s="77"/>
      <c r="E23" s="77"/>
      <c r="F23" s="78"/>
      <c r="G23" s="78"/>
      <c r="H23" s="79"/>
      <c r="I23" s="64"/>
      <c r="J23" s="65"/>
      <c r="K23" s="66"/>
      <c r="L23" s="104"/>
      <c r="M23" s="67"/>
      <c r="N23" s="68">
        <f t="shared" si="0"/>
        <v>0</v>
      </c>
      <c r="O23" s="69"/>
      <c r="P23" s="70"/>
      <c r="Q23" s="70"/>
      <c r="R23" s="71"/>
      <c r="S23" s="68">
        <f t="shared" si="1"/>
        <v>0</v>
      </c>
      <c r="T23" s="68">
        <f t="shared" si="2"/>
        <v>0</v>
      </c>
      <c r="U23" s="68">
        <f t="shared" si="3"/>
        <v>0</v>
      </c>
      <c r="V23" s="68">
        <f t="shared" si="4"/>
        <v>0</v>
      </c>
      <c r="W23" s="68">
        <f t="shared" si="5"/>
        <v>0</v>
      </c>
      <c r="X23" s="68">
        <f t="shared" si="6"/>
        <v>0</v>
      </c>
      <c r="Y23" s="68">
        <f t="shared" si="7"/>
        <v>0</v>
      </c>
      <c r="Z23" s="68">
        <f t="shared" si="8"/>
        <v>0</v>
      </c>
      <c r="AA23" s="68">
        <f t="shared" si="9"/>
        <v>0</v>
      </c>
      <c r="AB23" s="68">
        <f t="shared" si="10"/>
        <v>0</v>
      </c>
      <c r="AC23" s="72">
        <f t="shared" si="11"/>
        <v>0</v>
      </c>
      <c r="AD23" s="140">
        <f t="shared" si="12"/>
        <v>0</v>
      </c>
      <c r="AE23" s="140">
        <f t="shared" si="13"/>
        <v>0</v>
      </c>
      <c r="AF23" s="140">
        <f t="shared" si="14"/>
        <v>0</v>
      </c>
      <c r="AG23" s="140"/>
      <c r="AH23" s="141"/>
      <c r="AI23" s="141">
        <f t="shared" si="15"/>
        <v>0</v>
      </c>
      <c r="AJ23" s="146">
        <f t="shared" si="16"/>
        <v>0</v>
      </c>
      <c r="AK23" s="147">
        <v>16</v>
      </c>
      <c r="AL23" s="148"/>
    </row>
    <row r="24" spans="1:38" s="84" customFormat="1" ht="45" customHeight="1" x14ac:dyDescent="0.2">
      <c r="A24" s="124" t="s">
        <v>67</v>
      </c>
      <c r="B24" s="60"/>
      <c r="C24" s="76"/>
      <c r="D24" s="77"/>
      <c r="E24" s="77"/>
      <c r="F24" s="78"/>
      <c r="G24" s="78"/>
      <c r="H24" s="103"/>
      <c r="I24" s="64"/>
      <c r="J24" s="65"/>
      <c r="K24" s="66"/>
      <c r="L24" s="104"/>
      <c r="M24" s="67"/>
      <c r="N24" s="68">
        <f t="shared" si="0"/>
        <v>0</v>
      </c>
      <c r="O24" s="69"/>
      <c r="P24" s="70"/>
      <c r="Q24" s="70"/>
      <c r="R24" s="71"/>
      <c r="S24" s="68">
        <f t="shared" si="1"/>
        <v>0</v>
      </c>
      <c r="T24" s="68">
        <f t="shared" si="2"/>
        <v>0</v>
      </c>
      <c r="U24" s="68">
        <f t="shared" si="3"/>
        <v>0</v>
      </c>
      <c r="V24" s="68">
        <f t="shared" si="4"/>
        <v>0</v>
      </c>
      <c r="W24" s="68">
        <f t="shared" si="5"/>
        <v>0</v>
      </c>
      <c r="X24" s="68">
        <f t="shared" si="6"/>
        <v>0</v>
      </c>
      <c r="Y24" s="68">
        <f t="shared" si="7"/>
        <v>0</v>
      </c>
      <c r="Z24" s="68">
        <f t="shared" si="8"/>
        <v>0</v>
      </c>
      <c r="AA24" s="68">
        <f t="shared" si="9"/>
        <v>0</v>
      </c>
      <c r="AB24" s="68">
        <f t="shared" si="10"/>
        <v>0</v>
      </c>
      <c r="AC24" s="72">
        <f t="shared" si="11"/>
        <v>0</v>
      </c>
      <c r="AD24" s="140">
        <f t="shared" si="12"/>
        <v>0</v>
      </c>
      <c r="AE24" s="140">
        <f t="shared" si="13"/>
        <v>0</v>
      </c>
      <c r="AF24" s="140">
        <f t="shared" si="14"/>
        <v>0</v>
      </c>
      <c r="AG24" s="140"/>
      <c r="AH24" s="141"/>
      <c r="AI24" s="141">
        <f t="shared" si="15"/>
        <v>0</v>
      </c>
      <c r="AJ24" s="146">
        <f t="shared" si="16"/>
        <v>0</v>
      </c>
      <c r="AK24" s="147">
        <v>17</v>
      </c>
      <c r="AL24" s="148"/>
    </row>
    <row r="25" spans="1:38" x14ac:dyDescent="0.2">
      <c r="A25" s="83"/>
      <c r="B25" s="84"/>
      <c r="C25" s="84"/>
      <c r="D25" s="84"/>
      <c r="E25" s="84"/>
      <c r="F25" s="84"/>
      <c r="G25" s="84"/>
      <c r="H25" s="84"/>
      <c r="I25" s="84"/>
      <c r="J25" s="84"/>
      <c r="K25" s="85"/>
      <c r="L25" s="86"/>
      <c r="M25" s="86"/>
      <c r="N25" s="68">
        <f>I25*(SUM(K25:M25))</f>
        <v>0</v>
      </c>
      <c r="O25" s="87"/>
      <c r="P25" s="88"/>
      <c r="Q25" s="88"/>
      <c r="R25" s="88"/>
      <c r="S25" s="88"/>
      <c r="T25" s="88">
        <f>SUM(T8:T24)</f>
        <v>0</v>
      </c>
      <c r="U25" s="89"/>
      <c r="V25" s="89"/>
      <c r="W25" s="89"/>
      <c r="X25" s="88">
        <f>SUM(X8:X24)</f>
        <v>0</v>
      </c>
      <c r="Y25" s="89"/>
      <c r="Z25" s="88">
        <f>SUM(Z8:Z24)</f>
        <v>0</v>
      </c>
      <c r="AA25" s="89"/>
      <c r="AB25" s="88">
        <f t="shared" ref="AB25:AL25" si="17">SUM(AB8:AB24)</f>
        <v>0</v>
      </c>
      <c r="AC25" s="88">
        <f t="shared" si="17"/>
        <v>0</v>
      </c>
      <c r="AD25" s="88">
        <f t="shared" si="17"/>
        <v>0</v>
      </c>
      <c r="AE25" s="88">
        <f t="shared" si="17"/>
        <v>0</v>
      </c>
      <c r="AF25" s="88">
        <f t="shared" si="17"/>
        <v>0</v>
      </c>
      <c r="AG25" s="88">
        <f t="shared" si="17"/>
        <v>0</v>
      </c>
      <c r="AH25" s="88">
        <f t="shared" si="17"/>
        <v>0</v>
      </c>
      <c r="AI25" s="88">
        <f t="shared" si="17"/>
        <v>0</v>
      </c>
      <c r="AJ25" s="88">
        <f t="shared" si="17"/>
        <v>0</v>
      </c>
      <c r="AK25" s="88">
        <f t="shared" si="17"/>
        <v>153</v>
      </c>
      <c r="AL25" s="88">
        <f t="shared" si="17"/>
        <v>0</v>
      </c>
    </row>
    <row r="26" spans="1:38" x14ac:dyDescent="0.2">
      <c r="B26" s="7"/>
      <c r="C26" s="7"/>
      <c r="D26" s="7"/>
      <c r="E26" s="7"/>
      <c r="F26" s="7"/>
      <c r="G26" s="7"/>
      <c r="H26" s="7"/>
      <c r="I26" s="7"/>
      <c r="K26" s="15"/>
      <c r="L26" s="7"/>
      <c r="M26" s="7"/>
      <c r="N26" s="99"/>
      <c r="O26" s="100"/>
      <c r="P26" s="101"/>
      <c r="Q26" s="101"/>
      <c r="R26" s="101"/>
      <c r="S26" s="97"/>
      <c r="T26" s="101"/>
      <c r="U26" s="102"/>
      <c r="V26" s="102"/>
      <c r="W26" s="102"/>
      <c r="X26" s="101"/>
      <c r="Y26" s="102"/>
      <c r="Z26" s="101"/>
      <c r="AA26" s="102"/>
      <c r="AB26" s="101"/>
      <c r="AC26" s="101"/>
      <c r="AG26" s="98"/>
      <c r="AI26" s="3"/>
      <c r="AJ26" s="7"/>
    </row>
    <row r="27" spans="1:38" x14ac:dyDescent="0.2">
      <c r="B27" s="7"/>
      <c r="C27" s="7"/>
      <c r="D27" s="7"/>
      <c r="E27" s="7"/>
      <c r="F27" s="7"/>
      <c r="G27" s="7"/>
      <c r="H27" s="7"/>
      <c r="I27" s="7"/>
      <c r="K27" s="15"/>
      <c r="L27" s="7"/>
      <c r="M27" s="7"/>
      <c r="N27" s="99"/>
      <c r="O27" s="100"/>
      <c r="P27" s="101"/>
      <c r="Q27" s="101"/>
      <c r="R27" s="101"/>
      <c r="T27" s="101"/>
      <c r="U27" s="102"/>
      <c r="V27" s="102"/>
      <c r="W27" s="102"/>
      <c r="X27" s="101"/>
      <c r="Y27" s="102"/>
      <c r="Z27" s="101"/>
      <c r="AA27" s="102"/>
      <c r="AB27" s="101"/>
      <c r="AC27" s="101"/>
      <c r="AI27" s="3"/>
    </row>
    <row r="28" spans="1:38" ht="19" customHeight="1" x14ac:dyDescent="0.25">
      <c r="B28" s="7"/>
      <c r="C28" s="7"/>
      <c r="D28" s="7"/>
      <c r="E28" s="7"/>
      <c r="F28" s="7"/>
      <c r="G28" s="7"/>
      <c r="H28" s="7"/>
      <c r="I28" s="7"/>
      <c r="K28" s="15"/>
      <c r="L28" s="7"/>
      <c r="M28" s="7"/>
      <c r="N28" s="99"/>
      <c r="O28" s="100"/>
      <c r="P28" s="101"/>
      <c r="Q28" s="101"/>
      <c r="R28" s="101"/>
      <c r="S28" s="50"/>
      <c r="T28" s="101"/>
      <c r="U28" s="102"/>
      <c r="V28" s="102"/>
      <c r="W28" s="102"/>
      <c r="X28" s="101"/>
      <c r="Y28" s="102"/>
      <c r="Z28" s="101"/>
      <c r="AA28" s="102"/>
      <c r="AB28" s="101"/>
      <c r="AC28" s="101"/>
      <c r="AD28" s="101"/>
      <c r="AE28" s="101"/>
      <c r="AF28" s="101"/>
      <c r="AG28" s="101"/>
      <c r="AH28" s="7"/>
      <c r="AI28" s="7"/>
    </row>
    <row r="29" spans="1:38" ht="19" customHeight="1" x14ac:dyDescent="0.25">
      <c r="B29" s="7"/>
      <c r="C29" s="7"/>
      <c r="D29" s="7"/>
      <c r="E29" s="7"/>
      <c r="F29" s="7"/>
      <c r="G29" s="7"/>
      <c r="H29" s="7"/>
      <c r="I29" s="7"/>
      <c r="K29" s="15"/>
      <c r="L29" s="7"/>
      <c r="M29" s="7"/>
      <c r="N29" s="99"/>
      <c r="O29" s="100"/>
      <c r="P29" s="101"/>
      <c r="Q29" s="101"/>
      <c r="R29" s="101"/>
      <c r="S29" s="50"/>
      <c r="T29" s="101"/>
      <c r="U29" s="102"/>
      <c r="V29" s="102"/>
      <c r="W29" s="102"/>
      <c r="X29" s="101"/>
      <c r="Y29" s="102"/>
      <c r="Z29" s="101"/>
      <c r="AA29" s="102"/>
      <c r="AB29" s="101"/>
      <c r="AC29" s="101"/>
      <c r="AD29" s="101"/>
      <c r="AE29" s="101"/>
      <c r="AF29" s="101"/>
      <c r="AG29" s="101"/>
      <c r="AH29" s="7"/>
      <c r="AI29" s="7"/>
    </row>
    <row r="30" spans="1:38" ht="19" customHeight="1" x14ac:dyDescent="0.25">
      <c r="B30" s="7"/>
      <c r="C30" s="7"/>
      <c r="D30" s="7"/>
      <c r="E30" s="7"/>
      <c r="F30" s="7"/>
      <c r="G30" s="7"/>
      <c r="H30" s="7"/>
      <c r="I30" s="7"/>
      <c r="K30" s="15"/>
      <c r="L30" s="7"/>
      <c r="M30" s="7"/>
      <c r="S30" s="50"/>
      <c r="AI30" s="7"/>
    </row>
    <row r="31" spans="1:38" ht="19" customHeight="1" x14ac:dyDescent="0.25">
      <c r="B31" s="174" t="s">
        <v>55</v>
      </c>
      <c r="C31" s="175"/>
      <c r="D31" s="175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6"/>
      <c r="P31" s="175"/>
      <c r="Q31" s="175"/>
      <c r="R31" s="175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I31" s="7"/>
    </row>
    <row r="32" spans="1:38" ht="14.5" customHeight="1" x14ac:dyDescent="0.25">
      <c r="B32" s="174" t="s">
        <v>56</v>
      </c>
      <c r="C32" s="175"/>
      <c r="D32" s="175"/>
      <c r="E32" s="175"/>
      <c r="F32" s="175"/>
      <c r="G32" s="175"/>
      <c r="H32" s="175"/>
      <c r="I32" s="175"/>
      <c r="J32" s="175"/>
      <c r="K32" s="175"/>
      <c r="L32" s="175"/>
      <c r="M32" s="175"/>
      <c r="N32" s="175"/>
      <c r="O32" s="176"/>
      <c r="P32" s="175"/>
      <c r="Q32" s="175"/>
      <c r="R32" s="175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1"/>
      <c r="AD32" s="54" t="s">
        <v>57</v>
      </c>
      <c r="AE32" s="54"/>
      <c r="AF32" s="54"/>
      <c r="AG32" s="54"/>
      <c r="AH32" s="7"/>
      <c r="AI32" s="16"/>
    </row>
    <row r="33" spans="2:35" ht="19" customHeight="1" x14ac:dyDescent="0.25"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2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3"/>
      <c r="AD33" s="53"/>
      <c r="AE33" s="53"/>
      <c r="AF33" s="53"/>
      <c r="AG33" s="53"/>
      <c r="AH33" s="7"/>
      <c r="AI33" s="19"/>
    </row>
    <row r="34" spans="2:35" ht="19" customHeight="1" x14ac:dyDescent="0.25">
      <c r="B34" s="50"/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2"/>
      <c r="P34" s="50"/>
      <c r="Q34" s="50"/>
      <c r="R34" s="50"/>
      <c r="S34" s="56"/>
      <c r="T34" s="50"/>
      <c r="U34" s="50"/>
      <c r="V34" s="50"/>
      <c r="W34" s="50"/>
      <c r="X34" s="50"/>
      <c r="Y34" s="50"/>
      <c r="Z34" s="50"/>
      <c r="AA34" s="50"/>
      <c r="AB34" s="50"/>
      <c r="AC34" s="53"/>
      <c r="AD34" s="50"/>
      <c r="AE34" s="54"/>
      <c r="AF34" s="54"/>
      <c r="AG34" s="50"/>
      <c r="AH34" s="7"/>
      <c r="AI34" s="7"/>
    </row>
    <row r="35" spans="2:35" ht="19" customHeight="1" x14ac:dyDescent="0.25">
      <c r="B35" s="50"/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2"/>
      <c r="P35" s="50"/>
      <c r="Q35" s="50"/>
      <c r="R35" s="50"/>
      <c r="S35" s="56"/>
      <c r="T35" s="50"/>
      <c r="U35" s="50"/>
      <c r="V35" s="50"/>
      <c r="W35" s="50"/>
      <c r="X35" s="50"/>
      <c r="Y35" s="50"/>
      <c r="Z35" s="50"/>
      <c r="AA35" s="50"/>
      <c r="AB35" s="50"/>
      <c r="AC35" s="55"/>
      <c r="AD35" s="50"/>
      <c r="AE35" s="54"/>
      <c r="AF35" s="54"/>
      <c r="AG35" s="50"/>
    </row>
    <row r="36" spans="2:35" ht="19" customHeight="1" x14ac:dyDescent="0.25"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2"/>
      <c r="P36" s="50"/>
      <c r="Q36" s="50"/>
      <c r="R36" s="50"/>
      <c r="T36" s="52"/>
      <c r="U36" s="52"/>
      <c r="V36" s="50"/>
      <c r="W36" s="50"/>
      <c r="X36" s="50"/>
      <c r="Y36" s="50"/>
      <c r="Z36" s="50"/>
      <c r="AA36" s="50"/>
      <c r="AB36" s="50"/>
      <c r="AC36" s="50"/>
      <c r="AD36" s="50"/>
      <c r="AE36" s="54"/>
      <c r="AF36" s="54"/>
      <c r="AG36" s="50"/>
    </row>
    <row r="37" spans="2:35" ht="19" customHeight="1" x14ac:dyDescent="0.25">
      <c r="B37" s="199" t="s">
        <v>58</v>
      </c>
      <c r="C37" s="175"/>
      <c r="D37" s="175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6"/>
      <c r="P37" s="175"/>
      <c r="Q37" s="175"/>
      <c r="R37" s="175"/>
      <c r="T37" s="56"/>
      <c r="U37" s="56"/>
      <c r="V37" s="56"/>
      <c r="W37" s="56"/>
      <c r="X37" s="50"/>
      <c r="Y37" s="50"/>
      <c r="Z37" s="50"/>
      <c r="AA37" s="50"/>
      <c r="AB37" s="50"/>
      <c r="AC37" s="50"/>
      <c r="AD37" s="136" t="s">
        <v>59</v>
      </c>
      <c r="AE37" s="136"/>
      <c r="AF37" s="136"/>
      <c r="AG37" s="136"/>
    </row>
    <row r="38" spans="2:35" ht="19" customHeight="1" x14ac:dyDescent="0.25">
      <c r="B38" s="174" t="s">
        <v>60</v>
      </c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5"/>
      <c r="N38" s="175"/>
      <c r="O38" s="176"/>
      <c r="P38" s="175"/>
      <c r="Q38" s="175"/>
      <c r="R38" s="175"/>
      <c r="T38" s="56"/>
      <c r="U38" s="56"/>
      <c r="V38" s="56"/>
      <c r="W38" s="56"/>
      <c r="X38" s="50"/>
      <c r="Y38" s="50"/>
      <c r="Z38" s="50"/>
      <c r="AA38" s="50"/>
      <c r="AB38" s="50"/>
      <c r="AC38" s="50"/>
      <c r="AD38" s="54" t="s">
        <v>61</v>
      </c>
      <c r="AE38" s="54"/>
      <c r="AF38" s="54"/>
      <c r="AG38" s="54"/>
    </row>
    <row r="39" spans="2:35" x14ac:dyDescent="0.2">
      <c r="X39" s="7"/>
      <c r="Y39" s="7"/>
      <c r="Z39" s="7"/>
      <c r="AA39" s="7"/>
      <c r="AB39" s="7"/>
      <c r="AC39" s="7"/>
      <c r="AD39" s="7"/>
      <c r="AE39" s="7"/>
      <c r="AF39" s="7"/>
      <c r="AG39" s="7"/>
    </row>
    <row r="40" spans="2:35" x14ac:dyDescent="0.2">
      <c r="V40" s="7"/>
      <c r="W40" s="7"/>
      <c r="X40" s="7"/>
      <c r="Y40" s="7"/>
      <c r="Z40" s="7"/>
      <c r="AA40" s="7"/>
      <c r="AB40" s="7"/>
      <c r="AC40" s="18" t="s">
        <v>62</v>
      </c>
      <c r="AD40" s="18"/>
      <c r="AE40" s="18"/>
      <c r="AF40" s="18"/>
      <c r="AG40" s="18"/>
      <c r="AH40" s="7"/>
    </row>
    <row r="41" spans="2:35" x14ac:dyDescent="0.2">
      <c r="V41" s="7"/>
      <c r="W41" s="7"/>
      <c r="X41" s="7"/>
      <c r="Y41" s="7"/>
      <c r="Z41" s="7"/>
      <c r="AA41" s="7"/>
      <c r="AB41" s="7"/>
      <c r="AC41" s="18"/>
      <c r="AD41" s="18"/>
      <c r="AE41" s="18"/>
      <c r="AF41" s="18"/>
      <c r="AG41" s="18"/>
      <c r="AH41" s="7"/>
    </row>
    <row r="42" spans="2:35" x14ac:dyDescent="0.2">
      <c r="V42" s="7"/>
      <c r="W42" s="7"/>
      <c r="X42" s="7"/>
      <c r="Y42" s="7"/>
      <c r="Z42" s="7"/>
      <c r="AA42" s="7"/>
      <c r="AB42" s="7"/>
      <c r="AC42" s="19"/>
      <c r="AD42" s="19"/>
      <c r="AE42" s="19"/>
      <c r="AF42" s="19"/>
      <c r="AG42" s="19"/>
      <c r="AH42" s="7"/>
    </row>
    <row r="43" spans="2:35" x14ac:dyDescent="0.2">
      <c r="V43" s="7"/>
      <c r="W43" s="7"/>
      <c r="X43" s="7"/>
      <c r="Y43" s="7"/>
      <c r="Z43" s="7"/>
      <c r="AA43" s="7"/>
      <c r="AB43" s="7"/>
      <c r="AC43" s="18"/>
      <c r="AD43" s="18"/>
      <c r="AE43" s="18"/>
      <c r="AF43" s="18"/>
      <c r="AG43" s="18"/>
      <c r="AH43" s="7"/>
      <c r="AI43" s="7"/>
    </row>
    <row r="44" spans="2:35" x14ac:dyDescent="0.2">
      <c r="V44" s="7"/>
      <c r="W44" s="7"/>
      <c r="X44" s="7"/>
      <c r="Y44" s="7"/>
      <c r="Z44" s="7"/>
      <c r="AA44" s="7"/>
      <c r="AB44" s="7"/>
      <c r="AC44" s="18"/>
      <c r="AD44" s="18"/>
      <c r="AE44" s="18"/>
      <c r="AF44" s="18"/>
      <c r="AG44" s="18"/>
      <c r="AH44" s="7"/>
      <c r="AI44" s="7"/>
    </row>
    <row r="45" spans="2:35" x14ac:dyDescent="0.2"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</row>
    <row r="46" spans="2:35" x14ac:dyDescent="0.2">
      <c r="T46" s="20"/>
      <c r="V46" s="7"/>
      <c r="W46" s="7"/>
      <c r="X46" s="20"/>
      <c r="Y46" s="7"/>
      <c r="Z46" s="20"/>
      <c r="AA46" s="7"/>
      <c r="AB46" s="20"/>
      <c r="AC46" s="20"/>
      <c r="AD46" s="20"/>
      <c r="AE46" s="20"/>
      <c r="AF46" s="20"/>
      <c r="AG46" s="20"/>
      <c r="AH46" s="7"/>
      <c r="AI46" s="7"/>
    </row>
    <row r="47" spans="2:35" x14ac:dyDescent="0.2">
      <c r="T47" s="21"/>
      <c r="U47" s="21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7"/>
      <c r="AI47" s="7"/>
    </row>
    <row r="48" spans="2:35" x14ac:dyDescent="0.2">
      <c r="T48" s="21"/>
      <c r="U48" s="21"/>
      <c r="V48" s="18"/>
      <c r="W48" s="18"/>
      <c r="X48" s="21"/>
      <c r="Y48" s="18"/>
      <c r="Z48" s="21"/>
      <c r="AA48" s="18"/>
      <c r="AB48" s="21"/>
      <c r="AC48" s="21"/>
      <c r="AD48" s="21"/>
      <c r="AE48" s="21"/>
      <c r="AF48" s="21"/>
      <c r="AG48" s="21"/>
      <c r="AH48" s="7"/>
      <c r="AI48" s="7"/>
    </row>
    <row r="49" spans="20:35" x14ac:dyDescent="0.2">
      <c r="T49" s="21"/>
      <c r="U49" s="22"/>
      <c r="V49" s="23"/>
      <c r="W49" s="23"/>
      <c r="X49" s="21"/>
      <c r="Y49" s="23"/>
      <c r="Z49" s="21"/>
      <c r="AA49" s="23"/>
      <c r="AB49" s="21"/>
      <c r="AC49" s="21"/>
      <c r="AD49" s="21"/>
      <c r="AE49" s="21"/>
      <c r="AF49" s="21"/>
      <c r="AG49" s="21"/>
      <c r="AH49" s="7"/>
      <c r="AI49" s="7"/>
    </row>
    <row r="50" spans="20:35" x14ac:dyDescent="0.2">
      <c r="T50" s="22"/>
      <c r="U50" s="22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3"/>
      <c r="AH50" s="7"/>
      <c r="AI50" s="7"/>
    </row>
    <row r="51" spans="20:35" x14ac:dyDescent="0.2">
      <c r="T51" s="22"/>
      <c r="U51" s="22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7"/>
      <c r="AI51" s="7"/>
    </row>
    <row r="52" spans="20:35" x14ac:dyDescent="0.2"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</row>
    <row r="53" spans="20:35" x14ac:dyDescent="0.2"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</row>
    <row r="54" spans="20:35" x14ac:dyDescent="0.2"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</row>
    <row r="55" spans="20:35" x14ac:dyDescent="0.2"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</row>
    <row r="56" spans="20:35" x14ac:dyDescent="0.2"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</row>
    <row r="57" spans="20:35" x14ac:dyDescent="0.2"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</row>
    <row r="58" spans="20:35" x14ac:dyDescent="0.2"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</row>
    <row r="59" spans="20:35" x14ac:dyDescent="0.2"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</row>
    <row r="60" spans="20:35" x14ac:dyDescent="0.2"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</row>
    <row r="61" spans="20:35" x14ac:dyDescent="0.2"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</row>
    <row r="62" spans="20:35" x14ac:dyDescent="0.2"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</row>
    <row r="63" spans="20:35" x14ac:dyDescent="0.2"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</row>
    <row r="64" spans="20:35" x14ac:dyDescent="0.2"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</row>
    <row r="65" spans="22:34" x14ac:dyDescent="0.2"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</row>
  </sheetData>
  <mergeCells count="44">
    <mergeCell ref="AK5:AL7"/>
    <mergeCell ref="B38:R38"/>
    <mergeCell ref="AC6:AC7"/>
    <mergeCell ref="L6:L7"/>
    <mergeCell ref="A3:AI3"/>
    <mergeCell ref="C5:C7"/>
    <mergeCell ref="T6:T7"/>
    <mergeCell ref="E5:E7"/>
    <mergeCell ref="AH5:AH7"/>
    <mergeCell ref="B37:R37"/>
    <mergeCell ref="F5:F7"/>
    <mergeCell ref="Z6:Z7"/>
    <mergeCell ref="AB6:AB7"/>
    <mergeCell ref="U6:W6"/>
    <mergeCell ref="N5:N7"/>
    <mergeCell ref="S5:AC5"/>
    <mergeCell ref="A1:AI1"/>
    <mergeCell ref="M6:M7"/>
    <mergeCell ref="AG5:AG7"/>
    <mergeCell ref="Q6:Q7"/>
    <mergeCell ref="H5:H7"/>
    <mergeCell ref="AI5:AI7"/>
    <mergeCell ref="J5:M5"/>
    <mergeCell ref="Y6:Y7"/>
    <mergeCell ref="AD5:AD7"/>
    <mergeCell ref="A2:AI2"/>
    <mergeCell ref="K6:K7"/>
    <mergeCell ref="O6:O7"/>
    <mergeCell ref="A5:A7"/>
    <mergeCell ref="AJ5:AJ7"/>
    <mergeCell ref="G5:G7"/>
    <mergeCell ref="B31:R31"/>
    <mergeCell ref="B5:B7"/>
    <mergeCell ref="X6:X7"/>
    <mergeCell ref="AE5:AE7"/>
    <mergeCell ref="R5:R7"/>
    <mergeCell ref="AF5:AF7"/>
    <mergeCell ref="B32:R32"/>
    <mergeCell ref="O5:Q5"/>
    <mergeCell ref="I5:I7"/>
    <mergeCell ref="D5:D7"/>
    <mergeCell ref="J6:J7"/>
    <mergeCell ref="P6:P7"/>
    <mergeCell ref="AA6:AA7"/>
  </mergeCells>
  <pageMargins left="0.25" right="0.25" top="0.75" bottom="0.75" header="0.3" footer="0.3"/>
  <pageSetup paperSize="14" scale="49" orientation="landscape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L68"/>
  <sheetViews>
    <sheetView topLeftCell="F1" zoomScale="75" zoomScaleNormal="75" workbookViewId="0">
      <selection activeCell="R4" sqref="R1:R1048576"/>
    </sheetView>
  </sheetViews>
  <sheetFormatPr baseColWidth="10" defaultColWidth="8.83203125" defaultRowHeight="16" x14ac:dyDescent="0.2"/>
  <cols>
    <col min="1" max="1" width="4.5" style="3" customWidth="1"/>
    <col min="2" max="2" width="20.83203125" customWidth="1"/>
    <col min="3" max="3" width="20.6640625" customWidth="1"/>
    <col min="4" max="4" width="18.1640625" customWidth="1"/>
    <col min="5" max="5" width="17.83203125" customWidth="1"/>
    <col min="6" max="6" width="24.83203125" customWidth="1"/>
    <col min="7" max="7" width="6.66406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0.83203125" customWidth="1"/>
    <col min="20" max="20" width="12.1640625" customWidth="1"/>
    <col min="21" max="21" width="11.1640625" customWidth="1"/>
    <col min="22" max="23" width="11" customWidth="1"/>
    <col min="24" max="24" width="11.33203125" customWidth="1"/>
    <col min="25" max="25" width="11.1640625" customWidth="1"/>
    <col min="26" max="26" width="11.33203125" customWidth="1"/>
    <col min="27" max="28" width="10.1640625" customWidth="1"/>
    <col min="29" max="29" width="11.6640625" customWidth="1"/>
    <col min="30" max="30" width="15.83203125" customWidth="1"/>
    <col min="31" max="31" width="15.6640625" customWidth="1"/>
    <col min="32" max="32" width="17" customWidth="1"/>
    <col min="33" max="33" width="19.6640625" customWidth="1"/>
    <col min="34" max="34" width="18.5" customWidth="1"/>
    <col min="35" max="35" width="16" customWidth="1"/>
    <col min="36" max="36" width="22.1640625" customWidth="1"/>
  </cols>
  <sheetData>
    <row r="1" spans="1:38" ht="28" customHeight="1" x14ac:dyDescent="0.2">
      <c r="A1" s="188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6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75"/>
      <c r="AE1" s="175"/>
      <c r="AF1" s="175"/>
      <c r="AG1" s="175"/>
      <c r="AH1" s="175"/>
      <c r="AI1" s="175"/>
      <c r="AJ1" s="32"/>
    </row>
    <row r="2" spans="1:38" ht="28" customHeight="1" x14ac:dyDescent="0.2">
      <c r="A2" s="188" t="s">
        <v>1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  <c r="L2" s="175"/>
      <c r="M2" s="175"/>
      <c r="N2" s="175"/>
      <c r="O2" s="176"/>
      <c r="P2" s="175"/>
      <c r="Q2" s="175"/>
      <c r="R2" s="175"/>
      <c r="S2" s="175"/>
      <c r="T2" s="175"/>
      <c r="U2" s="175"/>
      <c r="V2" s="175"/>
      <c r="W2" s="175"/>
      <c r="X2" s="175"/>
      <c r="Y2" s="175"/>
      <c r="Z2" s="175"/>
      <c r="AA2" s="175"/>
      <c r="AB2" s="175"/>
      <c r="AC2" s="175"/>
      <c r="AD2" s="175"/>
      <c r="AE2" s="175"/>
      <c r="AF2" s="175"/>
      <c r="AG2" s="175"/>
      <c r="AH2" s="175"/>
      <c r="AI2" s="175"/>
      <c r="AJ2" s="32"/>
    </row>
    <row r="3" spans="1:38" ht="28" customHeight="1" x14ac:dyDescent="0.2">
      <c r="A3" s="188" t="s">
        <v>80</v>
      </c>
      <c r="B3" s="175"/>
      <c r="C3" s="175"/>
      <c r="D3" s="175"/>
      <c r="E3" s="175"/>
      <c r="F3" s="175"/>
      <c r="G3" s="175"/>
      <c r="H3" s="175"/>
      <c r="I3" s="175"/>
      <c r="J3" s="175"/>
      <c r="K3" s="175"/>
      <c r="L3" s="175"/>
      <c r="M3" s="175"/>
      <c r="N3" s="175"/>
      <c r="O3" s="176"/>
      <c r="P3" s="175"/>
      <c r="Q3" s="175"/>
      <c r="R3" s="175"/>
      <c r="S3" s="175"/>
      <c r="T3" s="175"/>
      <c r="U3" s="175"/>
      <c r="V3" s="175"/>
      <c r="W3" s="175"/>
      <c r="X3" s="175"/>
      <c r="Y3" s="175"/>
      <c r="Z3" s="175"/>
      <c r="AA3" s="175"/>
      <c r="AB3" s="175"/>
      <c r="AC3" s="175"/>
      <c r="AD3" s="175"/>
      <c r="AE3" s="175"/>
      <c r="AF3" s="175"/>
      <c r="AG3" s="175"/>
      <c r="AH3" s="175"/>
      <c r="AI3" s="175"/>
    </row>
    <row r="4" spans="1:38" x14ac:dyDescent="0.2">
      <c r="D4" t="s">
        <v>3</v>
      </c>
      <c r="AI4" s="83"/>
      <c r="AJ4" s="83"/>
    </row>
    <row r="5" spans="1:38" s="84" customFormat="1" ht="16" customHeight="1" x14ac:dyDescent="0.2">
      <c r="A5" s="179" t="s">
        <v>4</v>
      </c>
      <c r="B5" s="179" t="s">
        <v>5</v>
      </c>
      <c r="C5" s="198" t="s">
        <v>6</v>
      </c>
      <c r="D5" s="177" t="s">
        <v>7</v>
      </c>
      <c r="E5" s="179" t="s">
        <v>8</v>
      </c>
      <c r="F5" s="201" t="s">
        <v>9</v>
      </c>
      <c r="G5" s="179" t="s">
        <v>10</v>
      </c>
      <c r="H5" s="179" t="s">
        <v>11</v>
      </c>
      <c r="I5" s="168" t="s">
        <v>12</v>
      </c>
      <c r="J5" s="168" t="s">
        <v>13</v>
      </c>
      <c r="K5" s="172"/>
      <c r="L5" s="172"/>
      <c r="M5" s="173"/>
      <c r="N5" s="178" t="s">
        <v>14</v>
      </c>
      <c r="O5" s="171" t="s">
        <v>15</v>
      </c>
      <c r="P5" s="172"/>
      <c r="Q5" s="173"/>
      <c r="R5" s="187" t="s">
        <v>16</v>
      </c>
      <c r="S5" s="204"/>
      <c r="T5" s="172"/>
      <c r="U5" s="172"/>
      <c r="V5" s="172"/>
      <c r="W5" s="172"/>
      <c r="X5" s="172"/>
      <c r="Y5" s="172"/>
      <c r="Z5" s="172"/>
      <c r="AA5" s="172"/>
      <c r="AB5" s="172"/>
      <c r="AC5" s="173"/>
      <c r="AD5" s="186" t="s">
        <v>17</v>
      </c>
      <c r="AE5" s="186" t="s">
        <v>18</v>
      </c>
      <c r="AF5" s="165" t="s">
        <v>19</v>
      </c>
      <c r="AG5" s="190" t="s">
        <v>20</v>
      </c>
      <c r="AH5" s="190" t="s">
        <v>21</v>
      </c>
      <c r="AI5" s="190" t="s">
        <v>22</v>
      </c>
      <c r="AJ5" s="181" t="s">
        <v>23</v>
      </c>
      <c r="AK5" s="192" t="s">
        <v>24</v>
      </c>
      <c r="AL5" s="193"/>
    </row>
    <row r="6" spans="1:38" s="84" customFormat="1" ht="14.5" customHeight="1" x14ac:dyDescent="0.2">
      <c r="A6" s="169"/>
      <c r="B6" s="169"/>
      <c r="C6" s="169"/>
      <c r="D6" s="169"/>
      <c r="E6" s="169"/>
      <c r="F6" s="169"/>
      <c r="G6" s="169"/>
      <c r="H6" s="169"/>
      <c r="I6" s="169"/>
      <c r="J6" s="178" t="s">
        <v>25</v>
      </c>
      <c r="K6" s="178" t="s">
        <v>26</v>
      </c>
      <c r="L6" s="178" t="s">
        <v>27</v>
      </c>
      <c r="M6" s="178" t="s">
        <v>28</v>
      </c>
      <c r="N6" s="169"/>
      <c r="O6" s="184" t="s">
        <v>29</v>
      </c>
      <c r="P6" s="184" t="s">
        <v>30</v>
      </c>
      <c r="Q6" s="184" t="s">
        <v>31</v>
      </c>
      <c r="R6" s="169"/>
      <c r="S6" s="137"/>
      <c r="T6" s="200" t="s">
        <v>32</v>
      </c>
      <c r="U6" s="203" t="s">
        <v>26</v>
      </c>
      <c r="V6" s="172"/>
      <c r="W6" s="173"/>
      <c r="X6" s="185" t="s">
        <v>33</v>
      </c>
      <c r="Y6" s="191" t="s">
        <v>27</v>
      </c>
      <c r="Z6" s="191" t="s">
        <v>34</v>
      </c>
      <c r="AA6" s="180" t="s">
        <v>28</v>
      </c>
      <c r="AB6" s="180" t="s">
        <v>35</v>
      </c>
      <c r="AC6" s="202" t="s">
        <v>36</v>
      </c>
      <c r="AD6" s="166"/>
      <c r="AE6" s="166"/>
      <c r="AF6" s="166"/>
      <c r="AG6" s="166"/>
      <c r="AH6" s="166"/>
      <c r="AI6" s="166"/>
      <c r="AJ6" s="182"/>
      <c r="AK6" s="194"/>
      <c r="AL6" s="195"/>
    </row>
    <row r="7" spans="1:38" s="84" customFormat="1" ht="34" customHeight="1" x14ac:dyDescent="0.2">
      <c r="A7" s="170"/>
      <c r="B7" s="170"/>
      <c r="C7" s="169"/>
      <c r="D7" s="169"/>
      <c r="E7" s="170"/>
      <c r="F7" s="170"/>
      <c r="G7" s="170"/>
      <c r="H7" s="170"/>
      <c r="I7" s="170"/>
      <c r="J7" s="169"/>
      <c r="K7" s="169"/>
      <c r="L7" s="169"/>
      <c r="M7" s="169"/>
      <c r="N7" s="169"/>
      <c r="O7" s="169"/>
      <c r="P7" s="169"/>
      <c r="Q7" s="169"/>
      <c r="R7" s="170"/>
      <c r="S7" s="57" t="s">
        <v>37</v>
      </c>
      <c r="T7" s="170"/>
      <c r="U7" s="58" t="s">
        <v>38</v>
      </c>
      <c r="V7" s="58" t="s">
        <v>39</v>
      </c>
      <c r="W7" s="58" t="s">
        <v>40</v>
      </c>
      <c r="X7" s="170"/>
      <c r="Y7" s="170"/>
      <c r="Z7" s="170"/>
      <c r="AA7" s="170"/>
      <c r="AB7" s="170"/>
      <c r="AC7" s="170"/>
      <c r="AD7" s="167"/>
      <c r="AE7" s="167"/>
      <c r="AF7" s="167"/>
      <c r="AG7" s="167"/>
      <c r="AH7" s="167"/>
      <c r="AI7" s="167"/>
      <c r="AJ7" s="183"/>
      <c r="AK7" s="196"/>
      <c r="AL7" s="197"/>
    </row>
    <row r="8" spans="1:38" s="84" customFormat="1" ht="45" customHeight="1" x14ac:dyDescent="0.2">
      <c r="A8" s="124" t="s">
        <v>41</v>
      </c>
      <c r="B8" s="60"/>
      <c r="C8" s="76"/>
      <c r="D8" s="77"/>
      <c r="E8" s="77"/>
      <c r="F8" s="78"/>
      <c r="G8" s="125"/>
      <c r="H8" s="79"/>
      <c r="I8" s="64"/>
      <c r="J8" s="65"/>
      <c r="K8" s="66"/>
      <c r="L8" s="67"/>
      <c r="M8" s="67"/>
      <c r="N8" s="68">
        <f t="shared" ref="N8:N31" si="0">ROUND(I8*(SUM(J8:M8)),0)</f>
        <v>0</v>
      </c>
      <c r="O8" s="69"/>
      <c r="P8" s="70"/>
      <c r="Q8" s="70"/>
      <c r="R8" s="71"/>
      <c r="S8" s="68">
        <f t="shared" ref="S8:S31" si="1">I8*J8</f>
        <v>0</v>
      </c>
      <c r="T8" s="68">
        <f t="shared" ref="T8:T31" si="2">SUM(S8:S8)</f>
        <v>0</v>
      </c>
      <c r="U8" s="68">
        <f t="shared" ref="U8:U31" si="3">I8*K8*40%*O8</f>
        <v>0</v>
      </c>
      <c r="V8" s="68">
        <f t="shared" ref="V8:V31" si="4">IF(P8&gt;=6750,(I8*K8*40%),0)</f>
        <v>0</v>
      </c>
      <c r="W8" s="68">
        <f t="shared" ref="W8:W31" si="5">IF(P8&lt;6750,0,IF(Q8="",0,IF(OR(Q8="KURANG",Q8="SANGAT KURANG"),I8*K8*10%,I8*K8*20%)))</f>
        <v>0</v>
      </c>
      <c r="X8" s="68">
        <f t="shared" ref="X8:X31" si="6">SUM(U8:W8)</f>
        <v>0</v>
      </c>
      <c r="Y8" s="68">
        <f t="shared" ref="Y8:Y31" si="7">I8*L8</f>
        <v>0</v>
      </c>
      <c r="Z8" s="68">
        <f t="shared" ref="Z8:Z31" si="8">Y8</f>
        <v>0</v>
      </c>
      <c r="AA8" s="68">
        <f t="shared" ref="AA8:AA31" si="9">I8*M8</f>
        <v>0</v>
      </c>
      <c r="AB8" s="68">
        <f t="shared" ref="AB8:AB31" si="10">AA8</f>
        <v>0</v>
      </c>
      <c r="AC8" s="72">
        <f t="shared" ref="AC8:AC31" si="11">ROUND((T8+X8+Z8+AB8),0)</f>
        <v>0</v>
      </c>
      <c r="AD8" s="140">
        <f t="shared" ref="AD8:AD31" si="12">AG8</f>
        <v>0</v>
      </c>
      <c r="AE8" s="140">
        <f t="shared" ref="AE8:AE31" si="13">AI8</f>
        <v>0</v>
      </c>
      <c r="AF8" s="140">
        <f t="shared" ref="AF8:AF31" si="14">AC8+AD8+AE8</f>
        <v>0</v>
      </c>
      <c r="AG8" s="140"/>
      <c r="AH8" s="141"/>
      <c r="AI8" s="141">
        <f t="shared" ref="AI8:AI31" si="15">AH8*4</f>
        <v>0</v>
      </c>
      <c r="AJ8" s="146">
        <f t="shared" ref="AJ8:AJ31" si="16">AF8-AG8-AH8-AI8</f>
        <v>0</v>
      </c>
      <c r="AK8" s="147">
        <v>1</v>
      </c>
      <c r="AL8" s="148"/>
    </row>
    <row r="9" spans="1:38" s="84" customFormat="1" ht="45" customHeight="1" x14ac:dyDescent="0.2">
      <c r="A9" s="124" t="s">
        <v>42</v>
      </c>
      <c r="B9" s="60"/>
      <c r="C9" s="76"/>
      <c r="D9" s="77"/>
      <c r="E9" s="77"/>
      <c r="F9" s="78"/>
      <c r="G9" s="125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si="1"/>
        <v>0</v>
      </c>
      <c r="T9" s="68">
        <f t="shared" si="2"/>
        <v>0</v>
      </c>
      <c r="U9" s="68">
        <f t="shared" si="3"/>
        <v>0</v>
      </c>
      <c r="V9" s="68">
        <f t="shared" si="4"/>
        <v>0</v>
      </c>
      <c r="W9" s="68">
        <f t="shared" si="5"/>
        <v>0</v>
      </c>
      <c r="X9" s="68">
        <f t="shared" si="6"/>
        <v>0</v>
      </c>
      <c r="Y9" s="68">
        <f t="shared" si="7"/>
        <v>0</v>
      </c>
      <c r="Z9" s="68">
        <f t="shared" si="8"/>
        <v>0</v>
      </c>
      <c r="AA9" s="68">
        <f t="shared" si="9"/>
        <v>0</v>
      </c>
      <c r="AB9" s="68">
        <f t="shared" si="10"/>
        <v>0</v>
      </c>
      <c r="AC9" s="72">
        <f t="shared" si="11"/>
        <v>0</v>
      </c>
      <c r="AD9" s="140">
        <f t="shared" si="12"/>
        <v>0</v>
      </c>
      <c r="AE9" s="140">
        <f t="shared" si="13"/>
        <v>0</v>
      </c>
      <c r="AF9" s="140">
        <f t="shared" si="14"/>
        <v>0</v>
      </c>
      <c r="AG9" s="140"/>
      <c r="AH9" s="141"/>
      <c r="AI9" s="141">
        <f t="shared" si="15"/>
        <v>0</v>
      </c>
      <c r="AJ9" s="146">
        <f t="shared" si="16"/>
        <v>0</v>
      </c>
      <c r="AK9" s="147">
        <v>2</v>
      </c>
      <c r="AL9" s="148"/>
    </row>
    <row r="10" spans="1:38" s="84" customFormat="1" ht="45" customHeight="1" x14ac:dyDescent="0.2">
      <c r="A10" s="124" t="s">
        <v>43</v>
      </c>
      <c r="B10" s="60"/>
      <c r="C10" s="76"/>
      <c r="D10" s="77"/>
      <c r="E10" s="77"/>
      <c r="F10" s="78"/>
      <c r="G10" s="125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1"/>
        <v>0</v>
      </c>
      <c r="T10" s="68">
        <f t="shared" si="2"/>
        <v>0</v>
      </c>
      <c r="U10" s="68">
        <f t="shared" si="3"/>
        <v>0</v>
      </c>
      <c r="V10" s="68">
        <f t="shared" si="4"/>
        <v>0</v>
      </c>
      <c r="W10" s="68">
        <f t="shared" si="5"/>
        <v>0</v>
      </c>
      <c r="X10" s="68">
        <f t="shared" si="6"/>
        <v>0</v>
      </c>
      <c r="Y10" s="68">
        <f t="shared" si="7"/>
        <v>0</v>
      </c>
      <c r="Z10" s="68">
        <f t="shared" si="8"/>
        <v>0</v>
      </c>
      <c r="AA10" s="68">
        <f t="shared" si="9"/>
        <v>0</v>
      </c>
      <c r="AB10" s="68">
        <f t="shared" si="10"/>
        <v>0</v>
      </c>
      <c r="AC10" s="72">
        <f t="shared" si="11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s="84" customFormat="1" ht="45" customHeight="1" x14ac:dyDescent="0.2">
      <c r="A11" s="124" t="s">
        <v>44</v>
      </c>
      <c r="B11" s="60"/>
      <c r="C11" s="76"/>
      <c r="D11" s="77"/>
      <c r="E11" s="77"/>
      <c r="F11" s="78"/>
      <c r="G11" s="125"/>
      <c r="H11" s="79"/>
      <c r="I11" s="64"/>
      <c r="J11" s="65"/>
      <c r="K11" s="66"/>
      <c r="L11" s="67"/>
      <c r="M11" s="67"/>
      <c r="N11" s="68">
        <f t="shared" si="0"/>
        <v>0</v>
      </c>
      <c r="O11" s="69"/>
      <c r="P11" s="70"/>
      <c r="Q11" s="70"/>
      <c r="R11" s="71"/>
      <c r="S11" s="68">
        <f t="shared" si="1"/>
        <v>0</v>
      </c>
      <c r="T11" s="68">
        <f t="shared" si="2"/>
        <v>0</v>
      </c>
      <c r="U11" s="68">
        <f t="shared" si="3"/>
        <v>0</v>
      </c>
      <c r="V11" s="68">
        <f t="shared" si="4"/>
        <v>0</v>
      </c>
      <c r="W11" s="68">
        <f t="shared" si="5"/>
        <v>0</v>
      </c>
      <c r="X11" s="68">
        <f t="shared" si="6"/>
        <v>0</v>
      </c>
      <c r="Y11" s="68">
        <f t="shared" si="7"/>
        <v>0</v>
      </c>
      <c r="Z11" s="68">
        <f t="shared" si="8"/>
        <v>0</v>
      </c>
      <c r="AA11" s="68">
        <f t="shared" si="9"/>
        <v>0</v>
      </c>
      <c r="AB11" s="68">
        <f t="shared" si="10"/>
        <v>0</v>
      </c>
      <c r="AC11" s="72">
        <f t="shared" si="11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s="84" customFormat="1" ht="45" customHeight="1" x14ac:dyDescent="0.2">
      <c r="A12" s="124" t="s">
        <v>45</v>
      </c>
      <c r="B12" s="60"/>
      <c r="C12" s="76"/>
      <c r="D12" s="77"/>
      <c r="E12" s="77"/>
      <c r="F12" s="78"/>
      <c r="G12" s="125"/>
      <c r="H12" s="79"/>
      <c r="I12" s="64"/>
      <c r="J12" s="65"/>
      <c r="K12" s="66"/>
      <c r="L12" s="104"/>
      <c r="M12" s="67"/>
      <c r="N12" s="68">
        <f t="shared" si="0"/>
        <v>0</v>
      </c>
      <c r="O12" s="69"/>
      <c r="P12" s="70"/>
      <c r="Q12" s="70"/>
      <c r="R12" s="71"/>
      <c r="S12" s="68">
        <f t="shared" si="1"/>
        <v>0</v>
      </c>
      <c r="T12" s="68">
        <f t="shared" si="2"/>
        <v>0</v>
      </c>
      <c r="U12" s="68">
        <f t="shared" si="3"/>
        <v>0</v>
      </c>
      <c r="V12" s="68">
        <f t="shared" si="4"/>
        <v>0</v>
      </c>
      <c r="W12" s="68">
        <f t="shared" si="5"/>
        <v>0</v>
      </c>
      <c r="X12" s="68">
        <f t="shared" si="6"/>
        <v>0</v>
      </c>
      <c r="Y12" s="68">
        <f t="shared" si="7"/>
        <v>0</v>
      </c>
      <c r="Z12" s="68">
        <f t="shared" si="8"/>
        <v>0</v>
      </c>
      <c r="AA12" s="68">
        <f t="shared" si="9"/>
        <v>0</v>
      </c>
      <c r="AB12" s="68">
        <f t="shared" si="10"/>
        <v>0</v>
      </c>
      <c r="AC12" s="72">
        <f t="shared" si="11"/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s="84" customFormat="1" ht="45" customHeight="1" x14ac:dyDescent="0.2">
      <c r="A13" s="124" t="s">
        <v>46</v>
      </c>
      <c r="B13" s="60"/>
      <c r="C13" s="76"/>
      <c r="D13" s="77"/>
      <c r="E13" s="77"/>
      <c r="F13" s="78"/>
      <c r="G13" s="125"/>
      <c r="H13" s="79"/>
      <c r="I13" s="64"/>
      <c r="J13" s="65"/>
      <c r="K13" s="66"/>
      <c r="L13" s="104"/>
      <c r="M13" s="67"/>
      <c r="N13" s="68">
        <f t="shared" si="0"/>
        <v>0</v>
      </c>
      <c r="O13" s="69"/>
      <c r="P13" s="70"/>
      <c r="Q13" s="70"/>
      <c r="R13" s="71"/>
      <c r="S13" s="68">
        <f t="shared" si="1"/>
        <v>0</v>
      </c>
      <c r="T13" s="68">
        <f t="shared" si="2"/>
        <v>0</v>
      </c>
      <c r="U13" s="68">
        <f t="shared" si="3"/>
        <v>0</v>
      </c>
      <c r="V13" s="68">
        <f t="shared" si="4"/>
        <v>0</v>
      </c>
      <c r="W13" s="68">
        <f t="shared" si="5"/>
        <v>0</v>
      </c>
      <c r="X13" s="68">
        <f t="shared" si="6"/>
        <v>0</v>
      </c>
      <c r="Y13" s="68">
        <f t="shared" si="7"/>
        <v>0</v>
      </c>
      <c r="Z13" s="68">
        <f t="shared" si="8"/>
        <v>0</v>
      </c>
      <c r="AA13" s="68">
        <f t="shared" si="9"/>
        <v>0</v>
      </c>
      <c r="AB13" s="68">
        <f t="shared" si="10"/>
        <v>0</v>
      </c>
      <c r="AC13" s="72">
        <f t="shared" si="11"/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s="84" customFormat="1" ht="45" customHeight="1" x14ac:dyDescent="0.2">
      <c r="A14" s="124" t="s">
        <v>47</v>
      </c>
      <c r="B14" s="60"/>
      <c r="C14" s="76"/>
      <c r="D14" s="77"/>
      <c r="E14" s="77"/>
      <c r="F14" s="78"/>
      <c r="G14" s="125"/>
      <c r="H14" s="79"/>
      <c r="I14" s="64"/>
      <c r="J14" s="65"/>
      <c r="K14" s="66"/>
      <c r="L14" s="104"/>
      <c r="M14" s="67"/>
      <c r="N14" s="68">
        <f t="shared" si="0"/>
        <v>0</v>
      </c>
      <c r="O14" s="69"/>
      <c r="P14" s="70"/>
      <c r="Q14" s="70"/>
      <c r="R14" s="71"/>
      <c r="S14" s="68">
        <f t="shared" si="1"/>
        <v>0</v>
      </c>
      <c r="T14" s="68">
        <f t="shared" si="2"/>
        <v>0</v>
      </c>
      <c r="U14" s="68">
        <f t="shared" si="3"/>
        <v>0</v>
      </c>
      <c r="V14" s="68">
        <f t="shared" si="4"/>
        <v>0</v>
      </c>
      <c r="W14" s="68">
        <f t="shared" si="5"/>
        <v>0</v>
      </c>
      <c r="X14" s="68">
        <f t="shared" si="6"/>
        <v>0</v>
      </c>
      <c r="Y14" s="68">
        <f t="shared" si="7"/>
        <v>0</v>
      </c>
      <c r="Z14" s="68">
        <f t="shared" si="8"/>
        <v>0</v>
      </c>
      <c r="AA14" s="68">
        <f t="shared" si="9"/>
        <v>0</v>
      </c>
      <c r="AB14" s="68">
        <f t="shared" si="10"/>
        <v>0</v>
      </c>
      <c r="AC14" s="72">
        <f t="shared" si="11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s="84" customFormat="1" ht="45" customHeight="1" x14ac:dyDescent="0.2">
      <c r="A15" s="124" t="s">
        <v>48</v>
      </c>
      <c r="B15" s="60"/>
      <c r="C15" s="76"/>
      <c r="D15" s="77"/>
      <c r="E15" s="77"/>
      <c r="F15" s="78"/>
      <c r="G15" s="125"/>
      <c r="H15" s="103"/>
      <c r="I15" s="64"/>
      <c r="J15" s="65"/>
      <c r="K15" s="66"/>
      <c r="L15" s="104"/>
      <c r="M15" s="67"/>
      <c r="N15" s="68">
        <f t="shared" si="0"/>
        <v>0</v>
      </c>
      <c r="O15" s="69"/>
      <c r="P15" s="70"/>
      <c r="Q15" s="70"/>
      <c r="R15" s="71"/>
      <c r="S15" s="68">
        <f t="shared" si="1"/>
        <v>0</v>
      </c>
      <c r="T15" s="68">
        <f t="shared" si="2"/>
        <v>0</v>
      </c>
      <c r="U15" s="68">
        <f t="shared" si="3"/>
        <v>0</v>
      </c>
      <c r="V15" s="68">
        <f t="shared" si="4"/>
        <v>0</v>
      </c>
      <c r="W15" s="68">
        <f t="shared" si="5"/>
        <v>0</v>
      </c>
      <c r="X15" s="68">
        <f t="shared" si="6"/>
        <v>0</v>
      </c>
      <c r="Y15" s="68">
        <f t="shared" si="7"/>
        <v>0</v>
      </c>
      <c r="Z15" s="68">
        <f t="shared" si="8"/>
        <v>0</v>
      </c>
      <c r="AA15" s="68">
        <f t="shared" si="9"/>
        <v>0</v>
      </c>
      <c r="AB15" s="68">
        <f t="shared" si="10"/>
        <v>0</v>
      </c>
      <c r="AC15" s="72">
        <f t="shared" si="11"/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s="84" customFormat="1" ht="45" customHeight="1" x14ac:dyDescent="0.2">
      <c r="A16" s="124" t="s">
        <v>49</v>
      </c>
      <c r="B16" s="60"/>
      <c r="C16" s="76"/>
      <c r="D16" s="77"/>
      <c r="E16" s="77"/>
      <c r="F16" s="78"/>
      <c r="G16" s="125"/>
      <c r="H16" s="103"/>
      <c r="I16" s="64"/>
      <c r="J16" s="65"/>
      <c r="K16" s="66"/>
      <c r="L16" s="104"/>
      <c r="M16" s="67"/>
      <c r="N16" s="68">
        <f t="shared" si="0"/>
        <v>0</v>
      </c>
      <c r="O16" s="69"/>
      <c r="P16" s="70"/>
      <c r="Q16" s="70"/>
      <c r="R16" s="71"/>
      <c r="S16" s="68">
        <f t="shared" si="1"/>
        <v>0</v>
      </c>
      <c r="T16" s="68">
        <f t="shared" si="2"/>
        <v>0</v>
      </c>
      <c r="U16" s="68">
        <f t="shared" si="3"/>
        <v>0</v>
      </c>
      <c r="V16" s="68">
        <f t="shared" si="4"/>
        <v>0</v>
      </c>
      <c r="W16" s="68">
        <f t="shared" si="5"/>
        <v>0</v>
      </c>
      <c r="X16" s="68">
        <f t="shared" si="6"/>
        <v>0</v>
      </c>
      <c r="Y16" s="68">
        <f t="shared" si="7"/>
        <v>0</v>
      </c>
      <c r="Z16" s="68">
        <f t="shared" si="8"/>
        <v>0</v>
      </c>
      <c r="AA16" s="68">
        <f t="shared" si="9"/>
        <v>0</v>
      </c>
      <c r="AB16" s="68">
        <f t="shared" si="10"/>
        <v>0</v>
      </c>
      <c r="AC16" s="72">
        <f t="shared" si="11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s="84" customFormat="1" ht="45" customHeight="1" x14ac:dyDescent="0.2">
      <c r="A17" s="124" t="s">
        <v>50</v>
      </c>
      <c r="B17" s="60"/>
      <c r="C17" s="76"/>
      <c r="D17" s="77"/>
      <c r="E17" s="77"/>
      <c r="F17" s="78"/>
      <c r="G17" s="125"/>
      <c r="H17" s="103"/>
      <c r="I17" s="64"/>
      <c r="J17" s="65"/>
      <c r="K17" s="66"/>
      <c r="L17" s="104"/>
      <c r="M17" s="67"/>
      <c r="N17" s="68">
        <f t="shared" si="0"/>
        <v>0</v>
      </c>
      <c r="O17" s="69"/>
      <c r="P17" s="70"/>
      <c r="Q17" s="70"/>
      <c r="R17" s="71"/>
      <c r="S17" s="68">
        <f t="shared" si="1"/>
        <v>0</v>
      </c>
      <c r="T17" s="68">
        <f t="shared" si="2"/>
        <v>0</v>
      </c>
      <c r="U17" s="68">
        <f t="shared" si="3"/>
        <v>0</v>
      </c>
      <c r="V17" s="68">
        <f t="shared" si="4"/>
        <v>0</v>
      </c>
      <c r="W17" s="68">
        <f t="shared" si="5"/>
        <v>0</v>
      </c>
      <c r="X17" s="68">
        <f t="shared" si="6"/>
        <v>0</v>
      </c>
      <c r="Y17" s="68">
        <f t="shared" si="7"/>
        <v>0</v>
      </c>
      <c r="Z17" s="68">
        <f t="shared" si="8"/>
        <v>0</v>
      </c>
      <c r="AA17" s="68">
        <f t="shared" si="9"/>
        <v>0</v>
      </c>
      <c r="AB17" s="68">
        <f t="shared" si="10"/>
        <v>0</v>
      </c>
      <c r="AC17" s="72">
        <f t="shared" si="11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s="84" customFormat="1" ht="45" customHeight="1" x14ac:dyDescent="0.2">
      <c r="A18" s="124" t="s">
        <v>51</v>
      </c>
      <c r="B18" s="60"/>
      <c r="C18" s="76"/>
      <c r="D18" s="77"/>
      <c r="E18" s="77"/>
      <c r="F18" s="78"/>
      <c r="G18" s="125"/>
      <c r="H18" s="103"/>
      <c r="I18" s="64"/>
      <c r="J18" s="65"/>
      <c r="K18" s="66"/>
      <c r="L18" s="104"/>
      <c r="M18" s="67"/>
      <c r="N18" s="68">
        <f t="shared" si="0"/>
        <v>0</v>
      </c>
      <c r="O18" s="69"/>
      <c r="P18" s="70"/>
      <c r="Q18" s="70"/>
      <c r="R18" s="71"/>
      <c r="S18" s="68">
        <f t="shared" si="1"/>
        <v>0</v>
      </c>
      <c r="T18" s="68">
        <f t="shared" si="2"/>
        <v>0</v>
      </c>
      <c r="U18" s="68">
        <f t="shared" si="3"/>
        <v>0</v>
      </c>
      <c r="V18" s="68">
        <f t="shared" si="4"/>
        <v>0</v>
      </c>
      <c r="W18" s="68">
        <f t="shared" si="5"/>
        <v>0</v>
      </c>
      <c r="X18" s="68">
        <f t="shared" si="6"/>
        <v>0</v>
      </c>
      <c r="Y18" s="68">
        <f t="shared" si="7"/>
        <v>0</v>
      </c>
      <c r="Z18" s="68">
        <f t="shared" si="8"/>
        <v>0</v>
      </c>
      <c r="AA18" s="68">
        <f t="shared" si="9"/>
        <v>0</v>
      </c>
      <c r="AB18" s="68">
        <f t="shared" si="10"/>
        <v>0</v>
      </c>
      <c r="AC18" s="72">
        <f t="shared" si="11"/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s="84" customFormat="1" ht="45" customHeight="1" x14ac:dyDescent="0.2">
      <c r="A19" s="124" t="s">
        <v>52</v>
      </c>
      <c r="B19" s="60"/>
      <c r="C19" s="76"/>
      <c r="D19" s="77"/>
      <c r="E19" s="77"/>
      <c r="F19" s="78"/>
      <c r="G19" s="125"/>
      <c r="H19" s="103"/>
      <c r="I19" s="64"/>
      <c r="J19" s="65"/>
      <c r="K19" s="66"/>
      <c r="L19" s="104"/>
      <c r="M19" s="67"/>
      <c r="N19" s="68">
        <f t="shared" si="0"/>
        <v>0</v>
      </c>
      <c r="O19" s="69"/>
      <c r="P19" s="70"/>
      <c r="Q19" s="70"/>
      <c r="R19" s="71"/>
      <c r="S19" s="68">
        <f t="shared" si="1"/>
        <v>0</v>
      </c>
      <c r="T19" s="68">
        <f t="shared" si="2"/>
        <v>0</v>
      </c>
      <c r="U19" s="68">
        <f t="shared" si="3"/>
        <v>0</v>
      </c>
      <c r="V19" s="68">
        <f t="shared" si="4"/>
        <v>0</v>
      </c>
      <c r="W19" s="68">
        <f t="shared" si="5"/>
        <v>0</v>
      </c>
      <c r="X19" s="68">
        <f t="shared" si="6"/>
        <v>0</v>
      </c>
      <c r="Y19" s="68">
        <f t="shared" si="7"/>
        <v>0</v>
      </c>
      <c r="Z19" s="68">
        <f t="shared" si="8"/>
        <v>0</v>
      </c>
      <c r="AA19" s="68">
        <f t="shared" si="9"/>
        <v>0</v>
      </c>
      <c r="AB19" s="68">
        <f t="shared" si="10"/>
        <v>0</v>
      </c>
      <c r="AC19" s="72">
        <f t="shared" si="11"/>
        <v>0</v>
      </c>
      <c r="AD19" s="140">
        <f t="shared" si="12"/>
        <v>0</v>
      </c>
      <c r="AE19" s="140">
        <f t="shared" si="13"/>
        <v>0</v>
      </c>
      <c r="AF19" s="140">
        <f t="shared" si="14"/>
        <v>0</v>
      </c>
      <c r="AG19" s="140"/>
      <c r="AH19" s="141"/>
      <c r="AI19" s="141">
        <f t="shared" si="15"/>
        <v>0</v>
      </c>
      <c r="AJ19" s="146">
        <f t="shared" si="16"/>
        <v>0</v>
      </c>
      <c r="AK19" s="147">
        <v>12</v>
      </c>
      <c r="AL19" s="148"/>
    </row>
    <row r="20" spans="1:38" s="84" customFormat="1" ht="45" customHeight="1" x14ac:dyDescent="0.2">
      <c r="A20" s="124" t="s">
        <v>53</v>
      </c>
      <c r="B20" s="60"/>
      <c r="C20" s="76"/>
      <c r="D20" s="77"/>
      <c r="E20" s="77"/>
      <c r="F20" s="78"/>
      <c r="G20" s="125"/>
      <c r="H20" s="103"/>
      <c r="I20" s="64"/>
      <c r="J20" s="65"/>
      <c r="K20" s="66"/>
      <c r="L20" s="104"/>
      <c r="M20" s="67"/>
      <c r="N20" s="68">
        <f t="shared" si="0"/>
        <v>0</v>
      </c>
      <c r="O20" s="69"/>
      <c r="P20" s="70"/>
      <c r="Q20" s="70"/>
      <c r="R20" s="71"/>
      <c r="S20" s="68">
        <f t="shared" si="1"/>
        <v>0</v>
      </c>
      <c r="T20" s="68">
        <f t="shared" si="2"/>
        <v>0</v>
      </c>
      <c r="U20" s="68">
        <f t="shared" si="3"/>
        <v>0</v>
      </c>
      <c r="V20" s="68">
        <f t="shared" si="4"/>
        <v>0</v>
      </c>
      <c r="W20" s="68">
        <f t="shared" si="5"/>
        <v>0</v>
      </c>
      <c r="X20" s="68">
        <f t="shared" si="6"/>
        <v>0</v>
      </c>
      <c r="Y20" s="68">
        <f t="shared" si="7"/>
        <v>0</v>
      </c>
      <c r="Z20" s="68">
        <f t="shared" si="8"/>
        <v>0</v>
      </c>
      <c r="AA20" s="68">
        <f t="shared" si="9"/>
        <v>0</v>
      </c>
      <c r="AB20" s="68">
        <f t="shared" si="10"/>
        <v>0</v>
      </c>
      <c r="AC20" s="72">
        <f t="shared" si="11"/>
        <v>0</v>
      </c>
      <c r="AD20" s="140">
        <f t="shared" si="12"/>
        <v>0</v>
      </c>
      <c r="AE20" s="140">
        <f t="shared" si="13"/>
        <v>0</v>
      </c>
      <c r="AF20" s="140">
        <f t="shared" si="14"/>
        <v>0</v>
      </c>
      <c r="AG20" s="140"/>
      <c r="AH20" s="141"/>
      <c r="AI20" s="141">
        <f t="shared" si="15"/>
        <v>0</v>
      </c>
      <c r="AJ20" s="146">
        <f t="shared" si="16"/>
        <v>0</v>
      </c>
      <c r="AK20" s="147">
        <v>13</v>
      </c>
      <c r="AL20" s="148"/>
    </row>
    <row r="21" spans="1:38" s="84" customFormat="1" ht="45" customHeight="1" x14ac:dyDescent="0.2">
      <c r="A21" s="124" t="s">
        <v>54</v>
      </c>
      <c r="B21" s="60"/>
      <c r="C21" s="76"/>
      <c r="D21" s="77"/>
      <c r="E21" s="77"/>
      <c r="F21" s="78"/>
      <c r="G21" s="126"/>
      <c r="H21" s="63"/>
      <c r="I21" s="64"/>
      <c r="J21" s="65"/>
      <c r="K21" s="66"/>
      <c r="L21" s="104"/>
      <c r="M21" s="67"/>
      <c r="N21" s="68">
        <f t="shared" si="0"/>
        <v>0</v>
      </c>
      <c r="O21" s="69"/>
      <c r="P21" s="70"/>
      <c r="Q21" s="70"/>
      <c r="R21" s="71"/>
      <c r="S21" s="68">
        <f t="shared" si="1"/>
        <v>0</v>
      </c>
      <c r="T21" s="68">
        <f t="shared" si="2"/>
        <v>0</v>
      </c>
      <c r="U21" s="68">
        <f t="shared" si="3"/>
        <v>0</v>
      </c>
      <c r="V21" s="68">
        <f t="shared" si="4"/>
        <v>0</v>
      </c>
      <c r="W21" s="68">
        <f t="shared" si="5"/>
        <v>0</v>
      </c>
      <c r="X21" s="68">
        <f t="shared" si="6"/>
        <v>0</v>
      </c>
      <c r="Y21" s="68">
        <f t="shared" si="7"/>
        <v>0</v>
      </c>
      <c r="Z21" s="68">
        <f t="shared" si="8"/>
        <v>0</v>
      </c>
      <c r="AA21" s="68">
        <f t="shared" si="9"/>
        <v>0</v>
      </c>
      <c r="AB21" s="68">
        <f t="shared" si="10"/>
        <v>0</v>
      </c>
      <c r="AC21" s="72">
        <f t="shared" si="11"/>
        <v>0</v>
      </c>
      <c r="AD21" s="140">
        <f t="shared" si="12"/>
        <v>0</v>
      </c>
      <c r="AE21" s="140">
        <f t="shared" si="13"/>
        <v>0</v>
      </c>
      <c r="AF21" s="140">
        <f t="shared" si="14"/>
        <v>0</v>
      </c>
      <c r="AG21" s="140"/>
      <c r="AH21" s="141"/>
      <c r="AI21" s="141">
        <f t="shared" si="15"/>
        <v>0</v>
      </c>
      <c r="AJ21" s="146">
        <f t="shared" si="16"/>
        <v>0</v>
      </c>
      <c r="AK21" s="147">
        <v>14</v>
      </c>
      <c r="AL21" s="148"/>
    </row>
    <row r="22" spans="1:38" s="84" customFormat="1" ht="45" customHeight="1" x14ac:dyDescent="0.2">
      <c r="A22" s="124" t="s">
        <v>65</v>
      </c>
      <c r="B22" s="60"/>
      <c r="C22" s="76"/>
      <c r="D22" s="77"/>
      <c r="E22" s="77"/>
      <c r="F22" s="78"/>
      <c r="G22" s="125"/>
      <c r="H22" s="79"/>
      <c r="I22" s="64"/>
      <c r="J22" s="65"/>
      <c r="K22" s="66"/>
      <c r="L22" s="104"/>
      <c r="M22" s="67"/>
      <c r="N22" s="68">
        <f t="shared" si="0"/>
        <v>0</v>
      </c>
      <c r="O22" s="69"/>
      <c r="P22" s="70"/>
      <c r="Q22" s="70"/>
      <c r="R22" s="71"/>
      <c r="S22" s="68">
        <f t="shared" si="1"/>
        <v>0</v>
      </c>
      <c r="T22" s="68">
        <f t="shared" si="2"/>
        <v>0</v>
      </c>
      <c r="U22" s="68">
        <f t="shared" si="3"/>
        <v>0</v>
      </c>
      <c r="V22" s="68">
        <f t="shared" si="4"/>
        <v>0</v>
      </c>
      <c r="W22" s="68">
        <f t="shared" si="5"/>
        <v>0</v>
      </c>
      <c r="X22" s="68">
        <f t="shared" si="6"/>
        <v>0</v>
      </c>
      <c r="Y22" s="68">
        <f t="shared" si="7"/>
        <v>0</v>
      </c>
      <c r="Z22" s="68">
        <f t="shared" si="8"/>
        <v>0</v>
      </c>
      <c r="AA22" s="68">
        <f t="shared" si="9"/>
        <v>0</v>
      </c>
      <c r="AB22" s="68">
        <f t="shared" si="10"/>
        <v>0</v>
      </c>
      <c r="AC22" s="72">
        <f t="shared" si="11"/>
        <v>0</v>
      </c>
      <c r="AD22" s="140">
        <f t="shared" si="12"/>
        <v>0</v>
      </c>
      <c r="AE22" s="140">
        <f t="shared" si="13"/>
        <v>0</v>
      </c>
      <c r="AF22" s="140">
        <f t="shared" si="14"/>
        <v>0</v>
      </c>
      <c r="AG22" s="140"/>
      <c r="AH22" s="141"/>
      <c r="AI22" s="141">
        <f t="shared" si="15"/>
        <v>0</v>
      </c>
      <c r="AJ22" s="146">
        <f t="shared" si="16"/>
        <v>0</v>
      </c>
      <c r="AK22" s="147">
        <v>15</v>
      </c>
      <c r="AL22" s="148"/>
    </row>
    <row r="23" spans="1:38" s="84" customFormat="1" ht="45" customHeight="1" x14ac:dyDescent="0.2">
      <c r="A23" s="124" t="s">
        <v>66</v>
      </c>
      <c r="B23" s="60"/>
      <c r="C23" s="76"/>
      <c r="D23" s="77"/>
      <c r="E23" s="77"/>
      <c r="F23" s="78"/>
      <c r="G23" s="125"/>
      <c r="H23" s="79"/>
      <c r="I23" s="64"/>
      <c r="J23" s="65"/>
      <c r="K23" s="66"/>
      <c r="L23" s="104"/>
      <c r="M23" s="67"/>
      <c r="N23" s="68">
        <f t="shared" si="0"/>
        <v>0</v>
      </c>
      <c r="O23" s="69"/>
      <c r="P23" s="70"/>
      <c r="Q23" s="70"/>
      <c r="R23" s="71"/>
      <c r="S23" s="68">
        <f t="shared" si="1"/>
        <v>0</v>
      </c>
      <c r="T23" s="68">
        <f t="shared" si="2"/>
        <v>0</v>
      </c>
      <c r="U23" s="68">
        <f t="shared" si="3"/>
        <v>0</v>
      </c>
      <c r="V23" s="68">
        <f t="shared" si="4"/>
        <v>0</v>
      </c>
      <c r="W23" s="68">
        <f t="shared" si="5"/>
        <v>0</v>
      </c>
      <c r="X23" s="68">
        <f t="shared" si="6"/>
        <v>0</v>
      </c>
      <c r="Y23" s="68">
        <f t="shared" si="7"/>
        <v>0</v>
      </c>
      <c r="Z23" s="68">
        <f t="shared" si="8"/>
        <v>0</v>
      </c>
      <c r="AA23" s="68">
        <f t="shared" si="9"/>
        <v>0</v>
      </c>
      <c r="AB23" s="68">
        <f t="shared" si="10"/>
        <v>0</v>
      </c>
      <c r="AC23" s="72">
        <f t="shared" si="11"/>
        <v>0</v>
      </c>
      <c r="AD23" s="140">
        <f t="shared" si="12"/>
        <v>0</v>
      </c>
      <c r="AE23" s="140">
        <f t="shared" si="13"/>
        <v>0</v>
      </c>
      <c r="AF23" s="140">
        <f t="shared" si="14"/>
        <v>0</v>
      </c>
      <c r="AG23" s="140"/>
      <c r="AH23" s="141"/>
      <c r="AI23" s="141">
        <f t="shared" si="15"/>
        <v>0</v>
      </c>
      <c r="AJ23" s="146">
        <f t="shared" si="16"/>
        <v>0</v>
      </c>
      <c r="AK23" s="147">
        <v>16</v>
      </c>
      <c r="AL23" s="148"/>
    </row>
    <row r="24" spans="1:38" s="84" customFormat="1" ht="45" customHeight="1" x14ac:dyDescent="0.2">
      <c r="A24" s="124" t="s">
        <v>67</v>
      </c>
      <c r="B24" s="60"/>
      <c r="C24" s="76"/>
      <c r="D24" s="77"/>
      <c r="E24" s="77"/>
      <c r="F24" s="78"/>
      <c r="G24" s="125"/>
      <c r="H24" s="103"/>
      <c r="I24" s="64"/>
      <c r="J24" s="65"/>
      <c r="K24" s="66"/>
      <c r="L24" s="104"/>
      <c r="M24" s="67"/>
      <c r="N24" s="68">
        <f t="shared" si="0"/>
        <v>0</v>
      </c>
      <c r="O24" s="69"/>
      <c r="P24" s="70"/>
      <c r="Q24" s="70"/>
      <c r="R24" s="71"/>
      <c r="S24" s="68">
        <f t="shared" si="1"/>
        <v>0</v>
      </c>
      <c r="T24" s="68">
        <f t="shared" si="2"/>
        <v>0</v>
      </c>
      <c r="U24" s="68">
        <f t="shared" si="3"/>
        <v>0</v>
      </c>
      <c r="V24" s="68">
        <f t="shared" si="4"/>
        <v>0</v>
      </c>
      <c r="W24" s="68">
        <f t="shared" si="5"/>
        <v>0</v>
      </c>
      <c r="X24" s="68">
        <f t="shared" si="6"/>
        <v>0</v>
      </c>
      <c r="Y24" s="68">
        <f t="shared" si="7"/>
        <v>0</v>
      </c>
      <c r="Z24" s="68">
        <f t="shared" si="8"/>
        <v>0</v>
      </c>
      <c r="AA24" s="68">
        <f t="shared" si="9"/>
        <v>0</v>
      </c>
      <c r="AB24" s="68">
        <f t="shared" si="10"/>
        <v>0</v>
      </c>
      <c r="AC24" s="72">
        <f t="shared" si="11"/>
        <v>0</v>
      </c>
      <c r="AD24" s="140">
        <f t="shared" si="12"/>
        <v>0</v>
      </c>
      <c r="AE24" s="140">
        <f t="shared" si="13"/>
        <v>0</v>
      </c>
      <c r="AF24" s="140">
        <f t="shared" si="14"/>
        <v>0</v>
      </c>
      <c r="AG24" s="140"/>
      <c r="AH24" s="141"/>
      <c r="AI24" s="141">
        <f t="shared" si="15"/>
        <v>0</v>
      </c>
      <c r="AJ24" s="146">
        <f t="shared" si="16"/>
        <v>0</v>
      </c>
      <c r="AK24" s="147">
        <v>17</v>
      </c>
      <c r="AL24" s="148"/>
    </row>
    <row r="25" spans="1:38" s="84" customFormat="1" ht="45" customHeight="1" x14ac:dyDescent="0.2">
      <c r="A25" s="124" t="s">
        <v>68</v>
      </c>
      <c r="B25" s="60"/>
      <c r="C25" s="76"/>
      <c r="D25" s="77"/>
      <c r="E25" s="77"/>
      <c r="F25" s="78"/>
      <c r="G25" s="125"/>
      <c r="H25" s="103"/>
      <c r="I25" s="64"/>
      <c r="J25" s="65"/>
      <c r="K25" s="66"/>
      <c r="L25" s="104"/>
      <c r="M25" s="67"/>
      <c r="N25" s="68">
        <f t="shared" si="0"/>
        <v>0</v>
      </c>
      <c r="O25" s="69"/>
      <c r="P25" s="70"/>
      <c r="Q25" s="70"/>
      <c r="R25" s="71"/>
      <c r="S25" s="68">
        <f t="shared" si="1"/>
        <v>0</v>
      </c>
      <c r="T25" s="68">
        <f t="shared" si="2"/>
        <v>0</v>
      </c>
      <c r="U25" s="68">
        <f t="shared" si="3"/>
        <v>0</v>
      </c>
      <c r="V25" s="68">
        <f t="shared" si="4"/>
        <v>0</v>
      </c>
      <c r="W25" s="68">
        <f t="shared" si="5"/>
        <v>0</v>
      </c>
      <c r="X25" s="68">
        <f t="shared" si="6"/>
        <v>0</v>
      </c>
      <c r="Y25" s="68">
        <f t="shared" si="7"/>
        <v>0</v>
      </c>
      <c r="Z25" s="68">
        <f t="shared" si="8"/>
        <v>0</v>
      </c>
      <c r="AA25" s="68">
        <f t="shared" si="9"/>
        <v>0</v>
      </c>
      <c r="AB25" s="68">
        <f t="shared" si="10"/>
        <v>0</v>
      </c>
      <c r="AC25" s="72">
        <f t="shared" si="11"/>
        <v>0</v>
      </c>
      <c r="AD25" s="140">
        <f t="shared" si="12"/>
        <v>0</v>
      </c>
      <c r="AE25" s="140">
        <f t="shared" si="13"/>
        <v>0</v>
      </c>
      <c r="AF25" s="140">
        <f t="shared" si="14"/>
        <v>0</v>
      </c>
      <c r="AG25" s="140"/>
      <c r="AH25" s="141"/>
      <c r="AI25" s="141">
        <f t="shared" si="15"/>
        <v>0</v>
      </c>
      <c r="AJ25" s="146">
        <f t="shared" si="16"/>
        <v>0</v>
      </c>
      <c r="AK25" s="147">
        <v>18</v>
      </c>
      <c r="AL25" s="148"/>
    </row>
    <row r="26" spans="1:38" s="84" customFormat="1" ht="45" customHeight="1" x14ac:dyDescent="0.2">
      <c r="A26" s="124" t="s">
        <v>69</v>
      </c>
      <c r="B26" s="60"/>
      <c r="C26" s="76"/>
      <c r="D26" s="77"/>
      <c r="E26" s="77"/>
      <c r="F26" s="78"/>
      <c r="G26" s="125"/>
      <c r="H26" s="103"/>
      <c r="I26" s="64"/>
      <c r="J26" s="65"/>
      <c r="K26" s="66"/>
      <c r="L26" s="104"/>
      <c r="M26" s="67"/>
      <c r="N26" s="68">
        <f t="shared" si="0"/>
        <v>0</v>
      </c>
      <c r="O26" s="69"/>
      <c r="P26" s="70"/>
      <c r="Q26" s="70"/>
      <c r="R26" s="71"/>
      <c r="S26" s="68">
        <f t="shared" si="1"/>
        <v>0</v>
      </c>
      <c r="T26" s="68">
        <f t="shared" si="2"/>
        <v>0</v>
      </c>
      <c r="U26" s="68">
        <f t="shared" si="3"/>
        <v>0</v>
      </c>
      <c r="V26" s="68">
        <f t="shared" si="4"/>
        <v>0</v>
      </c>
      <c r="W26" s="68">
        <f t="shared" si="5"/>
        <v>0</v>
      </c>
      <c r="X26" s="68">
        <f t="shared" si="6"/>
        <v>0</v>
      </c>
      <c r="Y26" s="68">
        <f t="shared" si="7"/>
        <v>0</v>
      </c>
      <c r="Z26" s="68">
        <f t="shared" si="8"/>
        <v>0</v>
      </c>
      <c r="AA26" s="68">
        <f t="shared" si="9"/>
        <v>0</v>
      </c>
      <c r="AB26" s="68">
        <f t="shared" si="10"/>
        <v>0</v>
      </c>
      <c r="AC26" s="72">
        <f t="shared" si="11"/>
        <v>0</v>
      </c>
      <c r="AD26" s="140">
        <f t="shared" si="12"/>
        <v>0</v>
      </c>
      <c r="AE26" s="140">
        <f t="shared" si="13"/>
        <v>0</v>
      </c>
      <c r="AF26" s="140">
        <f t="shared" si="14"/>
        <v>0</v>
      </c>
      <c r="AG26" s="140"/>
      <c r="AH26" s="141"/>
      <c r="AI26" s="141">
        <f t="shared" si="15"/>
        <v>0</v>
      </c>
      <c r="AJ26" s="146">
        <f t="shared" si="16"/>
        <v>0</v>
      </c>
      <c r="AK26" s="147">
        <v>19</v>
      </c>
      <c r="AL26" s="148"/>
    </row>
    <row r="27" spans="1:38" s="84" customFormat="1" ht="45" customHeight="1" x14ac:dyDescent="0.2">
      <c r="A27" s="124" t="s">
        <v>70</v>
      </c>
      <c r="B27" s="60"/>
      <c r="C27" s="76"/>
      <c r="D27" s="77"/>
      <c r="E27" s="77"/>
      <c r="F27" s="78"/>
      <c r="G27" s="125"/>
      <c r="H27" s="103"/>
      <c r="I27" s="64"/>
      <c r="J27" s="65"/>
      <c r="K27" s="66"/>
      <c r="L27" s="104"/>
      <c r="M27" s="67"/>
      <c r="N27" s="68">
        <f t="shared" si="0"/>
        <v>0</v>
      </c>
      <c r="O27" s="69"/>
      <c r="P27" s="70"/>
      <c r="Q27" s="70"/>
      <c r="R27" s="71"/>
      <c r="S27" s="68">
        <f t="shared" si="1"/>
        <v>0</v>
      </c>
      <c r="T27" s="68">
        <f t="shared" si="2"/>
        <v>0</v>
      </c>
      <c r="U27" s="68">
        <f t="shared" si="3"/>
        <v>0</v>
      </c>
      <c r="V27" s="68">
        <f t="shared" si="4"/>
        <v>0</v>
      </c>
      <c r="W27" s="68">
        <f t="shared" si="5"/>
        <v>0</v>
      </c>
      <c r="X27" s="68">
        <f t="shared" si="6"/>
        <v>0</v>
      </c>
      <c r="Y27" s="68">
        <f t="shared" si="7"/>
        <v>0</v>
      </c>
      <c r="Z27" s="68">
        <f t="shared" si="8"/>
        <v>0</v>
      </c>
      <c r="AA27" s="68">
        <f t="shared" si="9"/>
        <v>0</v>
      </c>
      <c r="AB27" s="68">
        <f t="shared" si="10"/>
        <v>0</v>
      </c>
      <c r="AC27" s="72">
        <f t="shared" si="11"/>
        <v>0</v>
      </c>
      <c r="AD27" s="140">
        <f t="shared" si="12"/>
        <v>0</v>
      </c>
      <c r="AE27" s="140">
        <f t="shared" si="13"/>
        <v>0</v>
      </c>
      <c r="AF27" s="140">
        <f t="shared" si="14"/>
        <v>0</v>
      </c>
      <c r="AG27" s="140"/>
      <c r="AH27" s="141"/>
      <c r="AI27" s="141">
        <f t="shared" si="15"/>
        <v>0</v>
      </c>
      <c r="AJ27" s="146">
        <f t="shared" si="16"/>
        <v>0</v>
      </c>
      <c r="AK27" s="147">
        <v>20</v>
      </c>
      <c r="AL27" s="148"/>
    </row>
    <row r="28" spans="1:38" s="84" customFormat="1" ht="45" customHeight="1" x14ac:dyDescent="0.2">
      <c r="A28" s="124" t="s">
        <v>71</v>
      </c>
      <c r="B28" s="60"/>
      <c r="C28" s="76"/>
      <c r="D28" s="77"/>
      <c r="E28" s="77"/>
      <c r="F28" s="78"/>
      <c r="G28" s="125"/>
      <c r="H28" s="103"/>
      <c r="I28" s="64"/>
      <c r="J28" s="65"/>
      <c r="K28" s="66"/>
      <c r="L28" s="104"/>
      <c r="M28" s="67"/>
      <c r="N28" s="68">
        <f t="shared" si="0"/>
        <v>0</v>
      </c>
      <c r="O28" s="69"/>
      <c r="P28" s="70"/>
      <c r="Q28" s="70"/>
      <c r="R28" s="71"/>
      <c r="S28" s="68">
        <f t="shared" si="1"/>
        <v>0</v>
      </c>
      <c r="T28" s="68">
        <f t="shared" si="2"/>
        <v>0</v>
      </c>
      <c r="U28" s="68">
        <f t="shared" si="3"/>
        <v>0</v>
      </c>
      <c r="V28" s="68">
        <f t="shared" si="4"/>
        <v>0</v>
      </c>
      <c r="W28" s="68">
        <f t="shared" si="5"/>
        <v>0</v>
      </c>
      <c r="X28" s="68">
        <f t="shared" si="6"/>
        <v>0</v>
      </c>
      <c r="Y28" s="68">
        <f t="shared" si="7"/>
        <v>0</v>
      </c>
      <c r="Z28" s="68">
        <f t="shared" si="8"/>
        <v>0</v>
      </c>
      <c r="AA28" s="68">
        <f t="shared" si="9"/>
        <v>0</v>
      </c>
      <c r="AB28" s="68">
        <f t="shared" si="10"/>
        <v>0</v>
      </c>
      <c r="AC28" s="72">
        <f t="shared" si="11"/>
        <v>0</v>
      </c>
      <c r="AD28" s="140">
        <f t="shared" si="12"/>
        <v>0</v>
      </c>
      <c r="AE28" s="140">
        <f t="shared" si="13"/>
        <v>0</v>
      </c>
      <c r="AF28" s="140">
        <f t="shared" si="14"/>
        <v>0</v>
      </c>
      <c r="AG28" s="140"/>
      <c r="AH28" s="141"/>
      <c r="AI28" s="141">
        <f t="shared" si="15"/>
        <v>0</v>
      </c>
      <c r="AJ28" s="146">
        <f t="shared" si="16"/>
        <v>0</v>
      </c>
      <c r="AK28" s="147">
        <v>21</v>
      </c>
      <c r="AL28" s="148"/>
    </row>
    <row r="29" spans="1:38" s="84" customFormat="1" ht="45" customHeight="1" x14ac:dyDescent="0.2">
      <c r="A29" s="124" t="s">
        <v>72</v>
      </c>
      <c r="B29" s="60"/>
      <c r="C29" s="76"/>
      <c r="D29" s="77"/>
      <c r="E29" s="77"/>
      <c r="F29" s="78"/>
      <c r="G29" s="125"/>
      <c r="H29" s="103"/>
      <c r="I29" s="64"/>
      <c r="J29" s="65"/>
      <c r="K29" s="66"/>
      <c r="L29" s="104"/>
      <c r="M29" s="67"/>
      <c r="N29" s="68">
        <f t="shared" si="0"/>
        <v>0</v>
      </c>
      <c r="O29" s="69"/>
      <c r="P29" s="70"/>
      <c r="Q29" s="70"/>
      <c r="R29" s="71"/>
      <c r="S29" s="68">
        <f t="shared" si="1"/>
        <v>0</v>
      </c>
      <c r="T29" s="68">
        <f t="shared" si="2"/>
        <v>0</v>
      </c>
      <c r="U29" s="68">
        <f t="shared" si="3"/>
        <v>0</v>
      </c>
      <c r="V29" s="68">
        <f t="shared" si="4"/>
        <v>0</v>
      </c>
      <c r="W29" s="68">
        <f t="shared" si="5"/>
        <v>0</v>
      </c>
      <c r="X29" s="68">
        <f t="shared" si="6"/>
        <v>0</v>
      </c>
      <c r="Y29" s="68">
        <f t="shared" si="7"/>
        <v>0</v>
      </c>
      <c r="Z29" s="68">
        <f t="shared" si="8"/>
        <v>0</v>
      </c>
      <c r="AA29" s="68">
        <f t="shared" si="9"/>
        <v>0</v>
      </c>
      <c r="AB29" s="68">
        <f t="shared" si="10"/>
        <v>0</v>
      </c>
      <c r="AC29" s="72">
        <f t="shared" si="11"/>
        <v>0</v>
      </c>
      <c r="AD29" s="140">
        <f t="shared" si="12"/>
        <v>0</v>
      </c>
      <c r="AE29" s="140">
        <f t="shared" si="13"/>
        <v>0</v>
      </c>
      <c r="AF29" s="140">
        <f t="shared" si="14"/>
        <v>0</v>
      </c>
      <c r="AG29" s="140"/>
      <c r="AH29" s="141"/>
      <c r="AI29" s="141">
        <f t="shared" si="15"/>
        <v>0</v>
      </c>
      <c r="AJ29" s="146">
        <f t="shared" si="16"/>
        <v>0</v>
      </c>
      <c r="AK29" s="147">
        <v>22</v>
      </c>
      <c r="AL29" s="148"/>
    </row>
    <row r="30" spans="1:38" s="84" customFormat="1" ht="45" customHeight="1" x14ac:dyDescent="0.2">
      <c r="A30" s="124" t="s">
        <v>73</v>
      </c>
      <c r="B30" s="60"/>
      <c r="C30" s="76"/>
      <c r="D30" s="77"/>
      <c r="E30" s="77"/>
      <c r="F30" s="78"/>
      <c r="G30" s="126"/>
      <c r="H30" s="63"/>
      <c r="I30" s="64"/>
      <c r="J30" s="65"/>
      <c r="K30" s="66"/>
      <c r="L30" s="104"/>
      <c r="M30" s="67"/>
      <c r="N30" s="68">
        <f t="shared" si="0"/>
        <v>0</v>
      </c>
      <c r="O30" s="69"/>
      <c r="P30" s="70"/>
      <c r="Q30" s="70"/>
      <c r="R30" s="71"/>
      <c r="S30" s="68">
        <f t="shared" si="1"/>
        <v>0</v>
      </c>
      <c r="T30" s="68">
        <f t="shared" si="2"/>
        <v>0</v>
      </c>
      <c r="U30" s="68">
        <f t="shared" si="3"/>
        <v>0</v>
      </c>
      <c r="V30" s="68">
        <f t="shared" si="4"/>
        <v>0</v>
      </c>
      <c r="W30" s="68">
        <f t="shared" si="5"/>
        <v>0</v>
      </c>
      <c r="X30" s="68">
        <f t="shared" si="6"/>
        <v>0</v>
      </c>
      <c r="Y30" s="68">
        <f t="shared" si="7"/>
        <v>0</v>
      </c>
      <c r="Z30" s="68">
        <f t="shared" si="8"/>
        <v>0</v>
      </c>
      <c r="AA30" s="68">
        <f t="shared" si="9"/>
        <v>0</v>
      </c>
      <c r="AB30" s="68">
        <f t="shared" si="10"/>
        <v>0</v>
      </c>
      <c r="AC30" s="72">
        <f t="shared" si="11"/>
        <v>0</v>
      </c>
      <c r="AD30" s="140">
        <f t="shared" si="12"/>
        <v>0</v>
      </c>
      <c r="AE30" s="140">
        <f t="shared" si="13"/>
        <v>0</v>
      </c>
      <c r="AF30" s="140">
        <f t="shared" si="14"/>
        <v>0</v>
      </c>
      <c r="AG30" s="140"/>
      <c r="AH30" s="141"/>
      <c r="AI30" s="141">
        <f t="shared" si="15"/>
        <v>0</v>
      </c>
      <c r="AJ30" s="146">
        <f t="shared" si="16"/>
        <v>0</v>
      </c>
      <c r="AK30" s="147">
        <v>23</v>
      </c>
      <c r="AL30" s="148"/>
    </row>
    <row r="31" spans="1:38" s="84" customFormat="1" ht="45" customHeight="1" x14ac:dyDescent="0.2">
      <c r="A31" s="124" t="s">
        <v>74</v>
      </c>
      <c r="B31" s="60"/>
      <c r="C31" s="76"/>
      <c r="D31" s="77"/>
      <c r="E31" s="77"/>
      <c r="F31" s="78"/>
      <c r="G31" s="125"/>
      <c r="H31" s="103"/>
      <c r="I31" s="64"/>
      <c r="J31" s="65"/>
      <c r="K31" s="66"/>
      <c r="L31" s="104"/>
      <c r="M31" s="67"/>
      <c r="N31" s="68">
        <f t="shared" si="0"/>
        <v>0</v>
      </c>
      <c r="O31" s="69"/>
      <c r="P31" s="70"/>
      <c r="Q31" s="70"/>
      <c r="R31" s="71"/>
      <c r="S31" s="68">
        <f t="shared" si="1"/>
        <v>0</v>
      </c>
      <c r="T31" s="68">
        <f t="shared" si="2"/>
        <v>0</v>
      </c>
      <c r="U31" s="68">
        <f t="shared" si="3"/>
        <v>0</v>
      </c>
      <c r="V31" s="68">
        <f t="shared" si="4"/>
        <v>0</v>
      </c>
      <c r="W31" s="68">
        <f t="shared" si="5"/>
        <v>0</v>
      </c>
      <c r="X31" s="68">
        <f t="shared" si="6"/>
        <v>0</v>
      </c>
      <c r="Y31" s="68">
        <f t="shared" si="7"/>
        <v>0</v>
      </c>
      <c r="Z31" s="68">
        <f t="shared" si="8"/>
        <v>0</v>
      </c>
      <c r="AA31" s="68">
        <f t="shared" si="9"/>
        <v>0</v>
      </c>
      <c r="AB31" s="68">
        <f t="shared" si="10"/>
        <v>0</v>
      </c>
      <c r="AC31" s="72">
        <f t="shared" si="11"/>
        <v>0</v>
      </c>
      <c r="AD31" s="140">
        <f t="shared" si="12"/>
        <v>0</v>
      </c>
      <c r="AE31" s="140">
        <f t="shared" si="13"/>
        <v>0</v>
      </c>
      <c r="AF31" s="140">
        <f t="shared" si="14"/>
        <v>0</v>
      </c>
      <c r="AG31" s="140"/>
      <c r="AH31" s="141"/>
      <c r="AI31" s="141">
        <f t="shared" si="15"/>
        <v>0</v>
      </c>
      <c r="AJ31" s="146">
        <f t="shared" si="16"/>
        <v>0</v>
      </c>
      <c r="AK31" s="147">
        <v>24</v>
      </c>
      <c r="AL31" s="148"/>
    </row>
    <row r="32" spans="1:38" x14ac:dyDescent="0.2">
      <c r="B32" s="7"/>
      <c r="C32" s="7"/>
      <c r="D32" s="7"/>
      <c r="E32" s="7"/>
      <c r="F32" s="7"/>
      <c r="G32" s="7"/>
      <c r="H32" s="7"/>
      <c r="I32" s="7"/>
      <c r="K32" s="8"/>
      <c r="L32" s="9"/>
      <c r="M32" s="9"/>
      <c r="N32" s="6">
        <f>I32*(SUM(K32:M32))</f>
        <v>0</v>
      </c>
      <c r="O32" s="10"/>
      <c r="P32" s="11"/>
      <c r="Q32" s="11"/>
      <c r="R32" s="11"/>
      <c r="S32" s="12"/>
      <c r="T32" s="11">
        <f>SUM(T8:T31)</f>
        <v>0</v>
      </c>
      <c r="U32" s="12"/>
      <c r="V32" s="12"/>
      <c r="W32" s="12"/>
      <c r="X32" s="11">
        <f>SUM(X8:X31)</f>
        <v>0</v>
      </c>
      <c r="Y32" s="12"/>
      <c r="Z32" s="11">
        <f>SUM(Z8:Z31)</f>
        <v>0</v>
      </c>
      <c r="AA32" s="12"/>
      <c r="AB32" s="11">
        <f t="shared" ref="AB32:AJ32" si="17">SUM(AB8:AB31)</f>
        <v>0</v>
      </c>
      <c r="AC32" s="11">
        <f t="shared" si="17"/>
        <v>0</v>
      </c>
      <c r="AD32" s="11">
        <f t="shared" si="17"/>
        <v>0</v>
      </c>
      <c r="AE32" s="11">
        <f t="shared" si="17"/>
        <v>0</v>
      </c>
      <c r="AF32" s="11">
        <f t="shared" si="17"/>
        <v>0</v>
      </c>
      <c r="AG32" s="11">
        <f t="shared" si="17"/>
        <v>0</v>
      </c>
      <c r="AH32" s="11">
        <f t="shared" si="17"/>
        <v>0</v>
      </c>
      <c r="AI32" s="11">
        <f t="shared" si="17"/>
        <v>0</v>
      </c>
      <c r="AJ32" s="11">
        <f t="shared" si="17"/>
        <v>0</v>
      </c>
      <c r="AK32" s="11"/>
      <c r="AL32" s="11">
        <f>SUM(AL8:AL31)</f>
        <v>0</v>
      </c>
    </row>
    <row r="33" spans="2:35" ht="19" customHeight="1" x14ac:dyDescent="0.25">
      <c r="B33" s="7"/>
      <c r="C33" s="7"/>
      <c r="D33" s="7"/>
      <c r="E33" s="7"/>
      <c r="F33" s="7"/>
      <c r="G33" s="7"/>
      <c r="H33" s="7"/>
      <c r="I33" s="7"/>
      <c r="K33" s="15"/>
      <c r="L33" s="7"/>
      <c r="M33" s="7"/>
      <c r="N33" s="99"/>
      <c r="O33" s="100"/>
      <c r="P33" s="101"/>
      <c r="Q33" s="101"/>
      <c r="R33" s="101"/>
      <c r="S33" s="102"/>
      <c r="T33" s="101"/>
      <c r="U33" s="102"/>
      <c r="V33" s="102"/>
      <c r="W33" s="102"/>
      <c r="X33" s="101"/>
      <c r="Y33" s="102"/>
      <c r="Z33" s="101"/>
      <c r="AA33" s="102"/>
      <c r="AB33" s="101"/>
      <c r="AC33" s="101"/>
      <c r="AE33" s="53"/>
      <c r="AF33" s="53"/>
      <c r="AG33" s="53"/>
      <c r="AH33" s="7"/>
      <c r="AI33" s="19"/>
    </row>
    <row r="34" spans="2:35" ht="19" customHeight="1" x14ac:dyDescent="0.25">
      <c r="B34" s="174" t="s">
        <v>55</v>
      </c>
      <c r="C34" s="175"/>
      <c r="D34" s="175"/>
      <c r="E34" s="175"/>
      <c r="F34" s="175"/>
      <c r="G34" s="175"/>
      <c r="H34" s="175"/>
      <c r="I34" s="175"/>
      <c r="J34" s="175"/>
      <c r="K34" s="175"/>
      <c r="L34" s="175"/>
      <c r="M34" s="175"/>
      <c r="N34" s="175"/>
      <c r="O34" s="176"/>
      <c r="P34" s="175"/>
      <c r="Q34" s="175"/>
      <c r="R34" s="175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E34" s="54"/>
      <c r="AF34" s="54"/>
      <c r="AG34" s="50"/>
      <c r="AH34" s="7"/>
      <c r="AI34" s="7"/>
    </row>
    <row r="35" spans="2:35" ht="14.5" customHeight="1" x14ac:dyDescent="0.25">
      <c r="B35" s="174" t="s">
        <v>56</v>
      </c>
      <c r="C35" s="175"/>
      <c r="D35" s="175"/>
      <c r="E35" s="175"/>
      <c r="F35" s="175"/>
      <c r="G35" s="175"/>
      <c r="H35" s="175"/>
      <c r="I35" s="175"/>
      <c r="J35" s="175"/>
      <c r="K35" s="175"/>
      <c r="L35" s="175"/>
      <c r="M35" s="175"/>
      <c r="N35" s="175"/>
      <c r="O35" s="176"/>
      <c r="P35" s="175"/>
      <c r="Q35" s="175"/>
      <c r="R35" s="175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1"/>
      <c r="AE35" s="54"/>
      <c r="AF35" s="54"/>
      <c r="AG35" s="50"/>
    </row>
    <row r="36" spans="2:35" ht="19" customHeight="1" x14ac:dyDescent="0.25"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2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3"/>
      <c r="AE36" s="54"/>
      <c r="AF36" s="54"/>
      <c r="AG36" s="50"/>
    </row>
    <row r="37" spans="2:35" ht="19" customHeight="1" x14ac:dyDescent="0.25"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2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3"/>
      <c r="AE37" s="136"/>
      <c r="AF37" s="54" t="s">
        <v>57</v>
      </c>
      <c r="AG37" s="136"/>
    </row>
    <row r="38" spans="2:35" ht="19" customHeight="1" x14ac:dyDescent="0.25"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2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5"/>
      <c r="AE38" s="54"/>
      <c r="AF38" s="53"/>
      <c r="AG38" s="54"/>
    </row>
    <row r="39" spans="2:35" ht="19" customHeight="1" x14ac:dyDescent="0.25">
      <c r="B39" s="50"/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2"/>
      <c r="P39" s="50"/>
      <c r="Q39" s="50"/>
      <c r="R39" s="50"/>
      <c r="S39" s="50"/>
      <c r="T39" s="52"/>
      <c r="U39" s="52"/>
      <c r="V39" s="50"/>
      <c r="W39" s="50"/>
      <c r="X39" s="50"/>
      <c r="Y39" s="50"/>
      <c r="Z39" s="50"/>
      <c r="AA39" s="50"/>
      <c r="AB39" s="50"/>
      <c r="AC39" s="50"/>
      <c r="AD39" s="7"/>
      <c r="AE39" s="7"/>
      <c r="AF39" s="50"/>
      <c r="AG39" s="7"/>
    </row>
    <row r="40" spans="2:35" ht="19" customHeight="1" x14ac:dyDescent="0.25">
      <c r="B40" s="199" t="s">
        <v>58</v>
      </c>
      <c r="C40" s="175"/>
      <c r="D40" s="175"/>
      <c r="E40" s="175"/>
      <c r="F40" s="175"/>
      <c r="G40" s="175"/>
      <c r="H40" s="175"/>
      <c r="I40" s="175"/>
      <c r="J40" s="175"/>
      <c r="K40" s="175"/>
      <c r="L40" s="175"/>
      <c r="M40" s="175"/>
      <c r="N40" s="175"/>
      <c r="O40" s="176"/>
      <c r="P40" s="175"/>
      <c r="Q40" s="175"/>
      <c r="R40" s="175"/>
      <c r="S40" s="56"/>
      <c r="T40" s="56"/>
      <c r="U40" s="56"/>
      <c r="V40" s="56"/>
      <c r="W40" s="56"/>
      <c r="X40" s="50"/>
      <c r="Y40" s="50"/>
      <c r="Z40" s="50"/>
      <c r="AA40" s="50"/>
      <c r="AB40" s="50"/>
      <c r="AC40" s="50"/>
      <c r="AD40" s="18"/>
      <c r="AE40" s="18"/>
      <c r="AF40" s="50"/>
      <c r="AG40" s="18"/>
      <c r="AH40" s="7"/>
    </row>
    <row r="41" spans="2:35" ht="19" customHeight="1" x14ac:dyDescent="0.25">
      <c r="B41" s="174" t="s">
        <v>60</v>
      </c>
      <c r="C41" s="175"/>
      <c r="D41" s="175"/>
      <c r="E41" s="175"/>
      <c r="F41" s="175"/>
      <c r="G41" s="175"/>
      <c r="H41" s="175"/>
      <c r="I41" s="175"/>
      <c r="J41" s="175"/>
      <c r="K41" s="175"/>
      <c r="L41" s="175"/>
      <c r="M41" s="175"/>
      <c r="N41" s="175"/>
      <c r="O41" s="176"/>
      <c r="P41" s="175"/>
      <c r="Q41" s="175"/>
      <c r="R41" s="175"/>
      <c r="S41" s="56"/>
      <c r="T41" s="56"/>
      <c r="U41" s="56"/>
      <c r="V41" s="56"/>
      <c r="W41" s="56"/>
      <c r="X41" s="50"/>
      <c r="Y41" s="50"/>
      <c r="Z41" s="50"/>
      <c r="AA41" s="50"/>
      <c r="AB41" s="50"/>
      <c r="AC41" s="50"/>
      <c r="AD41" s="18"/>
      <c r="AE41" s="18"/>
      <c r="AF41" s="50"/>
      <c r="AG41" s="18"/>
      <c r="AH41" s="7"/>
    </row>
    <row r="42" spans="2:35" ht="19" customHeight="1" x14ac:dyDescent="0.25">
      <c r="X42" s="7"/>
      <c r="Y42" s="7"/>
      <c r="Z42" s="7"/>
      <c r="AA42" s="7"/>
      <c r="AB42" s="7"/>
      <c r="AC42" s="7"/>
      <c r="AD42" s="19"/>
      <c r="AE42" s="19"/>
      <c r="AF42" s="136" t="s">
        <v>59</v>
      </c>
      <c r="AG42" s="19"/>
      <c r="AH42" s="7"/>
    </row>
    <row r="43" spans="2:35" ht="19" customHeight="1" x14ac:dyDescent="0.25">
      <c r="V43" s="7"/>
      <c r="W43" s="7"/>
      <c r="X43" s="7"/>
      <c r="Y43" s="7"/>
      <c r="Z43" s="7"/>
      <c r="AA43" s="7"/>
      <c r="AB43" s="7"/>
      <c r="AC43" s="18" t="s">
        <v>62</v>
      </c>
      <c r="AD43" s="18"/>
      <c r="AE43" s="18"/>
      <c r="AF43" s="54" t="s">
        <v>61</v>
      </c>
      <c r="AG43" s="18"/>
      <c r="AH43" s="7"/>
      <c r="AI43" s="7"/>
    </row>
    <row r="44" spans="2:35" x14ac:dyDescent="0.2">
      <c r="V44" s="7"/>
      <c r="W44" s="7"/>
      <c r="X44" s="7"/>
      <c r="Y44" s="7"/>
      <c r="Z44" s="7"/>
      <c r="AA44" s="7"/>
      <c r="AB44" s="7"/>
      <c r="AC44" s="18"/>
      <c r="AD44" s="18"/>
      <c r="AE44" s="18"/>
      <c r="AF44" s="18"/>
      <c r="AG44" s="18"/>
      <c r="AH44" s="7"/>
      <c r="AI44" s="7"/>
    </row>
    <row r="45" spans="2:35" x14ac:dyDescent="0.2">
      <c r="V45" s="7"/>
      <c r="W45" s="7"/>
      <c r="X45" s="7"/>
      <c r="Y45" s="7"/>
      <c r="Z45" s="7"/>
      <c r="AA45" s="7"/>
      <c r="AB45" s="7"/>
      <c r="AC45" s="19"/>
      <c r="AD45" s="7"/>
      <c r="AE45" s="7"/>
      <c r="AF45" s="7"/>
      <c r="AG45" s="7"/>
      <c r="AH45" s="7"/>
      <c r="AI45" s="7"/>
    </row>
    <row r="46" spans="2:35" x14ac:dyDescent="0.2">
      <c r="V46" s="7"/>
      <c r="W46" s="7"/>
      <c r="X46" s="7"/>
      <c r="Y46" s="7"/>
      <c r="Z46" s="7"/>
      <c r="AA46" s="7"/>
      <c r="AB46" s="7"/>
      <c r="AC46" s="18"/>
      <c r="AD46" s="20"/>
      <c r="AE46" s="20"/>
      <c r="AF46" s="20"/>
      <c r="AG46" s="20"/>
      <c r="AH46" s="7"/>
      <c r="AI46" s="7"/>
    </row>
    <row r="47" spans="2:35" x14ac:dyDescent="0.2">
      <c r="V47" s="7"/>
      <c r="W47" s="7"/>
      <c r="X47" s="7"/>
      <c r="Y47" s="7"/>
      <c r="Z47" s="7"/>
      <c r="AA47" s="7"/>
      <c r="AB47" s="7"/>
      <c r="AC47" s="18"/>
      <c r="AD47" s="18"/>
      <c r="AE47" s="18"/>
      <c r="AF47" s="18"/>
      <c r="AG47" s="18"/>
      <c r="AH47" s="7"/>
      <c r="AI47" s="7"/>
    </row>
    <row r="48" spans="2:35" x14ac:dyDescent="0.2">
      <c r="V48" s="7"/>
      <c r="W48" s="7"/>
      <c r="X48" s="7"/>
      <c r="Y48" s="7"/>
      <c r="Z48" s="7"/>
      <c r="AA48" s="7"/>
      <c r="AB48" s="7"/>
      <c r="AC48" s="7"/>
      <c r="AD48" s="21"/>
      <c r="AE48" s="21"/>
      <c r="AF48" s="21"/>
      <c r="AG48" s="21"/>
      <c r="AH48" s="7"/>
      <c r="AI48" s="7"/>
    </row>
    <row r="49" spans="20:35" x14ac:dyDescent="0.2">
      <c r="T49" s="20"/>
      <c r="V49" s="7"/>
      <c r="W49" s="7"/>
      <c r="X49" s="20"/>
      <c r="Y49" s="7"/>
      <c r="Z49" s="20"/>
      <c r="AA49" s="7"/>
      <c r="AB49" s="20"/>
      <c r="AC49" s="20"/>
      <c r="AD49" s="21"/>
      <c r="AE49" s="21"/>
      <c r="AF49" s="21"/>
      <c r="AG49" s="21"/>
      <c r="AH49" s="7"/>
      <c r="AI49" s="7"/>
    </row>
    <row r="50" spans="20:35" x14ac:dyDescent="0.2">
      <c r="T50" s="21"/>
      <c r="U50" s="21"/>
      <c r="V50" s="18"/>
      <c r="W50" s="18"/>
      <c r="X50" s="18"/>
      <c r="Y50" s="18"/>
      <c r="Z50" s="18"/>
      <c r="AA50" s="18"/>
      <c r="AB50" s="18"/>
      <c r="AC50" s="18"/>
      <c r="AD50" s="23"/>
      <c r="AE50" s="23"/>
      <c r="AF50" s="23"/>
      <c r="AG50" s="23"/>
      <c r="AH50" s="7"/>
      <c r="AI50" s="7"/>
    </row>
    <row r="51" spans="20:35" x14ac:dyDescent="0.2">
      <c r="T51" s="21"/>
      <c r="U51" s="21"/>
      <c r="V51" s="18"/>
      <c r="W51" s="18"/>
      <c r="X51" s="21"/>
      <c r="Y51" s="18"/>
      <c r="Z51" s="21"/>
      <c r="AA51" s="18"/>
      <c r="AB51" s="21"/>
      <c r="AC51" s="21"/>
      <c r="AD51" s="23"/>
      <c r="AE51" s="23"/>
      <c r="AF51" s="23"/>
      <c r="AG51" s="23"/>
      <c r="AH51" s="7"/>
      <c r="AI51" s="7"/>
    </row>
    <row r="52" spans="20:35" x14ac:dyDescent="0.2">
      <c r="T52" s="21"/>
      <c r="U52" s="22"/>
      <c r="V52" s="23"/>
      <c r="W52" s="23"/>
      <c r="X52" s="21"/>
      <c r="Y52" s="23"/>
      <c r="Z52" s="21"/>
      <c r="AA52" s="23"/>
      <c r="AB52" s="21"/>
      <c r="AC52" s="21"/>
      <c r="AD52" s="7"/>
      <c r="AE52" s="7"/>
      <c r="AF52" s="7"/>
      <c r="AG52" s="7"/>
      <c r="AH52" s="7"/>
      <c r="AI52" s="7"/>
    </row>
    <row r="53" spans="20:35" x14ac:dyDescent="0.2">
      <c r="T53" s="22"/>
      <c r="U53" s="22"/>
      <c r="V53" s="23"/>
      <c r="W53" s="23"/>
      <c r="X53" s="23"/>
      <c r="Y53" s="23"/>
      <c r="Z53" s="23"/>
      <c r="AA53" s="23"/>
      <c r="AB53" s="23"/>
      <c r="AC53" s="23"/>
      <c r="AD53" s="7"/>
      <c r="AE53" s="7"/>
      <c r="AF53" s="7"/>
      <c r="AG53" s="7"/>
      <c r="AH53" s="7"/>
      <c r="AI53" s="7"/>
    </row>
    <row r="54" spans="20:35" x14ac:dyDescent="0.2">
      <c r="T54" s="22"/>
      <c r="U54" s="22"/>
      <c r="V54" s="23"/>
      <c r="W54" s="23"/>
      <c r="X54" s="23"/>
      <c r="Y54" s="23"/>
      <c r="Z54" s="23"/>
      <c r="AA54" s="23"/>
      <c r="AB54" s="23"/>
      <c r="AC54" s="23"/>
      <c r="AD54" s="7"/>
      <c r="AE54" s="7"/>
      <c r="AF54" s="7"/>
      <c r="AG54" s="7"/>
      <c r="AH54" s="7"/>
      <c r="AI54" s="7"/>
    </row>
    <row r="55" spans="20:35" x14ac:dyDescent="0.2"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</row>
    <row r="56" spans="20:35" x14ac:dyDescent="0.2"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</row>
    <row r="57" spans="20:35" x14ac:dyDescent="0.2"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</row>
    <row r="58" spans="20:35" x14ac:dyDescent="0.2"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</row>
    <row r="59" spans="20:35" x14ac:dyDescent="0.2"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</row>
    <row r="60" spans="20:35" x14ac:dyDescent="0.2"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</row>
    <row r="61" spans="20:35" x14ac:dyDescent="0.2"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</row>
    <row r="62" spans="20:35" x14ac:dyDescent="0.2"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</row>
    <row r="63" spans="20:35" x14ac:dyDescent="0.2"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</row>
    <row r="64" spans="20:35" x14ac:dyDescent="0.2"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</row>
    <row r="65" spans="22:34" x14ac:dyDescent="0.2"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</row>
    <row r="66" spans="22:34" x14ac:dyDescent="0.2">
      <c r="V66" s="7"/>
      <c r="W66" s="7"/>
      <c r="X66" s="7"/>
      <c r="Y66" s="7"/>
      <c r="Z66" s="7"/>
      <c r="AA66" s="7"/>
      <c r="AB66" s="7"/>
      <c r="AC66" s="7"/>
    </row>
    <row r="67" spans="22:34" x14ac:dyDescent="0.2">
      <c r="V67" s="7"/>
      <c r="W67" s="7"/>
      <c r="X67" s="7"/>
      <c r="Y67" s="7"/>
      <c r="Z67" s="7"/>
      <c r="AA67" s="7"/>
      <c r="AB67" s="7"/>
      <c r="AC67" s="7"/>
    </row>
    <row r="68" spans="22:34" x14ac:dyDescent="0.2">
      <c r="V68" s="7"/>
      <c r="W68" s="7"/>
      <c r="X68" s="7"/>
      <c r="Y68" s="7"/>
      <c r="Z68" s="7"/>
      <c r="AA68" s="7"/>
      <c r="AB68" s="7"/>
      <c r="AC68" s="7"/>
    </row>
  </sheetData>
  <mergeCells count="44">
    <mergeCell ref="B41:R41"/>
    <mergeCell ref="B40:R40"/>
    <mergeCell ref="N5:N7"/>
    <mergeCell ref="S5:AC5"/>
    <mergeCell ref="K6:K7"/>
    <mergeCell ref="O6:O7"/>
    <mergeCell ref="AK5:AL7"/>
    <mergeCell ref="AC6:AC7"/>
    <mergeCell ref="L6:L7"/>
    <mergeCell ref="A3:AI3"/>
    <mergeCell ref="C5:C7"/>
    <mergeCell ref="T6:T7"/>
    <mergeCell ref="E5:E7"/>
    <mergeCell ref="AH5:AH7"/>
    <mergeCell ref="F5:F7"/>
    <mergeCell ref="Z6:Z7"/>
    <mergeCell ref="AB6:AB7"/>
    <mergeCell ref="U6:W6"/>
    <mergeCell ref="A1:AI1"/>
    <mergeCell ref="M6:M7"/>
    <mergeCell ref="AG5:AG7"/>
    <mergeCell ref="Q6:Q7"/>
    <mergeCell ref="H5:H7"/>
    <mergeCell ref="AI5:AI7"/>
    <mergeCell ref="J5:M5"/>
    <mergeCell ref="Y6:Y7"/>
    <mergeCell ref="AD5:AD7"/>
    <mergeCell ref="A2:AI2"/>
    <mergeCell ref="A5:A7"/>
    <mergeCell ref="AJ5:AJ7"/>
    <mergeCell ref="G5:G7"/>
    <mergeCell ref="B5:B7"/>
    <mergeCell ref="X6:X7"/>
    <mergeCell ref="AE5:AE7"/>
    <mergeCell ref="R5:R7"/>
    <mergeCell ref="AF5:AF7"/>
    <mergeCell ref="I5:I7"/>
    <mergeCell ref="O5:Q5"/>
    <mergeCell ref="B35:R35"/>
    <mergeCell ref="D5:D7"/>
    <mergeCell ref="J6:J7"/>
    <mergeCell ref="P6:P7"/>
    <mergeCell ref="AA6:AA7"/>
    <mergeCell ref="B34:R34"/>
  </mergeCells>
  <pageMargins left="0.25" right="0.25" top="0.75" bottom="0.75" header="0.3" footer="0.3"/>
  <pageSetup paperSize="14" scale="49" orientation="landscape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L61"/>
  <sheetViews>
    <sheetView topLeftCell="E1" zoomScale="75" zoomScaleNormal="75" workbookViewId="0">
      <selection activeCell="S8" sqref="S8"/>
    </sheetView>
  </sheetViews>
  <sheetFormatPr baseColWidth="10" defaultColWidth="8.83203125" defaultRowHeight="16" x14ac:dyDescent="0.2"/>
  <cols>
    <col min="1" max="1" width="4.5" style="3" customWidth="1"/>
    <col min="2" max="2" width="20.6640625" customWidth="1"/>
    <col min="3" max="3" width="20.1640625" customWidth="1"/>
    <col min="4" max="4" width="16.6640625" customWidth="1"/>
    <col min="5" max="5" width="20.83203125" customWidth="1"/>
    <col min="6" max="6" width="24.83203125" customWidth="1"/>
    <col min="7" max="7" width="6.832031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0.83203125" customWidth="1"/>
    <col min="20" max="20" width="12.5" customWidth="1"/>
    <col min="21" max="22" width="11" customWidth="1"/>
    <col min="23" max="23" width="10.6640625" customWidth="1"/>
    <col min="24" max="24" width="11.83203125" customWidth="1"/>
    <col min="25" max="25" width="11.5" customWidth="1"/>
    <col min="26" max="26" width="11" customWidth="1"/>
    <col min="27" max="28" width="10.1640625" customWidth="1"/>
    <col min="29" max="29" width="15" customWidth="1"/>
    <col min="30" max="30" width="15.83203125" customWidth="1"/>
    <col min="31" max="31" width="16" customWidth="1"/>
    <col min="32" max="32" width="17.6640625" customWidth="1"/>
    <col min="33" max="33" width="18.33203125" customWidth="1"/>
    <col min="34" max="34" width="15" customWidth="1"/>
    <col min="35" max="35" width="13" customWidth="1"/>
    <col min="36" max="36" width="19" customWidth="1"/>
  </cols>
  <sheetData>
    <row r="1" spans="1:38" ht="28" customHeight="1" x14ac:dyDescent="0.2">
      <c r="A1" s="188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6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"/>
    </row>
    <row r="2" spans="1:38" ht="28" customHeight="1" x14ac:dyDescent="0.2">
      <c r="A2" s="188" t="s">
        <v>1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  <c r="L2" s="175"/>
      <c r="M2" s="175"/>
      <c r="N2" s="175"/>
      <c r="O2" s="176"/>
      <c r="P2" s="175"/>
      <c r="Q2" s="175"/>
      <c r="R2" s="175"/>
      <c r="S2" s="175"/>
      <c r="T2" s="175"/>
      <c r="U2" s="175"/>
      <c r="V2" s="175"/>
      <c r="W2" s="175"/>
      <c r="X2" s="175"/>
      <c r="Y2" s="175"/>
      <c r="Z2" s="175"/>
      <c r="AA2" s="175"/>
      <c r="AB2" s="175"/>
      <c r="AC2" s="175"/>
      <c r="AD2" s="2"/>
    </row>
    <row r="3" spans="1:38" ht="28" customHeight="1" x14ac:dyDescent="0.2">
      <c r="A3" s="188" t="s">
        <v>81</v>
      </c>
      <c r="B3" s="175"/>
      <c r="C3" s="175"/>
      <c r="D3" s="175"/>
      <c r="E3" s="175"/>
      <c r="F3" s="175"/>
      <c r="G3" s="175"/>
      <c r="H3" s="175"/>
      <c r="I3" s="175"/>
      <c r="J3" s="175"/>
      <c r="K3" s="175"/>
      <c r="L3" s="175"/>
      <c r="M3" s="175"/>
      <c r="N3" s="175"/>
      <c r="O3" s="176"/>
      <c r="P3" s="175"/>
      <c r="Q3" s="175"/>
      <c r="R3" s="175"/>
      <c r="S3" s="175"/>
      <c r="T3" s="175"/>
      <c r="U3" s="175"/>
      <c r="V3" s="175"/>
      <c r="W3" s="175"/>
      <c r="X3" s="175"/>
      <c r="Y3" s="175"/>
      <c r="Z3" s="175"/>
      <c r="AA3" s="175"/>
      <c r="AB3" s="175"/>
      <c r="AC3" s="175"/>
      <c r="AD3" s="2"/>
    </row>
    <row r="4" spans="1:38" x14ac:dyDescent="0.2">
      <c r="D4" t="s">
        <v>3</v>
      </c>
    </row>
    <row r="5" spans="1:38" s="84" customFormat="1" ht="16" customHeight="1" x14ac:dyDescent="0.2">
      <c r="A5" s="179" t="s">
        <v>4</v>
      </c>
      <c r="B5" s="179" t="s">
        <v>5</v>
      </c>
      <c r="C5" s="198" t="s">
        <v>6</v>
      </c>
      <c r="D5" s="177" t="s">
        <v>7</v>
      </c>
      <c r="E5" s="179" t="s">
        <v>8</v>
      </c>
      <c r="F5" s="201" t="s">
        <v>9</v>
      </c>
      <c r="G5" s="179" t="s">
        <v>10</v>
      </c>
      <c r="H5" s="179" t="s">
        <v>11</v>
      </c>
      <c r="I5" s="168" t="s">
        <v>12</v>
      </c>
      <c r="J5" s="168" t="s">
        <v>13</v>
      </c>
      <c r="K5" s="172"/>
      <c r="L5" s="172"/>
      <c r="M5" s="173"/>
      <c r="N5" s="178" t="s">
        <v>14</v>
      </c>
      <c r="O5" s="171" t="s">
        <v>15</v>
      </c>
      <c r="P5" s="172"/>
      <c r="Q5" s="173"/>
      <c r="R5" s="187" t="s">
        <v>16</v>
      </c>
      <c r="S5" s="204"/>
      <c r="T5" s="172"/>
      <c r="U5" s="172"/>
      <c r="V5" s="172"/>
      <c r="W5" s="172"/>
      <c r="X5" s="172"/>
      <c r="Y5" s="172"/>
      <c r="Z5" s="172"/>
      <c r="AA5" s="172"/>
      <c r="AB5" s="172"/>
      <c r="AC5" s="173"/>
      <c r="AD5" s="186" t="s">
        <v>17</v>
      </c>
      <c r="AE5" s="186" t="s">
        <v>18</v>
      </c>
      <c r="AF5" s="165" t="s">
        <v>19</v>
      </c>
      <c r="AG5" s="190" t="s">
        <v>20</v>
      </c>
      <c r="AH5" s="190" t="s">
        <v>21</v>
      </c>
      <c r="AI5" s="190" t="s">
        <v>22</v>
      </c>
      <c r="AJ5" s="181" t="s">
        <v>23</v>
      </c>
      <c r="AK5" s="192" t="s">
        <v>24</v>
      </c>
      <c r="AL5" s="193"/>
    </row>
    <row r="6" spans="1:38" s="84" customFormat="1" ht="14.5" customHeight="1" x14ac:dyDescent="0.2">
      <c r="A6" s="169"/>
      <c r="B6" s="169"/>
      <c r="C6" s="169"/>
      <c r="D6" s="169"/>
      <c r="E6" s="169"/>
      <c r="F6" s="169"/>
      <c r="G6" s="169"/>
      <c r="H6" s="169"/>
      <c r="I6" s="169"/>
      <c r="J6" s="178" t="s">
        <v>25</v>
      </c>
      <c r="K6" s="178" t="s">
        <v>26</v>
      </c>
      <c r="L6" s="178" t="s">
        <v>27</v>
      </c>
      <c r="M6" s="178" t="s">
        <v>28</v>
      </c>
      <c r="N6" s="169"/>
      <c r="O6" s="184" t="s">
        <v>29</v>
      </c>
      <c r="P6" s="184" t="s">
        <v>30</v>
      </c>
      <c r="Q6" s="184" t="s">
        <v>31</v>
      </c>
      <c r="R6" s="169"/>
      <c r="S6" s="137"/>
      <c r="T6" s="200" t="s">
        <v>32</v>
      </c>
      <c r="U6" s="203" t="s">
        <v>26</v>
      </c>
      <c r="V6" s="172"/>
      <c r="W6" s="173"/>
      <c r="X6" s="185" t="s">
        <v>33</v>
      </c>
      <c r="Y6" s="191" t="s">
        <v>27</v>
      </c>
      <c r="Z6" s="191" t="s">
        <v>34</v>
      </c>
      <c r="AA6" s="180" t="s">
        <v>28</v>
      </c>
      <c r="AB6" s="180" t="s">
        <v>35</v>
      </c>
      <c r="AC6" s="202" t="s">
        <v>36</v>
      </c>
      <c r="AD6" s="166"/>
      <c r="AE6" s="166"/>
      <c r="AF6" s="166"/>
      <c r="AG6" s="166"/>
      <c r="AH6" s="166"/>
      <c r="AI6" s="166"/>
      <c r="AJ6" s="182"/>
      <c r="AK6" s="194"/>
      <c r="AL6" s="195"/>
    </row>
    <row r="7" spans="1:38" s="84" customFormat="1" ht="34" customHeight="1" x14ac:dyDescent="0.2">
      <c r="A7" s="170"/>
      <c r="B7" s="170"/>
      <c r="C7" s="169"/>
      <c r="D7" s="169"/>
      <c r="E7" s="170"/>
      <c r="F7" s="170"/>
      <c r="G7" s="170"/>
      <c r="H7" s="170"/>
      <c r="I7" s="170"/>
      <c r="J7" s="169"/>
      <c r="K7" s="169"/>
      <c r="L7" s="169"/>
      <c r="M7" s="169"/>
      <c r="N7" s="169"/>
      <c r="O7" s="169"/>
      <c r="P7" s="169"/>
      <c r="Q7" s="169"/>
      <c r="R7" s="170"/>
      <c r="S7" s="57" t="s">
        <v>37</v>
      </c>
      <c r="T7" s="170"/>
      <c r="U7" s="58" t="s">
        <v>38</v>
      </c>
      <c r="V7" s="58" t="s">
        <v>39</v>
      </c>
      <c r="W7" s="58" t="s">
        <v>40</v>
      </c>
      <c r="X7" s="170"/>
      <c r="Y7" s="170"/>
      <c r="Z7" s="170"/>
      <c r="AA7" s="170"/>
      <c r="AB7" s="170"/>
      <c r="AC7" s="170"/>
      <c r="AD7" s="167"/>
      <c r="AE7" s="167"/>
      <c r="AF7" s="167"/>
      <c r="AG7" s="167"/>
      <c r="AH7" s="167"/>
      <c r="AI7" s="167"/>
      <c r="AJ7" s="183"/>
      <c r="AK7" s="196"/>
      <c r="AL7" s="197"/>
    </row>
    <row r="8" spans="1:38" s="84" customFormat="1" ht="45.75" customHeight="1" x14ac:dyDescent="0.2">
      <c r="A8" s="124" t="s">
        <v>41</v>
      </c>
      <c r="B8" s="60"/>
      <c r="C8" s="76"/>
      <c r="D8" s="77"/>
      <c r="E8" s="77"/>
      <c r="F8" s="78"/>
      <c r="G8" s="78"/>
      <c r="H8" s="79"/>
      <c r="I8" s="64"/>
      <c r="J8" s="65"/>
      <c r="K8" s="66"/>
      <c r="L8" s="67"/>
      <c r="M8" s="67"/>
      <c r="N8" s="68">
        <f t="shared" ref="N8:N20" si="0">ROUND(I8*(SUM(J8:M8)),0)</f>
        <v>0</v>
      </c>
      <c r="O8" s="69"/>
      <c r="P8" s="70"/>
      <c r="Q8" s="70"/>
      <c r="R8" s="71"/>
      <c r="S8" s="68">
        <f t="shared" ref="S8:S20" si="1">I8*J8</f>
        <v>0</v>
      </c>
      <c r="T8" s="68">
        <f t="shared" ref="T8:T20" si="2">SUM(S8:S8)</f>
        <v>0</v>
      </c>
      <c r="U8" s="68">
        <f t="shared" ref="U8:U20" si="3">I8*K8*40%*O8</f>
        <v>0</v>
      </c>
      <c r="V8" s="68">
        <f t="shared" ref="V8:V20" si="4">IF(P8&gt;=6750,(I8*K8*40%),0)</f>
        <v>0</v>
      </c>
      <c r="W8" s="68">
        <f t="shared" ref="W8:W20" si="5">IF(P8&lt;6750,0,IF(Q8="",0,IF(OR(Q8="KURANG",Q8="SANGAT KURANG"),I8*K8*10%,I8*K8*20%)))</f>
        <v>0</v>
      </c>
      <c r="X8" s="68">
        <f t="shared" ref="X8:X20" si="6">SUM(U8:W8)</f>
        <v>0</v>
      </c>
      <c r="Y8" s="68">
        <f t="shared" ref="Y8:Y20" si="7">I8*L8</f>
        <v>0</v>
      </c>
      <c r="Z8" s="68">
        <f t="shared" ref="Z8:Z20" si="8">Y8</f>
        <v>0</v>
      </c>
      <c r="AA8" s="68">
        <f t="shared" ref="AA8:AA20" si="9">I8*M8</f>
        <v>0</v>
      </c>
      <c r="AB8" s="68">
        <f t="shared" ref="AB8:AB20" si="10">AA8</f>
        <v>0</v>
      </c>
      <c r="AC8" s="72">
        <f t="shared" ref="AC8:AC20" si="11">ROUND((T8+X8+Z8+AB8),0)</f>
        <v>0</v>
      </c>
      <c r="AD8" s="140">
        <f t="shared" ref="AD8:AD20" si="12">AG8</f>
        <v>0</v>
      </c>
      <c r="AE8" s="140">
        <f t="shared" ref="AE8:AE20" si="13">AI8</f>
        <v>0</v>
      </c>
      <c r="AF8" s="140">
        <f t="shared" ref="AF8:AF20" si="14">AC8+AD8+AE8</f>
        <v>0</v>
      </c>
      <c r="AG8" s="140"/>
      <c r="AH8" s="141"/>
      <c r="AI8" s="141">
        <f t="shared" ref="AI8:AI20" si="15">AH8*4</f>
        <v>0</v>
      </c>
      <c r="AJ8" s="146">
        <f t="shared" ref="AJ8:AJ20" si="16">AF8-AG8-AH8-AI8</f>
        <v>0</v>
      </c>
      <c r="AK8" s="147">
        <v>1</v>
      </c>
      <c r="AL8" s="148"/>
    </row>
    <row r="9" spans="1:38" s="84" customFormat="1" ht="45.75" customHeight="1" x14ac:dyDescent="0.2">
      <c r="A9" s="124" t="s">
        <v>42</v>
      </c>
      <c r="B9" s="60"/>
      <c r="C9" s="76"/>
      <c r="D9" s="77"/>
      <c r="E9" s="77"/>
      <c r="F9" s="78"/>
      <c r="G9" s="78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si="1"/>
        <v>0</v>
      </c>
      <c r="T9" s="68">
        <f t="shared" si="2"/>
        <v>0</v>
      </c>
      <c r="U9" s="68">
        <f t="shared" si="3"/>
        <v>0</v>
      </c>
      <c r="V9" s="68">
        <f t="shared" si="4"/>
        <v>0</v>
      </c>
      <c r="W9" s="68">
        <f t="shared" si="5"/>
        <v>0</v>
      </c>
      <c r="X9" s="68">
        <f t="shared" si="6"/>
        <v>0</v>
      </c>
      <c r="Y9" s="68">
        <f t="shared" si="7"/>
        <v>0</v>
      </c>
      <c r="Z9" s="68">
        <f t="shared" si="8"/>
        <v>0</v>
      </c>
      <c r="AA9" s="68">
        <f t="shared" si="9"/>
        <v>0</v>
      </c>
      <c r="AB9" s="68">
        <f t="shared" si="10"/>
        <v>0</v>
      </c>
      <c r="AC9" s="72">
        <f t="shared" si="11"/>
        <v>0</v>
      </c>
      <c r="AD9" s="140">
        <f t="shared" si="12"/>
        <v>0</v>
      </c>
      <c r="AE9" s="140">
        <f t="shared" si="13"/>
        <v>0</v>
      </c>
      <c r="AF9" s="140">
        <f t="shared" si="14"/>
        <v>0</v>
      </c>
      <c r="AG9" s="140"/>
      <c r="AH9" s="141"/>
      <c r="AI9" s="141">
        <f t="shared" si="15"/>
        <v>0</v>
      </c>
      <c r="AJ9" s="146">
        <f t="shared" si="16"/>
        <v>0</v>
      </c>
      <c r="AK9" s="147">
        <v>2</v>
      </c>
      <c r="AL9" s="148"/>
    </row>
    <row r="10" spans="1:38" s="84" customFormat="1" ht="45.75" customHeight="1" x14ac:dyDescent="0.2">
      <c r="A10" s="124" t="s">
        <v>43</v>
      </c>
      <c r="B10" s="60"/>
      <c r="C10" s="76"/>
      <c r="D10" s="77"/>
      <c r="E10" s="77"/>
      <c r="F10" s="78"/>
      <c r="G10" s="78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1"/>
        <v>0</v>
      </c>
      <c r="T10" s="68">
        <f t="shared" si="2"/>
        <v>0</v>
      </c>
      <c r="U10" s="68">
        <f t="shared" si="3"/>
        <v>0</v>
      </c>
      <c r="V10" s="68">
        <f t="shared" si="4"/>
        <v>0</v>
      </c>
      <c r="W10" s="68">
        <f t="shared" si="5"/>
        <v>0</v>
      </c>
      <c r="X10" s="68">
        <f t="shared" si="6"/>
        <v>0</v>
      </c>
      <c r="Y10" s="68">
        <f t="shared" si="7"/>
        <v>0</v>
      </c>
      <c r="Z10" s="68">
        <f t="shared" si="8"/>
        <v>0</v>
      </c>
      <c r="AA10" s="68">
        <f t="shared" si="9"/>
        <v>0</v>
      </c>
      <c r="AB10" s="68">
        <f t="shared" si="10"/>
        <v>0</v>
      </c>
      <c r="AC10" s="72">
        <f t="shared" si="11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s="84" customFormat="1" ht="45.75" customHeight="1" x14ac:dyDescent="0.2">
      <c r="A11" s="124" t="s">
        <v>44</v>
      </c>
      <c r="B11" s="60"/>
      <c r="C11" s="76"/>
      <c r="D11" s="77"/>
      <c r="E11" s="77"/>
      <c r="F11" s="78"/>
      <c r="G11" s="62"/>
      <c r="H11" s="63"/>
      <c r="I11" s="64"/>
      <c r="J11" s="65"/>
      <c r="K11" s="66"/>
      <c r="L11" s="104"/>
      <c r="M11" s="67"/>
      <c r="N11" s="68">
        <f t="shared" si="0"/>
        <v>0</v>
      </c>
      <c r="O11" s="69"/>
      <c r="P11" s="70"/>
      <c r="Q11" s="70"/>
      <c r="R11" s="71"/>
      <c r="S11" s="68">
        <f t="shared" si="1"/>
        <v>0</v>
      </c>
      <c r="T11" s="68">
        <f t="shared" si="2"/>
        <v>0</v>
      </c>
      <c r="U11" s="68">
        <f t="shared" si="3"/>
        <v>0</v>
      </c>
      <c r="V11" s="68">
        <f t="shared" si="4"/>
        <v>0</v>
      </c>
      <c r="W11" s="68">
        <f t="shared" si="5"/>
        <v>0</v>
      </c>
      <c r="X11" s="68">
        <f t="shared" si="6"/>
        <v>0</v>
      </c>
      <c r="Y11" s="68">
        <f t="shared" si="7"/>
        <v>0</v>
      </c>
      <c r="Z11" s="68">
        <f t="shared" si="8"/>
        <v>0</v>
      </c>
      <c r="AA11" s="68">
        <f t="shared" si="9"/>
        <v>0</v>
      </c>
      <c r="AB11" s="68">
        <f t="shared" si="10"/>
        <v>0</v>
      </c>
      <c r="AC11" s="72">
        <f t="shared" si="11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s="84" customFormat="1" ht="45.75" customHeight="1" x14ac:dyDescent="0.2">
      <c r="A12" s="124" t="s">
        <v>45</v>
      </c>
      <c r="B12" s="60"/>
      <c r="C12" s="76"/>
      <c r="D12" s="77"/>
      <c r="E12" s="77"/>
      <c r="F12" s="78"/>
      <c r="G12" s="78"/>
      <c r="H12" s="103"/>
      <c r="I12" s="64"/>
      <c r="J12" s="65"/>
      <c r="K12" s="66"/>
      <c r="L12" s="104"/>
      <c r="M12" s="67"/>
      <c r="N12" s="68">
        <f t="shared" si="0"/>
        <v>0</v>
      </c>
      <c r="O12" s="69"/>
      <c r="P12" s="70"/>
      <c r="Q12" s="70"/>
      <c r="R12" s="71"/>
      <c r="S12" s="68">
        <f t="shared" si="1"/>
        <v>0</v>
      </c>
      <c r="T12" s="68">
        <f t="shared" si="2"/>
        <v>0</v>
      </c>
      <c r="U12" s="68">
        <f t="shared" si="3"/>
        <v>0</v>
      </c>
      <c r="V12" s="68">
        <f t="shared" si="4"/>
        <v>0</v>
      </c>
      <c r="W12" s="68">
        <f t="shared" si="5"/>
        <v>0</v>
      </c>
      <c r="X12" s="68">
        <f t="shared" si="6"/>
        <v>0</v>
      </c>
      <c r="Y12" s="68">
        <f t="shared" si="7"/>
        <v>0</v>
      </c>
      <c r="Z12" s="68">
        <f t="shared" si="8"/>
        <v>0</v>
      </c>
      <c r="AA12" s="68">
        <f t="shared" si="9"/>
        <v>0</v>
      </c>
      <c r="AB12" s="68">
        <f t="shared" si="10"/>
        <v>0</v>
      </c>
      <c r="AC12" s="72">
        <f t="shared" si="11"/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s="84" customFormat="1" ht="45.75" customHeight="1" x14ac:dyDescent="0.2">
      <c r="A13" s="124" t="s">
        <v>46</v>
      </c>
      <c r="B13" s="60"/>
      <c r="C13" s="76"/>
      <c r="D13" s="77"/>
      <c r="E13" s="77"/>
      <c r="F13" s="78"/>
      <c r="G13" s="78"/>
      <c r="H13" s="103"/>
      <c r="I13" s="64"/>
      <c r="J13" s="65"/>
      <c r="K13" s="66"/>
      <c r="L13" s="104"/>
      <c r="M13" s="67"/>
      <c r="N13" s="68">
        <f t="shared" si="0"/>
        <v>0</v>
      </c>
      <c r="O13" s="69"/>
      <c r="P13" s="70"/>
      <c r="Q13" s="70"/>
      <c r="R13" s="71"/>
      <c r="S13" s="68">
        <f t="shared" si="1"/>
        <v>0</v>
      </c>
      <c r="T13" s="68">
        <f t="shared" si="2"/>
        <v>0</v>
      </c>
      <c r="U13" s="68">
        <f t="shared" si="3"/>
        <v>0</v>
      </c>
      <c r="V13" s="68">
        <f t="shared" si="4"/>
        <v>0</v>
      </c>
      <c r="W13" s="68">
        <f t="shared" si="5"/>
        <v>0</v>
      </c>
      <c r="X13" s="68">
        <f t="shared" si="6"/>
        <v>0</v>
      </c>
      <c r="Y13" s="68">
        <f t="shared" si="7"/>
        <v>0</v>
      </c>
      <c r="Z13" s="68">
        <f t="shared" si="8"/>
        <v>0</v>
      </c>
      <c r="AA13" s="68">
        <f t="shared" si="9"/>
        <v>0</v>
      </c>
      <c r="AB13" s="68">
        <f t="shared" si="10"/>
        <v>0</v>
      </c>
      <c r="AC13" s="72">
        <f t="shared" si="11"/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s="84" customFormat="1" ht="45.75" customHeight="1" x14ac:dyDescent="0.2">
      <c r="A14" s="124" t="s">
        <v>47</v>
      </c>
      <c r="B14" s="60"/>
      <c r="C14" s="76"/>
      <c r="D14" s="77"/>
      <c r="E14" s="77"/>
      <c r="F14" s="78"/>
      <c r="G14" s="78"/>
      <c r="H14" s="79"/>
      <c r="I14" s="64"/>
      <c r="J14" s="65"/>
      <c r="K14" s="66"/>
      <c r="L14" s="67"/>
      <c r="M14" s="67"/>
      <c r="N14" s="68">
        <f t="shared" si="0"/>
        <v>0</v>
      </c>
      <c r="O14" s="69"/>
      <c r="P14" s="70"/>
      <c r="Q14" s="70"/>
      <c r="R14" s="71"/>
      <c r="S14" s="68">
        <f t="shared" si="1"/>
        <v>0</v>
      </c>
      <c r="T14" s="68">
        <f t="shared" si="2"/>
        <v>0</v>
      </c>
      <c r="U14" s="68">
        <f t="shared" si="3"/>
        <v>0</v>
      </c>
      <c r="V14" s="68">
        <f t="shared" si="4"/>
        <v>0</v>
      </c>
      <c r="W14" s="68">
        <f t="shared" si="5"/>
        <v>0</v>
      </c>
      <c r="X14" s="68">
        <f t="shared" si="6"/>
        <v>0</v>
      </c>
      <c r="Y14" s="68">
        <f t="shared" si="7"/>
        <v>0</v>
      </c>
      <c r="Z14" s="68">
        <f t="shared" si="8"/>
        <v>0</v>
      </c>
      <c r="AA14" s="68">
        <f t="shared" si="9"/>
        <v>0</v>
      </c>
      <c r="AB14" s="68">
        <f t="shared" si="10"/>
        <v>0</v>
      </c>
      <c r="AC14" s="72">
        <f t="shared" si="11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s="84" customFormat="1" ht="45.75" customHeight="1" x14ac:dyDescent="0.2">
      <c r="A15" s="124" t="s">
        <v>48</v>
      </c>
      <c r="B15" s="60"/>
      <c r="C15" s="76"/>
      <c r="D15" s="77"/>
      <c r="E15" s="77"/>
      <c r="F15" s="78"/>
      <c r="G15" s="78"/>
      <c r="H15" s="79"/>
      <c r="I15" s="64"/>
      <c r="J15" s="65"/>
      <c r="K15" s="66"/>
      <c r="L15" s="67"/>
      <c r="M15" s="67"/>
      <c r="N15" s="68">
        <f t="shared" si="0"/>
        <v>0</v>
      </c>
      <c r="O15" s="69"/>
      <c r="P15" s="70"/>
      <c r="Q15" s="70"/>
      <c r="R15" s="71"/>
      <c r="S15" s="68">
        <f t="shared" si="1"/>
        <v>0</v>
      </c>
      <c r="T15" s="68">
        <f t="shared" si="2"/>
        <v>0</v>
      </c>
      <c r="U15" s="68">
        <f t="shared" si="3"/>
        <v>0</v>
      </c>
      <c r="V15" s="68">
        <f t="shared" si="4"/>
        <v>0</v>
      </c>
      <c r="W15" s="68">
        <f t="shared" si="5"/>
        <v>0</v>
      </c>
      <c r="X15" s="68">
        <f t="shared" si="6"/>
        <v>0</v>
      </c>
      <c r="Y15" s="68">
        <f t="shared" si="7"/>
        <v>0</v>
      </c>
      <c r="Z15" s="68">
        <f t="shared" si="8"/>
        <v>0</v>
      </c>
      <c r="AA15" s="68">
        <f t="shared" si="9"/>
        <v>0</v>
      </c>
      <c r="AB15" s="68">
        <f t="shared" si="10"/>
        <v>0</v>
      </c>
      <c r="AC15" s="72">
        <f t="shared" si="11"/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s="84" customFormat="1" ht="45.75" customHeight="1" x14ac:dyDescent="0.2">
      <c r="A16" s="124" t="s">
        <v>49</v>
      </c>
      <c r="B16" s="60"/>
      <c r="C16" s="76"/>
      <c r="D16" s="77"/>
      <c r="E16" s="77"/>
      <c r="F16" s="78"/>
      <c r="G16" s="78"/>
      <c r="H16" s="79"/>
      <c r="I16" s="64"/>
      <c r="J16" s="65"/>
      <c r="K16" s="66"/>
      <c r="L16" s="67"/>
      <c r="M16" s="67"/>
      <c r="N16" s="68">
        <f t="shared" si="0"/>
        <v>0</v>
      </c>
      <c r="O16" s="69"/>
      <c r="P16" s="70"/>
      <c r="Q16" s="70"/>
      <c r="R16" s="71"/>
      <c r="S16" s="68">
        <f t="shared" si="1"/>
        <v>0</v>
      </c>
      <c r="T16" s="68">
        <f t="shared" si="2"/>
        <v>0</v>
      </c>
      <c r="U16" s="68">
        <f t="shared" si="3"/>
        <v>0</v>
      </c>
      <c r="V16" s="68">
        <f t="shared" si="4"/>
        <v>0</v>
      </c>
      <c r="W16" s="68">
        <f t="shared" si="5"/>
        <v>0</v>
      </c>
      <c r="X16" s="68">
        <f t="shared" si="6"/>
        <v>0</v>
      </c>
      <c r="Y16" s="68">
        <f t="shared" si="7"/>
        <v>0</v>
      </c>
      <c r="Z16" s="68">
        <f t="shared" si="8"/>
        <v>0</v>
      </c>
      <c r="AA16" s="68">
        <f t="shared" si="9"/>
        <v>0</v>
      </c>
      <c r="AB16" s="68">
        <f t="shared" si="10"/>
        <v>0</v>
      </c>
      <c r="AC16" s="72">
        <f t="shared" si="11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s="84" customFormat="1" ht="45.75" customHeight="1" x14ac:dyDescent="0.2">
      <c r="A17" s="124" t="s">
        <v>50</v>
      </c>
      <c r="B17" s="60"/>
      <c r="C17" s="76"/>
      <c r="D17" s="77"/>
      <c r="E17" s="77"/>
      <c r="F17" s="78"/>
      <c r="G17" s="62"/>
      <c r="H17" s="63"/>
      <c r="I17" s="64"/>
      <c r="J17" s="65"/>
      <c r="K17" s="66"/>
      <c r="L17" s="104"/>
      <c r="M17" s="67"/>
      <c r="N17" s="68">
        <f t="shared" si="0"/>
        <v>0</v>
      </c>
      <c r="O17" s="69"/>
      <c r="P17" s="70"/>
      <c r="Q17" s="70"/>
      <c r="R17" s="71"/>
      <c r="S17" s="68">
        <f t="shared" si="1"/>
        <v>0</v>
      </c>
      <c r="T17" s="68">
        <f t="shared" si="2"/>
        <v>0</v>
      </c>
      <c r="U17" s="68">
        <f t="shared" si="3"/>
        <v>0</v>
      </c>
      <c r="V17" s="68">
        <f t="shared" si="4"/>
        <v>0</v>
      </c>
      <c r="W17" s="68">
        <f t="shared" si="5"/>
        <v>0</v>
      </c>
      <c r="X17" s="68">
        <f t="shared" si="6"/>
        <v>0</v>
      </c>
      <c r="Y17" s="68">
        <f t="shared" si="7"/>
        <v>0</v>
      </c>
      <c r="Z17" s="68">
        <f t="shared" si="8"/>
        <v>0</v>
      </c>
      <c r="AA17" s="68">
        <f t="shared" si="9"/>
        <v>0</v>
      </c>
      <c r="AB17" s="68">
        <f t="shared" si="10"/>
        <v>0</v>
      </c>
      <c r="AC17" s="72">
        <f t="shared" si="11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s="84" customFormat="1" ht="45.75" customHeight="1" x14ac:dyDescent="0.2">
      <c r="A18" s="124" t="s">
        <v>51</v>
      </c>
      <c r="B18" s="60"/>
      <c r="C18" s="76"/>
      <c r="D18" s="77"/>
      <c r="E18" s="77"/>
      <c r="F18" s="78"/>
      <c r="G18" s="78"/>
      <c r="H18" s="103"/>
      <c r="I18" s="64"/>
      <c r="J18" s="65"/>
      <c r="K18" s="66"/>
      <c r="L18" s="104"/>
      <c r="M18" s="67"/>
      <c r="N18" s="68">
        <f t="shared" si="0"/>
        <v>0</v>
      </c>
      <c r="O18" s="69"/>
      <c r="P18" s="70"/>
      <c r="Q18" s="70"/>
      <c r="R18" s="71"/>
      <c r="S18" s="68">
        <f t="shared" si="1"/>
        <v>0</v>
      </c>
      <c r="T18" s="68">
        <f t="shared" si="2"/>
        <v>0</v>
      </c>
      <c r="U18" s="68">
        <f t="shared" si="3"/>
        <v>0</v>
      </c>
      <c r="V18" s="68">
        <f t="shared" si="4"/>
        <v>0</v>
      </c>
      <c r="W18" s="68">
        <f t="shared" si="5"/>
        <v>0</v>
      </c>
      <c r="X18" s="68">
        <f t="shared" si="6"/>
        <v>0</v>
      </c>
      <c r="Y18" s="68">
        <f t="shared" si="7"/>
        <v>0</v>
      </c>
      <c r="Z18" s="68">
        <f t="shared" si="8"/>
        <v>0</v>
      </c>
      <c r="AA18" s="68">
        <f t="shared" si="9"/>
        <v>0</v>
      </c>
      <c r="AB18" s="68">
        <f t="shared" si="10"/>
        <v>0</v>
      </c>
      <c r="AC18" s="72">
        <f t="shared" si="11"/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s="84" customFormat="1" ht="45.75" customHeight="1" x14ac:dyDescent="0.2">
      <c r="A19" s="124" t="s">
        <v>52</v>
      </c>
      <c r="B19" s="60"/>
      <c r="C19" s="76"/>
      <c r="D19" s="77"/>
      <c r="E19" s="77"/>
      <c r="F19" s="78"/>
      <c r="G19" s="78"/>
      <c r="H19" s="103"/>
      <c r="I19" s="64"/>
      <c r="J19" s="65"/>
      <c r="K19" s="66"/>
      <c r="L19" s="104"/>
      <c r="M19" s="67"/>
      <c r="N19" s="68">
        <f t="shared" si="0"/>
        <v>0</v>
      </c>
      <c r="O19" s="69"/>
      <c r="P19" s="70"/>
      <c r="Q19" s="70"/>
      <c r="R19" s="71"/>
      <c r="S19" s="68">
        <f t="shared" si="1"/>
        <v>0</v>
      </c>
      <c r="T19" s="68">
        <f t="shared" si="2"/>
        <v>0</v>
      </c>
      <c r="U19" s="68">
        <f t="shared" si="3"/>
        <v>0</v>
      </c>
      <c r="V19" s="68">
        <f t="shared" si="4"/>
        <v>0</v>
      </c>
      <c r="W19" s="68">
        <f t="shared" si="5"/>
        <v>0</v>
      </c>
      <c r="X19" s="68">
        <f t="shared" si="6"/>
        <v>0</v>
      </c>
      <c r="Y19" s="68">
        <f t="shared" si="7"/>
        <v>0</v>
      </c>
      <c r="Z19" s="68">
        <f t="shared" si="8"/>
        <v>0</v>
      </c>
      <c r="AA19" s="68">
        <f t="shared" si="9"/>
        <v>0</v>
      </c>
      <c r="AB19" s="68">
        <f t="shared" si="10"/>
        <v>0</v>
      </c>
      <c r="AC19" s="157">
        <f t="shared" si="11"/>
        <v>0</v>
      </c>
      <c r="AD19" s="142">
        <f t="shared" si="12"/>
        <v>0</v>
      </c>
      <c r="AE19" s="142">
        <f t="shared" si="13"/>
        <v>0</v>
      </c>
      <c r="AF19" s="142">
        <f t="shared" si="14"/>
        <v>0</v>
      </c>
      <c r="AG19" s="142"/>
      <c r="AH19" s="143"/>
      <c r="AI19" s="143">
        <f t="shared" si="15"/>
        <v>0</v>
      </c>
      <c r="AJ19" s="149">
        <f t="shared" si="16"/>
        <v>0</v>
      </c>
      <c r="AK19" s="150">
        <v>12</v>
      </c>
      <c r="AL19" s="151"/>
    </row>
    <row r="20" spans="1:38" s="84" customFormat="1" ht="45.75" customHeight="1" x14ac:dyDescent="0.2">
      <c r="A20" s="124" t="s">
        <v>53</v>
      </c>
      <c r="B20" s="60"/>
      <c r="C20" s="76"/>
      <c r="D20" s="77"/>
      <c r="E20" s="77"/>
      <c r="F20" s="78"/>
      <c r="G20" s="78"/>
      <c r="H20" s="103"/>
      <c r="I20" s="64"/>
      <c r="J20" s="65"/>
      <c r="K20" s="66"/>
      <c r="L20" s="104"/>
      <c r="M20" s="67"/>
      <c r="N20" s="68">
        <f t="shared" si="0"/>
        <v>0</v>
      </c>
      <c r="O20" s="69"/>
      <c r="P20" s="70"/>
      <c r="Q20" s="70"/>
      <c r="R20" s="71"/>
      <c r="S20" s="68">
        <f t="shared" si="1"/>
        <v>0</v>
      </c>
      <c r="T20" s="68">
        <f t="shared" si="2"/>
        <v>0</v>
      </c>
      <c r="U20" s="68">
        <f t="shared" si="3"/>
        <v>0</v>
      </c>
      <c r="V20" s="68">
        <f t="shared" si="4"/>
        <v>0</v>
      </c>
      <c r="W20" s="68">
        <f t="shared" si="5"/>
        <v>0</v>
      </c>
      <c r="X20" s="68">
        <f t="shared" si="6"/>
        <v>0</v>
      </c>
      <c r="Y20" s="68">
        <f t="shared" si="7"/>
        <v>0</v>
      </c>
      <c r="Z20" s="68">
        <f t="shared" si="8"/>
        <v>0</v>
      </c>
      <c r="AA20" s="68">
        <f t="shared" si="9"/>
        <v>0</v>
      </c>
      <c r="AB20" s="155">
        <f t="shared" si="10"/>
        <v>0</v>
      </c>
      <c r="AC20" s="158">
        <f t="shared" si="11"/>
        <v>0</v>
      </c>
      <c r="AD20" s="140">
        <f t="shared" si="12"/>
        <v>0</v>
      </c>
      <c r="AE20" s="140">
        <f t="shared" si="13"/>
        <v>0</v>
      </c>
      <c r="AF20" s="140">
        <f t="shared" si="14"/>
        <v>0</v>
      </c>
      <c r="AG20" s="140"/>
      <c r="AH20" s="141"/>
      <c r="AI20" s="141">
        <f t="shared" si="15"/>
        <v>0</v>
      </c>
      <c r="AJ20" s="146">
        <f t="shared" si="16"/>
        <v>0</v>
      </c>
      <c r="AK20" s="159">
        <v>13</v>
      </c>
      <c r="AL20" s="160"/>
    </row>
    <row r="21" spans="1:38" s="84" customFormat="1" x14ac:dyDescent="0.2">
      <c r="A21" s="127"/>
      <c r="B21" s="128"/>
      <c r="C21" s="128"/>
      <c r="D21" s="128"/>
      <c r="E21" s="128"/>
      <c r="F21" s="128"/>
      <c r="G21" s="128"/>
      <c r="K21" s="85"/>
      <c r="L21" s="86"/>
      <c r="M21" s="86"/>
      <c r="N21" s="68">
        <f>I21*(SUM(K21:M21))</f>
        <v>0</v>
      </c>
      <c r="O21" s="87"/>
      <c r="P21" s="88"/>
      <c r="Q21" s="88"/>
      <c r="R21" s="88"/>
      <c r="S21" s="89"/>
      <c r="T21" s="88">
        <f>SUM(T8:T20)</f>
        <v>0</v>
      </c>
      <c r="U21" s="89"/>
      <c r="V21" s="89"/>
      <c r="W21" s="89"/>
      <c r="X21" s="88">
        <f>SUM(X8:X20)</f>
        <v>0</v>
      </c>
      <c r="Y21" s="89"/>
      <c r="Z21" s="88">
        <f>SUM(Z8:Z20)</f>
        <v>0</v>
      </c>
      <c r="AA21" s="89"/>
      <c r="AB21" s="156">
        <f t="shared" ref="AB21:AJ21" si="17">SUM(AB8:AB20)</f>
        <v>0</v>
      </c>
      <c r="AC21" s="156">
        <f t="shared" si="17"/>
        <v>0</v>
      </c>
      <c r="AD21" s="156">
        <f t="shared" si="17"/>
        <v>0</v>
      </c>
      <c r="AE21" s="156">
        <f t="shared" si="17"/>
        <v>0</v>
      </c>
      <c r="AF21" s="156">
        <f t="shared" si="17"/>
        <v>0</v>
      </c>
      <c r="AG21" s="156">
        <f t="shared" si="17"/>
        <v>0</v>
      </c>
      <c r="AH21" s="156">
        <f t="shared" si="17"/>
        <v>0</v>
      </c>
      <c r="AI21" s="156">
        <f t="shared" si="17"/>
        <v>0</v>
      </c>
      <c r="AJ21" s="156">
        <f t="shared" si="17"/>
        <v>0</v>
      </c>
      <c r="AK21" s="156"/>
      <c r="AL21" s="156">
        <f>SUM(AL8:AL20)</f>
        <v>0</v>
      </c>
    </row>
    <row r="22" spans="1:38" x14ac:dyDescent="0.2">
      <c r="B22" s="7"/>
      <c r="C22" s="7"/>
      <c r="D22" s="7"/>
      <c r="E22" s="7"/>
      <c r="F22" s="7"/>
      <c r="G22" s="7"/>
      <c r="H22" s="7"/>
      <c r="I22" s="7"/>
      <c r="K22" s="15"/>
      <c r="L22" s="7"/>
      <c r="M22" s="7"/>
      <c r="N22" s="99"/>
      <c r="O22" s="100"/>
      <c r="P22" s="101"/>
      <c r="Q22" s="101"/>
      <c r="R22" s="101"/>
      <c r="S22" s="102"/>
      <c r="T22" s="101"/>
      <c r="U22" s="102"/>
      <c r="V22" s="102"/>
      <c r="W22" s="102"/>
      <c r="X22" s="101"/>
      <c r="Y22" s="102"/>
      <c r="Z22" s="101"/>
      <c r="AA22" s="102"/>
      <c r="AB22" s="101"/>
      <c r="AC22" s="101"/>
      <c r="AD22" s="144"/>
      <c r="AE22" s="144"/>
      <c r="AF22" s="144"/>
      <c r="AG22" s="144"/>
      <c r="AH22" s="145"/>
      <c r="AI22" s="145"/>
      <c r="AJ22" s="152"/>
      <c r="AK22" s="153"/>
      <c r="AL22" s="154"/>
    </row>
    <row r="23" spans="1:38" x14ac:dyDescent="0.2">
      <c r="B23" s="7"/>
      <c r="C23" s="7"/>
      <c r="D23" s="7"/>
      <c r="E23" s="7"/>
      <c r="F23" s="7"/>
      <c r="G23" s="7"/>
      <c r="H23" s="7"/>
      <c r="I23" s="7"/>
      <c r="K23" s="15"/>
      <c r="L23" s="7"/>
      <c r="M23" s="7"/>
      <c r="N23" s="99"/>
      <c r="O23" s="100"/>
      <c r="P23" s="101"/>
      <c r="Q23" s="101"/>
      <c r="R23" s="101"/>
      <c r="S23" s="102"/>
      <c r="T23" s="101"/>
      <c r="U23" s="102"/>
      <c r="V23" s="102"/>
      <c r="W23" s="102"/>
      <c r="X23" s="101"/>
      <c r="Y23" s="102"/>
      <c r="Z23" s="101"/>
      <c r="AA23" s="102"/>
      <c r="AB23" s="101"/>
      <c r="AC23" s="101"/>
      <c r="AD23" s="144"/>
      <c r="AE23" s="144"/>
      <c r="AF23" s="144"/>
      <c r="AG23" s="144"/>
      <c r="AH23" s="145"/>
      <c r="AI23" s="145"/>
      <c r="AJ23" s="152"/>
      <c r="AK23" s="153"/>
      <c r="AL23" s="154"/>
    </row>
    <row r="24" spans="1:38" x14ac:dyDescent="0.2">
      <c r="B24" s="7"/>
      <c r="C24" s="7"/>
      <c r="D24" s="7"/>
      <c r="E24" s="7"/>
      <c r="F24" s="7"/>
      <c r="G24" s="7"/>
      <c r="H24" s="7"/>
      <c r="I24" s="7"/>
      <c r="K24" s="15"/>
      <c r="L24" s="7"/>
      <c r="M24" s="7"/>
      <c r="N24" s="99"/>
      <c r="O24" s="100"/>
      <c r="P24" s="101"/>
      <c r="Q24" s="101"/>
      <c r="R24" s="101"/>
      <c r="S24" s="102"/>
      <c r="T24" s="101"/>
      <c r="U24" s="102"/>
      <c r="V24" s="102"/>
      <c r="W24" s="102"/>
      <c r="X24" s="101"/>
      <c r="Y24" s="102"/>
      <c r="Z24" s="101"/>
      <c r="AA24" s="102"/>
      <c r="AB24" s="101"/>
      <c r="AC24" s="101"/>
      <c r="AD24" s="144"/>
      <c r="AE24" s="144"/>
      <c r="AF24" s="144"/>
      <c r="AG24" s="144"/>
      <c r="AH24" s="145"/>
      <c r="AI24" s="145"/>
      <c r="AJ24" s="152"/>
      <c r="AK24" s="153"/>
      <c r="AL24" s="154"/>
    </row>
    <row r="25" spans="1:38" x14ac:dyDescent="0.2">
      <c r="B25" s="7"/>
      <c r="C25" s="7"/>
      <c r="D25" s="7"/>
      <c r="E25" s="7"/>
      <c r="F25" s="7"/>
      <c r="G25" s="7"/>
      <c r="H25" s="7"/>
      <c r="I25" s="7"/>
      <c r="K25" s="15"/>
      <c r="L25" s="7"/>
      <c r="M25" s="7"/>
      <c r="N25" s="99"/>
      <c r="O25" s="100"/>
      <c r="P25" s="101"/>
      <c r="Q25" s="101"/>
      <c r="R25" s="101"/>
      <c r="S25" s="102"/>
      <c r="T25" s="101"/>
      <c r="U25" s="102"/>
      <c r="V25" s="102"/>
      <c r="W25" s="102"/>
      <c r="X25" s="101"/>
      <c r="Y25" s="102"/>
      <c r="Z25" s="101"/>
      <c r="AA25" s="102"/>
      <c r="AB25" s="101"/>
      <c r="AC25" s="101"/>
      <c r="AD25" s="144"/>
      <c r="AE25" s="144"/>
      <c r="AF25" s="144"/>
      <c r="AG25" s="144"/>
      <c r="AH25" s="145"/>
      <c r="AI25" s="145"/>
      <c r="AJ25" s="152"/>
      <c r="AK25" s="153"/>
      <c r="AL25" s="154"/>
    </row>
    <row r="26" spans="1:38" x14ac:dyDescent="0.2">
      <c r="B26" s="7"/>
      <c r="C26" s="7"/>
      <c r="D26" s="7"/>
      <c r="E26" s="7"/>
      <c r="F26" s="7"/>
      <c r="G26" s="7"/>
      <c r="H26" s="7"/>
      <c r="I26" s="7"/>
      <c r="K26" s="15"/>
      <c r="L26" s="7"/>
      <c r="M26" s="7"/>
      <c r="AD26" s="144"/>
      <c r="AE26" s="144"/>
      <c r="AF26" s="144"/>
      <c r="AG26" s="144"/>
      <c r="AH26" s="145"/>
      <c r="AI26" s="145"/>
      <c r="AJ26" s="152"/>
      <c r="AK26" s="153"/>
      <c r="AL26" s="154"/>
    </row>
    <row r="27" spans="1:38" ht="19" customHeight="1" x14ac:dyDescent="0.25">
      <c r="B27" s="174" t="s">
        <v>55</v>
      </c>
      <c r="C27" s="175"/>
      <c r="D27" s="175"/>
      <c r="E27" s="175"/>
      <c r="F27" s="175"/>
      <c r="G27" s="175"/>
      <c r="H27" s="175"/>
      <c r="I27" s="175"/>
      <c r="J27" s="175"/>
      <c r="K27" s="175"/>
      <c r="L27" s="175"/>
      <c r="M27" s="175"/>
      <c r="N27" s="175"/>
      <c r="O27" s="176"/>
      <c r="P27" s="175"/>
      <c r="Q27" s="175"/>
      <c r="R27" s="175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144"/>
      <c r="AE27" s="144"/>
      <c r="AF27" s="144"/>
      <c r="AG27" s="144"/>
      <c r="AH27" s="145"/>
      <c r="AI27" s="145"/>
      <c r="AJ27" s="152"/>
      <c r="AK27" s="153"/>
      <c r="AL27" s="154"/>
    </row>
    <row r="28" spans="1:38" ht="14.5" customHeight="1" x14ac:dyDescent="0.25">
      <c r="B28" s="174" t="s">
        <v>56</v>
      </c>
      <c r="C28" s="175"/>
      <c r="D28" s="175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6"/>
      <c r="P28" s="175"/>
      <c r="Q28" s="175"/>
      <c r="R28" s="175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1"/>
      <c r="AD28" s="144"/>
      <c r="AE28" s="144"/>
      <c r="AF28" s="144"/>
      <c r="AG28" s="144"/>
      <c r="AH28" s="145"/>
      <c r="AI28" s="145"/>
      <c r="AJ28" s="152"/>
      <c r="AK28" s="153"/>
      <c r="AL28" s="154"/>
    </row>
    <row r="29" spans="1:38" ht="19" customHeight="1" x14ac:dyDescent="0.25"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2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3"/>
      <c r="AD29" s="144"/>
      <c r="AE29" s="144"/>
      <c r="AF29" s="144"/>
      <c r="AG29" s="144"/>
      <c r="AH29" s="145"/>
      <c r="AI29" s="145"/>
      <c r="AJ29" s="152"/>
      <c r="AK29" s="153"/>
      <c r="AL29" s="154"/>
    </row>
    <row r="30" spans="1:38" ht="19" customHeight="1" x14ac:dyDescent="0.25"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2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3"/>
      <c r="AD30" s="144"/>
      <c r="AE30" s="144"/>
      <c r="AF30" s="144"/>
      <c r="AG30" s="144"/>
      <c r="AH30" s="145"/>
      <c r="AI30" s="145"/>
      <c r="AJ30" s="152"/>
      <c r="AK30" s="153"/>
      <c r="AL30" s="154"/>
    </row>
    <row r="31" spans="1:38" ht="19" customHeight="1" x14ac:dyDescent="0.25"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2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5"/>
      <c r="AD31" s="144"/>
      <c r="AE31" s="144"/>
      <c r="AF31" s="144"/>
      <c r="AG31" s="144"/>
      <c r="AH31" s="145"/>
      <c r="AI31" s="145"/>
      <c r="AJ31" s="152"/>
      <c r="AK31" s="153"/>
      <c r="AL31" s="154"/>
    </row>
    <row r="32" spans="1:38" ht="19" customHeight="1" x14ac:dyDescent="0.25"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2"/>
      <c r="P32" s="50"/>
      <c r="Q32" s="50"/>
      <c r="R32" s="50"/>
      <c r="S32" s="50"/>
      <c r="T32" s="52"/>
      <c r="U32" s="52"/>
      <c r="V32" s="50"/>
      <c r="W32" s="50"/>
      <c r="X32" s="50"/>
      <c r="Y32" s="50"/>
      <c r="Z32" s="50"/>
      <c r="AA32" s="50"/>
      <c r="AB32" s="50"/>
      <c r="AC32" s="50"/>
    </row>
    <row r="33" spans="2:29" ht="19" customHeight="1" x14ac:dyDescent="0.25">
      <c r="B33" s="199" t="s">
        <v>58</v>
      </c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6"/>
      <c r="P33" s="175"/>
      <c r="Q33" s="175"/>
      <c r="R33" s="175"/>
      <c r="S33" s="56"/>
      <c r="T33" s="56"/>
      <c r="U33" s="56"/>
      <c r="V33" s="56"/>
      <c r="W33" s="56"/>
      <c r="X33" s="50"/>
      <c r="Y33" s="50"/>
      <c r="Z33" s="50"/>
      <c r="AA33" s="50"/>
      <c r="AB33" s="50"/>
      <c r="AC33" s="50"/>
    </row>
    <row r="34" spans="2:29" ht="19" customHeight="1" x14ac:dyDescent="0.25">
      <c r="B34" s="174" t="s">
        <v>60</v>
      </c>
      <c r="C34" s="175"/>
      <c r="D34" s="175"/>
      <c r="E34" s="175"/>
      <c r="F34" s="175"/>
      <c r="G34" s="175"/>
      <c r="H34" s="175"/>
      <c r="I34" s="175"/>
      <c r="J34" s="175"/>
      <c r="K34" s="175"/>
      <c r="L34" s="175"/>
      <c r="M34" s="175"/>
      <c r="N34" s="175"/>
      <c r="O34" s="176"/>
      <c r="P34" s="175"/>
      <c r="Q34" s="175"/>
      <c r="R34" s="175"/>
      <c r="S34" s="56"/>
      <c r="T34" s="56"/>
      <c r="U34" s="56"/>
      <c r="V34" s="56"/>
      <c r="W34" s="56"/>
      <c r="X34" s="50"/>
      <c r="Y34" s="50"/>
      <c r="Z34" s="50"/>
      <c r="AA34" s="50"/>
      <c r="AB34" s="50"/>
      <c r="AC34" s="50"/>
    </row>
    <row r="35" spans="2:29" x14ac:dyDescent="0.2">
      <c r="X35" s="7"/>
      <c r="Y35" s="7"/>
      <c r="Z35" s="7"/>
      <c r="AA35" s="7"/>
      <c r="AB35" s="7"/>
      <c r="AC35" s="7"/>
    </row>
    <row r="36" spans="2:29" x14ac:dyDescent="0.2">
      <c r="V36" s="7"/>
      <c r="W36" s="7"/>
      <c r="X36" s="7"/>
      <c r="Y36" s="7"/>
      <c r="Z36" s="7"/>
      <c r="AA36" s="7"/>
      <c r="AB36" s="7"/>
      <c r="AC36" s="18" t="s">
        <v>62</v>
      </c>
    </row>
    <row r="37" spans="2:29" x14ac:dyDescent="0.2">
      <c r="V37" s="7"/>
      <c r="W37" s="7"/>
      <c r="X37" s="7"/>
      <c r="Y37" s="7"/>
      <c r="Z37" s="7"/>
      <c r="AA37" s="7"/>
      <c r="AB37" s="7"/>
      <c r="AC37" s="18"/>
    </row>
    <row r="38" spans="2:29" x14ac:dyDescent="0.2">
      <c r="V38" s="7"/>
      <c r="W38" s="7"/>
      <c r="X38" s="7"/>
      <c r="Y38" s="7"/>
      <c r="Z38" s="7"/>
      <c r="AA38" s="7"/>
      <c r="AB38" s="7"/>
      <c r="AC38" s="19"/>
    </row>
    <row r="39" spans="2:29" x14ac:dyDescent="0.2">
      <c r="V39" s="7"/>
      <c r="W39" s="7"/>
      <c r="X39" s="7"/>
      <c r="Y39" s="7"/>
      <c r="Z39" s="7"/>
      <c r="AA39" s="7"/>
      <c r="AB39" s="7"/>
      <c r="AC39" s="18"/>
    </row>
    <row r="40" spans="2:29" x14ac:dyDescent="0.2">
      <c r="V40" s="7"/>
      <c r="W40" s="7"/>
      <c r="X40" s="7"/>
      <c r="Y40" s="7"/>
      <c r="Z40" s="7"/>
      <c r="AA40" s="7"/>
      <c r="AB40" s="7"/>
      <c r="AC40" s="18"/>
    </row>
    <row r="41" spans="2:29" x14ac:dyDescent="0.2">
      <c r="V41" s="7"/>
      <c r="W41" s="7"/>
      <c r="X41" s="7"/>
      <c r="Y41" s="7"/>
      <c r="Z41" s="7"/>
      <c r="AA41" s="7"/>
      <c r="AB41" s="7"/>
      <c r="AC41" s="7"/>
    </row>
    <row r="42" spans="2:29" x14ac:dyDescent="0.2">
      <c r="T42" s="20"/>
      <c r="V42" s="7"/>
      <c r="W42" s="7"/>
      <c r="X42" s="20"/>
      <c r="Y42" s="7"/>
      <c r="Z42" s="20"/>
      <c r="AA42" s="7"/>
      <c r="AB42" s="20"/>
      <c r="AC42" s="20"/>
    </row>
    <row r="43" spans="2:29" x14ac:dyDescent="0.2">
      <c r="T43" s="21"/>
      <c r="U43" s="21"/>
      <c r="V43" s="18"/>
      <c r="W43" s="18"/>
      <c r="X43" s="18"/>
      <c r="Y43" s="18"/>
      <c r="Z43" s="18"/>
      <c r="AA43" s="18"/>
      <c r="AB43" s="18"/>
      <c r="AC43" s="18"/>
    </row>
    <row r="44" spans="2:29" x14ac:dyDescent="0.2">
      <c r="T44" s="21"/>
      <c r="U44" s="21"/>
      <c r="V44" s="18"/>
      <c r="W44" s="18"/>
      <c r="X44" s="21"/>
      <c r="Y44" s="18"/>
      <c r="Z44" s="21"/>
      <c r="AA44" s="18"/>
      <c r="AB44" s="21"/>
      <c r="AC44" s="21"/>
    </row>
    <row r="45" spans="2:29" x14ac:dyDescent="0.2">
      <c r="T45" s="21"/>
      <c r="U45" s="22"/>
      <c r="V45" s="23"/>
      <c r="W45" s="23"/>
      <c r="X45" s="21"/>
      <c r="Y45" s="23"/>
      <c r="Z45" s="21"/>
      <c r="AA45" s="23"/>
      <c r="AB45" s="21"/>
      <c r="AC45" s="21"/>
    </row>
    <row r="46" spans="2:29" x14ac:dyDescent="0.2">
      <c r="T46" s="22"/>
      <c r="U46" s="22"/>
      <c r="V46" s="23"/>
      <c r="W46" s="23"/>
      <c r="X46" s="23"/>
      <c r="Y46" s="23"/>
      <c r="Z46" s="23"/>
      <c r="AA46" s="23"/>
      <c r="AB46" s="23"/>
      <c r="AC46" s="23"/>
    </row>
    <row r="47" spans="2:29" x14ac:dyDescent="0.2">
      <c r="T47" s="22"/>
      <c r="U47" s="22"/>
      <c r="V47" s="23"/>
      <c r="W47" s="23"/>
      <c r="X47" s="23"/>
      <c r="Y47" s="23"/>
      <c r="Z47" s="23"/>
      <c r="AA47" s="23"/>
      <c r="AB47" s="23"/>
      <c r="AC47" s="23"/>
    </row>
    <row r="48" spans="2:29" x14ac:dyDescent="0.2">
      <c r="V48" s="7"/>
      <c r="W48" s="7"/>
      <c r="X48" s="7"/>
      <c r="Y48" s="7"/>
      <c r="Z48" s="7"/>
      <c r="AA48" s="7"/>
      <c r="AB48" s="7"/>
      <c r="AC48" s="7"/>
    </row>
    <row r="49" spans="22:29" x14ac:dyDescent="0.2">
      <c r="V49" s="7"/>
      <c r="W49" s="7"/>
      <c r="X49" s="7"/>
      <c r="Y49" s="7"/>
      <c r="Z49" s="7"/>
      <c r="AA49" s="7"/>
      <c r="AB49" s="7"/>
      <c r="AC49" s="7"/>
    </row>
    <row r="50" spans="22:29" x14ac:dyDescent="0.2">
      <c r="V50" s="7"/>
      <c r="W50" s="7"/>
      <c r="X50" s="7"/>
      <c r="Y50" s="7"/>
      <c r="Z50" s="7"/>
      <c r="AA50" s="7"/>
      <c r="AB50" s="7"/>
      <c r="AC50" s="7"/>
    </row>
    <row r="51" spans="22:29" x14ac:dyDescent="0.2">
      <c r="V51" s="7"/>
      <c r="W51" s="7"/>
      <c r="X51" s="7"/>
      <c r="Y51" s="7"/>
      <c r="Z51" s="7"/>
      <c r="AA51" s="7"/>
      <c r="AB51" s="7"/>
      <c r="AC51" s="7"/>
    </row>
    <row r="52" spans="22:29" x14ac:dyDescent="0.2">
      <c r="V52" s="7"/>
      <c r="W52" s="7"/>
      <c r="X52" s="7"/>
      <c r="Y52" s="7"/>
      <c r="Z52" s="7"/>
      <c r="AA52" s="7"/>
      <c r="AB52" s="7"/>
      <c r="AC52" s="7"/>
    </row>
    <row r="53" spans="22:29" x14ac:dyDescent="0.2">
      <c r="V53" s="7"/>
      <c r="W53" s="7"/>
      <c r="X53" s="7"/>
      <c r="Y53" s="7"/>
      <c r="Z53" s="7"/>
      <c r="AA53" s="7"/>
      <c r="AB53" s="7"/>
      <c r="AC53" s="7"/>
    </row>
    <row r="54" spans="22:29" x14ac:dyDescent="0.2">
      <c r="V54" s="7"/>
      <c r="W54" s="7"/>
      <c r="X54" s="7"/>
      <c r="Y54" s="7"/>
      <c r="Z54" s="7"/>
      <c r="AA54" s="7"/>
      <c r="AB54" s="7"/>
      <c r="AC54" s="7"/>
    </row>
    <row r="55" spans="22:29" x14ac:dyDescent="0.2">
      <c r="V55" s="7"/>
      <c r="W55" s="7"/>
      <c r="X55" s="7"/>
      <c r="Y55" s="7"/>
      <c r="Z55" s="7"/>
      <c r="AA55" s="7"/>
      <c r="AB55" s="7"/>
      <c r="AC55" s="7"/>
    </row>
    <row r="56" spans="22:29" x14ac:dyDescent="0.2">
      <c r="V56" s="7"/>
      <c r="W56" s="7"/>
      <c r="X56" s="7"/>
      <c r="Y56" s="7"/>
      <c r="Z56" s="7"/>
      <c r="AA56" s="7"/>
      <c r="AB56" s="7"/>
      <c r="AC56" s="7"/>
    </row>
    <row r="57" spans="22:29" x14ac:dyDescent="0.2">
      <c r="V57" s="7"/>
      <c r="W57" s="7"/>
      <c r="X57" s="7"/>
      <c r="Y57" s="7"/>
      <c r="Z57" s="7"/>
      <c r="AA57" s="7"/>
      <c r="AB57" s="7"/>
      <c r="AC57" s="7"/>
    </row>
    <row r="58" spans="22:29" x14ac:dyDescent="0.2">
      <c r="V58" s="7"/>
      <c r="W58" s="7"/>
      <c r="X58" s="7"/>
      <c r="Y58" s="7"/>
      <c r="Z58" s="7"/>
      <c r="AA58" s="7"/>
      <c r="AB58" s="7"/>
      <c r="AC58" s="7"/>
    </row>
    <row r="59" spans="22:29" x14ac:dyDescent="0.2">
      <c r="V59" s="7"/>
      <c r="W59" s="7"/>
      <c r="X59" s="7"/>
      <c r="Y59" s="7"/>
      <c r="Z59" s="7"/>
      <c r="AA59" s="7"/>
      <c r="AB59" s="7"/>
      <c r="AC59" s="7"/>
    </row>
    <row r="60" spans="22:29" x14ac:dyDescent="0.2">
      <c r="V60" s="7"/>
      <c r="W60" s="7"/>
      <c r="X60" s="7"/>
      <c r="Y60" s="7"/>
      <c r="Z60" s="7"/>
      <c r="AA60" s="7"/>
      <c r="AB60" s="7"/>
      <c r="AC60" s="7"/>
    </row>
    <row r="61" spans="22:29" x14ac:dyDescent="0.2">
      <c r="V61" s="7"/>
      <c r="W61" s="7"/>
      <c r="X61" s="7"/>
      <c r="Y61" s="7"/>
      <c r="Z61" s="7"/>
      <c r="AA61" s="7"/>
      <c r="AB61" s="7"/>
      <c r="AC61" s="7"/>
    </row>
  </sheetData>
  <mergeCells count="44">
    <mergeCell ref="B33:R33"/>
    <mergeCell ref="O6:O7"/>
    <mergeCell ref="AK5:AL7"/>
    <mergeCell ref="A3:AC3"/>
    <mergeCell ref="AC6:AC7"/>
    <mergeCell ref="L6:L7"/>
    <mergeCell ref="B34:R34"/>
    <mergeCell ref="B28:R28"/>
    <mergeCell ref="T6:T7"/>
    <mergeCell ref="C5:C7"/>
    <mergeCell ref="AH5:AH7"/>
    <mergeCell ref="E5:E7"/>
    <mergeCell ref="F5:F7"/>
    <mergeCell ref="Z6:Z7"/>
    <mergeCell ref="AB6:AB7"/>
    <mergeCell ref="U6:W6"/>
    <mergeCell ref="N5:N7"/>
    <mergeCell ref="S5:AC5"/>
    <mergeCell ref="B27:R27"/>
    <mergeCell ref="A1:AC1"/>
    <mergeCell ref="R5:R7"/>
    <mergeCell ref="M6:M7"/>
    <mergeCell ref="AG5:AG7"/>
    <mergeCell ref="Q6:Q7"/>
    <mergeCell ref="H5:H7"/>
    <mergeCell ref="J5:M5"/>
    <mergeCell ref="Y6:Y7"/>
    <mergeCell ref="AD5:AD7"/>
    <mergeCell ref="A2:AC2"/>
    <mergeCell ref="K6:K7"/>
    <mergeCell ref="A5:A7"/>
    <mergeCell ref="AJ5:AJ7"/>
    <mergeCell ref="G5:G7"/>
    <mergeCell ref="B5:B7"/>
    <mergeCell ref="X6:X7"/>
    <mergeCell ref="AE5:AE7"/>
    <mergeCell ref="AI5:AI7"/>
    <mergeCell ref="AF5:AF7"/>
    <mergeCell ref="I5:I7"/>
    <mergeCell ref="O5:Q5"/>
    <mergeCell ref="D5:D7"/>
    <mergeCell ref="J6:J7"/>
    <mergeCell ref="P6:P7"/>
    <mergeCell ref="AA6:AA7"/>
  </mergeCells>
  <pageMargins left="0.25" right="0.25" top="0.75" bottom="0.75" header="0.3" footer="0.3"/>
  <pageSetup paperSize="14" scale="49" orientation="landscape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L76"/>
  <sheetViews>
    <sheetView topLeftCell="C1" zoomScale="56" zoomScaleNormal="75" workbookViewId="0">
      <selection activeCell="R4" sqref="R1:R1048576"/>
    </sheetView>
  </sheetViews>
  <sheetFormatPr baseColWidth="10" defaultColWidth="8.83203125" defaultRowHeight="16" x14ac:dyDescent="0.2"/>
  <cols>
    <col min="1" max="1" width="4.5" style="3" customWidth="1"/>
    <col min="2" max="2" width="21.5" customWidth="1"/>
    <col min="3" max="3" width="20.5" customWidth="1"/>
    <col min="4" max="4" width="17.6640625" customWidth="1"/>
    <col min="5" max="5" width="21.5" customWidth="1"/>
    <col min="6" max="6" width="24.83203125" customWidth="1"/>
    <col min="7" max="7" width="7.332031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0.6640625" customWidth="1"/>
    <col min="20" max="20" width="12.5" customWidth="1"/>
    <col min="21" max="21" width="11.1640625" customWidth="1"/>
    <col min="22" max="22" width="10.5" customWidth="1"/>
    <col min="23" max="23" width="10.83203125" customWidth="1"/>
    <col min="24" max="24" width="12.33203125" customWidth="1"/>
    <col min="25" max="25" width="11.5" customWidth="1"/>
    <col min="26" max="26" width="11.33203125" customWidth="1"/>
    <col min="27" max="28" width="10.1640625" customWidth="1"/>
    <col min="29" max="29" width="18" customWidth="1"/>
    <col min="30" max="30" width="18.33203125" customWidth="1"/>
    <col min="31" max="31" width="17.1640625" customWidth="1"/>
    <col min="32" max="32" width="17.5" customWidth="1"/>
    <col min="33" max="33" width="14.1640625" customWidth="1"/>
    <col min="34" max="34" width="11.83203125" customWidth="1"/>
    <col min="35" max="35" width="13.33203125" customWidth="1"/>
    <col min="36" max="36" width="19.83203125" customWidth="1"/>
  </cols>
  <sheetData>
    <row r="1" spans="1:38" ht="28" customHeight="1" x14ac:dyDescent="0.2">
      <c r="A1" s="188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6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"/>
    </row>
    <row r="2" spans="1:38" ht="28" customHeight="1" x14ac:dyDescent="0.2">
      <c r="A2" s="188" t="s">
        <v>1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  <c r="L2" s="175"/>
      <c r="M2" s="175"/>
      <c r="N2" s="175"/>
      <c r="O2" s="176"/>
      <c r="P2" s="175"/>
      <c r="Q2" s="175"/>
      <c r="R2" s="175"/>
      <c r="S2" s="175"/>
      <c r="T2" s="175"/>
      <c r="U2" s="175"/>
      <c r="V2" s="175"/>
      <c r="W2" s="175"/>
      <c r="X2" s="175"/>
      <c r="Y2" s="175"/>
      <c r="Z2" s="175"/>
      <c r="AA2" s="175"/>
      <c r="AB2" s="175"/>
      <c r="AC2" s="175"/>
      <c r="AD2" s="2"/>
    </row>
    <row r="3" spans="1:38" ht="28" customHeight="1" x14ac:dyDescent="0.2">
      <c r="A3" s="188" t="s">
        <v>82</v>
      </c>
      <c r="B3" s="175"/>
      <c r="C3" s="175"/>
      <c r="D3" s="175"/>
      <c r="E3" s="175"/>
      <c r="F3" s="175"/>
      <c r="G3" s="175"/>
      <c r="H3" s="175"/>
      <c r="I3" s="175"/>
      <c r="J3" s="175"/>
      <c r="K3" s="175"/>
      <c r="L3" s="175"/>
      <c r="M3" s="175"/>
      <c r="N3" s="175"/>
      <c r="O3" s="176"/>
      <c r="P3" s="175"/>
      <c r="Q3" s="175"/>
      <c r="R3" s="175"/>
      <c r="S3" s="175"/>
      <c r="T3" s="175"/>
      <c r="U3" s="175"/>
      <c r="V3" s="175"/>
      <c r="W3" s="175"/>
      <c r="X3" s="175"/>
      <c r="Y3" s="175"/>
      <c r="Z3" s="175"/>
      <c r="AA3" s="175"/>
      <c r="AB3" s="175"/>
      <c r="AC3" s="175"/>
      <c r="AD3" s="2"/>
    </row>
    <row r="4" spans="1:38" x14ac:dyDescent="0.2">
      <c r="D4" t="s">
        <v>3</v>
      </c>
    </row>
    <row r="5" spans="1:38" ht="16" customHeight="1" x14ac:dyDescent="0.2">
      <c r="A5" s="211" t="s">
        <v>4</v>
      </c>
      <c r="B5" s="211" t="s">
        <v>5</v>
      </c>
      <c r="C5" s="216" t="s">
        <v>6</v>
      </c>
      <c r="D5" s="207" t="s">
        <v>7</v>
      </c>
      <c r="E5" s="211" t="s">
        <v>8</v>
      </c>
      <c r="F5" s="218" t="s">
        <v>9</v>
      </c>
      <c r="G5" s="211" t="s">
        <v>10</v>
      </c>
      <c r="H5" s="214" t="s">
        <v>11</v>
      </c>
      <c r="I5" s="205" t="s">
        <v>12</v>
      </c>
      <c r="J5" s="205" t="s">
        <v>13</v>
      </c>
      <c r="K5" s="172"/>
      <c r="L5" s="172"/>
      <c r="M5" s="173"/>
      <c r="N5" s="208" t="s">
        <v>14</v>
      </c>
      <c r="O5" s="206" t="s">
        <v>15</v>
      </c>
      <c r="P5" s="172"/>
      <c r="Q5" s="173"/>
      <c r="R5" s="213" t="s">
        <v>16</v>
      </c>
      <c r="S5" s="220"/>
      <c r="T5" s="172"/>
      <c r="U5" s="172"/>
      <c r="V5" s="172"/>
      <c r="W5" s="172"/>
      <c r="X5" s="172"/>
      <c r="Y5" s="172"/>
      <c r="Z5" s="172"/>
      <c r="AA5" s="172"/>
      <c r="AB5" s="172"/>
      <c r="AC5" s="173"/>
      <c r="AD5" s="186" t="s">
        <v>17</v>
      </c>
      <c r="AE5" s="186" t="s">
        <v>18</v>
      </c>
      <c r="AF5" s="165" t="s">
        <v>19</v>
      </c>
      <c r="AG5" s="190" t="s">
        <v>20</v>
      </c>
      <c r="AH5" s="190" t="s">
        <v>21</v>
      </c>
      <c r="AI5" s="190" t="s">
        <v>22</v>
      </c>
      <c r="AJ5" s="181" t="s">
        <v>23</v>
      </c>
      <c r="AK5" s="192" t="s">
        <v>24</v>
      </c>
      <c r="AL5" s="193"/>
    </row>
    <row r="6" spans="1:38" ht="14.5" customHeight="1" x14ac:dyDescent="0.2">
      <c r="A6" s="169"/>
      <c r="B6" s="169"/>
      <c r="C6" s="169"/>
      <c r="D6" s="169"/>
      <c r="E6" s="169"/>
      <c r="F6" s="169"/>
      <c r="G6" s="169"/>
      <c r="H6" s="169"/>
      <c r="I6" s="169"/>
      <c r="J6" s="208" t="s">
        <v>25</v>
      </c>
      <c r="K6" s="208" t="s">
        <v>26</v>
      </c>
      <c r="L6" s="208" t="s">
        <v>27</v>
      </c>
      <c r="M6" s="208" t="s">
        <v>28</v>
      </c>
      <c r="N6" s="169"/>
      <c r="O6" s="209" t="s">
        <v>29</v>
      </c>
      <c r="P6" s="209" t="s">
        <v>30</v>
      </c>
      <c r="Q6" s="209" t="s">
        <v>31</v>
      </c>
      <c r="R6" s="169"/>
      <c r="S6" s="139"/>
      <c r="T6" s="217" t="s">
        <v>32</v>
      </c>
      <c r="U6" s="219" t="s">
        <v>26</v>
      </c>
      <c r="V6" s="172"/>
      <c r="W6" s="173"/>
      <c r="X6" s="212" t="s">
        <v>33</v>
      </c>
      <c r="Y6" s="215" t="s">
        <v>27</v>
      </c>
      <c r="Z6" s="215" t="s">
        <v>34</v>
      </c>
      <c r="AA6" s="210" t="s">
        <v>28</v>
      </c>
      <c r="AB6" s="210" t="s">
        <v>35</v>
      </c>
      <c r="AC6" s="202" t="s">
        <v>36</v>
      </c>
      <c r="AD6" s="166"/>
      <c r="AE6" s="166"/>
      <c r="AF6" s="166"/>
      <c r="AG6" s="166"/>
      <c r="AH6" s="166"/>
      <c r="AI6" s="166"/>
      <c r="AJ6" s="182"/>
      <c r="AK6" s="194"/>
      <c r="AL6" s="195"/>
    </row>
    <row r="7" spans="1:38" ht="34" customHeight="1" x14ac:dyDescent="0.2">
      <c r="A7" s="170"/>
      <c r="B7" s="170"/>
      <c r="C7" s="169"/>
      <c r="D7" s="169"/>
      <c r="E7" s="170"/>
      <c r="F7" s="170"/>
      <c r="G7" s="170"/>
      <c r="H7" s="170"/>
      <c r="I7" s="170"/>
      <c r="J7" s="169"/>
      <c r="K7" s="169"/>
      <c r="L7" s="169"/>
      <c r="M7" s="169"/>
      <c r="N7" s="169"/>
      <c r="O7" s="169"/>
      <c r="P7" s="169"/>
      <c r="Q7" s="169"/>
      <c r="R7" s="170"/>
      <c r="S7" s="5" t="s">
        <v>37</v>
      </c>
      <c r="T7" s="170"/>
      <c r="U7" s="4" t="s">
        <v>38</v>
      </c>
      <c r="V7" s="4" t="s">
        <v>39</v>
      </c>
      <c r="W7" s="4" t="s">
        <v>40</v>
      </c>
      <c r="X7" s="170"/>
      <c r="Y7" s="170"/>
      <c r="Z7" s="170"/>
      <c r="AA7" s="170"/>
      <c r="AB7" s="170"/>
      <c r="AC7" s="170"/>
      <c r="AD7" s="167"/>
      <c r="AE7" s="167"/>
      <c r="AF7" s="167"/>
      <c r="AG7" s="167"/>
      <c r="AH7" s="167"/>
      <c r="AI7" s="167"/>
      <c r="AJ7" s="183"/>
      <c r="AK7" s="196"/>
      <c r="AL7" s="197"/>
    </row>
    <row r="8" spans="1:38" s="84" customFormat="1" ht="45" customHeight="1" x14ac:dyDescent="0.2">
      <c r="A8" s="124" t="s">
        <v>41</v>
      </c>
      <c r="B8" s="60"/>
      <c r="C8" s="76"/>
      <c r="D8" s="77"/>
      <c r="E8" s="77"/>
      <c r="F8" s="78"/>
      <c r="G8" s="78"/>
      <c r="H8" s="79"/>
      <c r="I8" s="64"/>
      <c r="J8" s="65"/>
      <c r="K8" s="66"/>
      <c r="L8" s="67"/>
      <c r="M8" s="67"/>
      <c r="N8" s="68">
        <f t="shared" ref="N8:N35" si="0">ROUND(I8*(SUM(J8:M8)),0)</f>
        <v>0</v>
      </c>
      <c r="O8" s="69"/>
      <c r="P8" s="70"/>
      <c r="Q8" s="70"/>
      <c r="R8" s="71"/>
      <c r="S8" s="68">
        <f t="shared" ref="S8:S35" si="1">I8*J8</f>
        <v>0</v>
      </c>
      <c r="T8" s="68">
        <f t="shared" ref="T8:T35" si="2">SUM(S8:S8)</f>
        <v>0</v>
      </c>
      <c r="U8" s="68">
        <f t="shared" ref="U8:U35" si="3">I8*K8*40%*O8</f>
        <v>0</v>
      </c>
      <c r="V8" s="68">
        <f t="shared" ref="V8:V35" si="4">IF(P8&gt;=6750,(I8*K8*40%),0)</f>
        <v>0</v>
      </c>
      <c r="W8" s="68">
        <f t="shared" ref="W8:W35" si="5">IF(P8&lt;6750,0,IF(Q8="",0,IF(OR(Q8="KURANG",Q8="SANGAT KURANG"),I8*K8*10%,I8*K8*20%)))</f>
        <v>0</v>
      </c>
      <c r="X8" s="68">
        <f t="shared" ref="X8:X35" si="6">SUM(U8:W8)</f>
        <v>0</v>
      </c>
      <c r="Y8" s="68">
        <f t="shared" ref="Y8:Y35" si="7">I8*L8</f>
        <v>0</v>
      </c>
      <c r="Z8" s="68">
        <f t="shared" ref="Z8:Z35" si="8">Y8</f>
        <v>0</v>
      </c>
      <c r="AA8" s="68">
        <f t="shared" ref="AA8:AA35" si="9">I8*M8</f>
        <v>0</v>
      </c>
      <c r="AB8" s="68">
        <f t="shared" ref="AB8:AB35" si="10">AA8</f>
        <v>0</v>
      </c>
      <c r="AC8" s="72">
        <f t="shared" ref="AC8:AC35" si="11">ROUND((T8+X8+Z8+AB8),0)</f>
        <v>0</v>
      </c>
      <c r="AD8" s="140">
        <f t="shared" ref="AD8:AD35" si="12">AG8</f>
        <v>0</v>
      </c>
      <c r="AE8" s="140">
        <f t="shared" ref="AE8:AE35" si="13">AI8</f>
        <v>0</v>
      </c>
      <c r="AF8" s="140">
        <f t="shared" ref="AF8:AF35" si="14">AC8+AD8+AE8</f>
        <v>0</v>
      </c>
      <c r="AG8" s="140"/>
      <c r="AH8" s="141"/>
      <c r="AI8" s="141">
        <f t="shared" ref="AI8:AI35" si="15">AH8*4</f>
        <v>0</v>
      </c>
      <c r="AJ8" s="146">
        <f t="shared" ref="AJ8:AJ35" si="16">AF8-AG8-AH8-AI8</f>
        <v>0</v>
      </c>
      <c r="AK8" s="147">
        <v>1</v>
      </c>
      <c r="AL8" s="148"/>
    </row>
    <row r="9" spans="1:38" s="84" customFormat="1" ht="45" customHeight="1" x14ac:dyDescent="0.2">
      <c r="A9" s="124" t="s">
        <v>42</v>
      </c>
      <c r="B9" s="60"/>
      <c r="C9" s="76"/>
      <c r="D9" s="77"/>
      <c r="E9" s="77"/>
      <c r="F9" s="78"/>
      <c r="G9" s="78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si="1"/>
        <v>0</v>
      </c>
      <c r="T9" s="68">
        <f t="shared" si="2"/>
        <v>0</v>
      </c>
      <c r="U9" s="68">
        <f t="shared" si="3"/>
        <v>0</v>
      </c>
      <c r="V9" s="68">
        <f t="shared" si="4"/>
        <v>0</v>
      </c>
      <c r="W9" s="68">
        <f t="shared" si="5"/>
        <v>0</v>
      </c>
      <c r="X9" s="68">
        <f t="shared" si="6"/>
        <v>0</v>
      </c>
      <c r="Y9" s="68">
        <f t="shared" si="7"/>
        <v>0</v>
      </c>
      <c r="Z9" s="68">
        <f t="shared" si="8"/>
        <v>0</v>
      </c>
      <c r="AA9" s="68">
        <f t="shared" si="9"/>
        <v>0</v>
      </c>
      <c r="AB9" s="68">
        <f t="shared" si="10"/>
        <v>0</v>
      </c>
      <c r="AC9" s="72">
        <f t="shared" si="11"/>
        <v>0</v>
      </c>
      <c r="AD9" s="140">
        <f t="shared" si="12"/>
        <v>0</v>
      </c>
      <c r="AE9" s="140">
        <f t="shared" si="13"/>
        <v>0</v>
      </c>
      <c r="AF9" s="140">
        <f t="shared" si="14"/>
        <v>0</v>
      </c>
      <c r="AG9" s="140"/>
      <c r="AH9" s="141"/>
      <c r="AI9" s="141">
        <f t="shared" si="15"/>
        <v>0</v>
      </c>
      <c r="AJ9" s="146">
        <f t="shared" si="16"/>
        <v>0</v>
      </c>
      <c r="AK9" s="147">
        <v>2</v>
      </c>
      <c r="AL9" s="148"/>
    </row>
    <row r="10" spans="1:38" s="84" customFormat="1" ht="45" customHeight="1" x14ac:dyDescent="0.2">
      <c r="A10" s="124" t="s">
        <v>43</v>
      </c>
      <c r="B10" s="60"/>
      <c r="C10" s="76"/>
      <c r="D10" s="77"/>
      <c r="E10" s="77"/>
      <c r="F10" s="78"/>
      <c r="G10" s="78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1"/>
        <v>0</v>
      </c>
      <c r="T10" s="68">
        <f t="shared" si="2"/>
        <v>0</v>
      </c>
      <c r="U10" s="68">
        <f t="shared" si="3"/>
        <v>0</v>
      </c>
      <c r="V10" s="68">
        <f t="shared" si="4"/>
        <v>0</v>
      </c>
      <c r="W10" s="68">
        <f t="shared" si="5"/>
        <v>0</v>
      </c>
      <c r="X10" s="68">
        <f t="shared" si="6"/>
        <v>0</v>
      </c>
      <c r="Y10" s="68">
        <f t="shared" si="7"/>
        <v>0</v>
      </c>
      <c r="Z10" s="68">
        <f t="shared" si="8"/>
        <v>0</v>
      </c>
      <c r="AA10" s="68">
        <f t="shared" si="9"/>
        <v>0</v>
      </c>
      <c r="AB10" s="68">
        <f t="shared" si="10"/>
        <v>0</v>
      </c>
      <c r="AC10" s="72">
        <f t="shared" si="11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s="84" customFormat="1" ht="45" customHeight="1" x14ac:dyDescent="0.2">
      <c r="A11" s="124" t="s">
        <v>44</v>
      </c>
      <c r="B11" s="60"/>
      <c r="C11" s="76"/>
      <c r="D11" s="77"/>
      <c r="E11" s="77"/>
      <c r="F11" s="78"/>
      <c r="G11" s="62"/>
      <c r="H11" s="63"/>
      <c r="I11" s="64"/>
      <c r="J11" s="65"/>
      <c r="K11" s="66"/>
      <c r="L11" s="67"/>
      <c r="M11" s="67"/>
      <c r="N11" s="68">
        <f t="shared" si="0"/>
        <v>0</v>
      </c>
      <c r="O11" s="69"/>
      <c r="P11" s="70"/>
      <c r="Q11" s="70"/>
      <c r="R11" s="71"/>
      <c r="S11" s="68">
        <f t="shared" si="1"/>
        <v>0</v>
      </c>
      <c r="T11" s="68">
        <f t="shared" si="2"/>
        <v>0</v>
      </c>
      <c r="U11" s="68">
        <f t="shared" si="3"/>
        <v>0</v>
      </c>
      <c r="V11" s="68">
        <f t="shared" si="4"/>
        <v>0</v>
      </c>
      <c r="W11" s="68">
        <f t="shared" si="5"/>
        <v>0</v>
      </c>
      <c r="X11" s="68">
        <f t="shared" si="6"/>
        <v>0</v>
      </c>
      <c r="Y11" s="68">
        <f t="shared" si="7"/>
        <v>0</v>
      </c>
      <c r="Z11" s="68">
        <f t="shared" si="8"/>
        <v>0</v>
      </c>
      <c r="AA11" s="68">
        <f t="shared" si="9"/>
        <v>0</v>
      </c>
      <c r="AB11" s="68">
        <f t="shared" si="10"/>
        <v>0</v>
      </c>
      <c r="AC11" s="72">
        <f t="shared" si="11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s="84" customFormat="1" ht="45" customHeight="1" x14ac:dyDescent="0.2">
      <c r="A12" s="124" t="s">
        <v>45</v>
      </c>
      <c r="B12" s="60"/>
      <c r="C12" s="76"/>
      <c r="D12" s="77"/>
      <c r="E12" s="77"/>
      <c r="F12" s="78"/>
      <c r="G12" s="62"/>
      <c r="H12" s="63"/>
      <c r="I12" s="64"/>
      <c r="J12" s="65"/>
      <c r="K12" s="66"/>
      <c r="L12" s="67"/>
      <c r="M12" s="67"/>
      <c r="N12" s="68">
        <f t="shared" si="0"/>
        <v>0</v>
      </c>
      <c r="O12" s="69"/>
      <c r="P12" s="70"/>
      <c r="Q12" s="70"/>
      <c r="R12" s="71"/>
      <c r="S12" s="68">
        <f t="shared" si="1"/>
        <v>0</v>
      </c>
      <c r="T12" s="68">
        <f t="shared" si="2"/>
        <v>0</v>
      </c>
      <c r="U12" s="68">
        <f t="shared" si="3"/>
        <v>0</v>
      </c>
      <c r="V12" s="68">
        <f t="shared" si="4"/>
        <v>0</v>
      </c>
      <c r="W12" s="68">
        <f t="shared" si="5"/>
        <v>0</v>
      </c>
      <c r="X12" s="68">
        <f t="shared" si="6"/>
        <v>0</v>
      </c>
      <c r="Y12" s="68">
        <f t="shared" si="7"/>
        <v>0</v>
      </c>
      <c r="Z12" s="68">
        <f t="shared" si="8"/>
        <v>0</v>
      </c>
      <c r="AA12" s="68">
        <f t="shared" si="9"/>
        <v>0</v>
      </c>
      <c r="AB12" s="68">
        <f t="shared" si="10"/>
        <v>0</v>
      </c>
      <c r="AC12" s="72">
        <f t="shared" si="11"/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s="84" customFormat="1" ht="45" customHeight="1" x14ac:dyDescent="0.2">
      <c r="A13" s="124" t="s">
        <v>46</v>
      </c>
      <c r="B13" s="60"/>
      <c r="C13" s="76"/>
      <c r="D13" s="77"/>
      <c r="E13" s="77"/>
      <c r="F13" s="78"/>
      <c r="G13" s="62"/>
      <c r="H13" s="63"/>
      <c r="I13" s="64"/>
      <c r="J13" s="65"/>
      <c r="K13" s="66"/>
      <c r="L13" s="67"/>
      <c r="M13" s="67"/>
      <c r="N13" s="68">
        <f t="shared" si="0"/>
        <v>0</v>
      </c>
      <c r="O13" s="69"/>
      <c r="P13" s="70"/>
      <c r="Q13" s="70"/>
      <c r="R13" s="71"/>
      <c r="S13" s="68">
        <f t="shared" si="1"/>
        <v>0</v>
      </c>
      <c r="T13" s="68">
        <f t="shared" si="2"/>
        <v>0</v>
      </c>
      <c r="U13" s="68">
        <f t="shared" si="3"/>
        <v>0</v>
      </c>
      <c r="V13" s="68">
        <f t="shared" si="4"/>
        <v>0</v>
      </c>
      <c r="W13" s="68">
        <f t="shared" si="5"/>
        <v>0</v>
      </c>
      <c r="X13" s="68">
        <f t="shared" si="6"/>
        <v>0</v>
      </c>
      <c r="Y13" s="68">
        <f t="shared" si="7"/>
        <v>0</v>
      </c>
      <c r="Z13" s="68">
        <f t="shared" si="8"/>
        <v>0</v>
      </c>
      <c r="AA13" s="68">
        <f t="shared" si="9"/>
        <v>0</v>
      </c>
      <c r="AB13" s="68">
        <f t="shared" si="10"/>
        <v>0</v>
      </c>
      <c r="AC13" s="72">
        <f t="shared" si="11"/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s="84" customFormat="1" ht="45" customHeight="1" x14ac:dyDescent="0.2">
      <c r="A14" s="124" t="s">
        <v>47</v>
      </c>
      <c r="B14" s="60"/>
      <c r="C14" s="76"/>
      <c r="D14" s="77"/>
      <c r="E14" s="77"/>
      <c r="F14" s="78"/>
      <c r="G14" s="62"/>
      <c r="H14" s="63"/>
      <c r="I14" s="64"/>
      <c r="J14" s="65"/>
      <c r="K14" s="66"/>
      <c r="L14" s="104"/>
      <c r="M14" s="67"/>
      <c r="N14" s="68">
        <f t="shared" si="0"/>
        <v>0</v>
      </c>
      <c r="O14" s="69"/>
      <c r="P14" s="70"/>
      <c r="Q14" s="70"/>
      <c r="R14" s="71"/>
      <c r="S14" s="68">
        <f t="shared" si="1"/>
        <v>0</v>
      </c>
      <c r="T14" s="68">
        <f t="shared" si="2"/>
        <v>0</v>
      </c>
      <c r="U14" s="68">
        <f t="shared" si="3"/>
        <v>0</v>
      </c>
      <c r="V14" s="68">
        <f t="shared" si="4"/>
        <v>0</v>
      </c>
      <c r="W14" s="68">
        <f t="shared" si="5"/>
        <v>0</v>
      </c>
      <c r="X14" s="68">
        <f t="shared" si="6"/>
        <v>0</v>
      </c>
      <c r="Y14" s="68">
        <f t="shared" si="7"/>
        <v>0</v>
      </c>
      <c r="Z14" s="68">
        <f t="shared" si="8"/>
        <v>0</v>
      </c>
      <c r="AA14" s="68">
        <f t="shared" si="9"/>
        <v>0</v>
      </c>
      <c r="AB14" s="68">
        <f t="shared" si="10"/>
        <v>0</v>
      </c>
      <c r="AC14" s="72">
        <f t="shared" si="11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s="84" customFormat="1" ht="45" customHeight="1" x14ac:dyDescent="0.2">
      <c r="A15" s="124" t="s">
        <v>48</v>
      </c>
      <c r="B15" s="60"/>
      <c r="C15" s="76"/>
      <c r="D15" s="77"/>
      <c r="E15" s="77"/>
      <c r="F15" s="78"/>
      <c r="G15" s="78"/>
      <c r="H15" s="103"/>
      <c r="I15" s="64"/>
      <c r="J15" s="65"/>
      <c r="K15" s="66"/>
      <c r="L15" s="104"/>
      <c r="M15" s="67"/>
      <c r="N15" s="68">
        <f t="shared" si="0"/>
        <v>0</v>
      </c>
      <c r="O15" s="69"/>
      <c r="P15" s="70"/>
      <c r="Q15" s="70"/>
      <c r="R15" s="71"/>
      <c r="S15" s="68">
        <f t="shared" si="1"/>
        <v>0</v>
      </c>
      <c r="T15" s="68">
        <f t="shared" si="2"/>
        <v>0</v>
      </c>
      <c r="U15" s="68">
        <f t="shared" si="3"/>
        <v>0</v>
      </c>
      <c r="V15" s="68">
        <f t="shared" si="4"/>
        <v>0</v>
      </c>
      <c r="W15" s="68">
        <f t="shared" si="5"/>
        <v>0</v>
      </c>
      <c r="X15" s="68">
        <f t="shared" si="6"/>
        <v>0</v>
      </c>
      <c r="Y15" s="68">
        <f t="shared" si="7"/>
        <v>0</v>
      </c>
      <c r="Z15" s="68">
        <f t="shared" si="8"/>
        <v>0</v>
      </c>
      <c r="AA15" s="68">
        <f t="shared" si="9"/>
        <v>0</v>
      </c>
      <c r="AB15" s="68">
        <f t="shared" si="10"/>
        <v>0</v>
      </c>
      <c r="AC15" s="72">
        <f t="shared" si="11"/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s="84" customFormat="1" ht="45" customHeight="1" x14ac:dyDescent="0.2">
      <c r="A16" s="124" t="s">
        <v>49</v>
      </c>
      <c r="B16" s="60"/>
      <c r="C16" s="76"/>
      <c r="D16" s="77"/>
      <c r="E16" s="77"/>
      <c r="F16" s="78"/>
      <c r="G16" s="78"/>
      <c r="H16" s="103"/>
      <c r="I16" s="64"/>
      <c r="J16" s="65"/>
      <c r="K16" s="66"/>
      <c r="L16" s="104"/>
      <c r="M16" s="67"/>
      <c r="N16" s="68">
        <f t="shared" si="0"/>
        <v>0</v>
      </c>
      <c r="O16" s="69"/>
      <c r="P16" s="70"/>
      <c r="Q16" s="70"/>
      <c r="R16" s="71"/>
      <c r="S16" s="68">
        <f t="shared" si="1"/>
        <v>0</v>
      </c>
      <c r="T16" s="68">
        <f t="shared" si="2"/>
        <v>0</v>
      </c>
      <c r="U16" s="68">
        <f t="shared" si="3"/>
        <v>0</v>
      </c>
      <c r="V16" s="68">
        <f t="shared" si="4"/>
        <v>0</v>
      </c>
      <c r="W16" s="68">
        <f t="shared" si="5"/>
        <v>0</v>
      </c>
      <c r="X16" s="68">
        <f t="shared" si="6"/>
        <v>0</v>
      </c>
      <c r="Y16" s="68">
        <f t="shared" si="7"/>
        <v>0</v>
      </c>
      <c r="Z16" s="68">
        <f t="shared" si="8"/>
        <v>0</v>
      </c>
      <c r="AA16" s="68">
        <f t="shared" si="9"/>
        <v>0</v>
      </c>
      <c r="AB16" s="68">
        <f t="shared" si="10"/>
        <v>0</v>
      </c>
      <c r="AC16" s="72">
        <f t="shared" si="11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s="84" customFormat="1" ht="45" customHeight="1" x14ac:dyDescent="0.2">
      <c r="A17" s="124" t="s">
        <v>50</v>
      </c>
      <c r="B17" s="60"/>
      <c r="C17" s="76"/>
      <c r="D17" s="77"/>
      <c r="E17" s="77"/>
      <c r="F17" s="78"/>
      <c r="G17" s="78"/>
      <c r="H17" s="103"/>
      <c r="I17" s="64"/>
      <c r="J17" s="65"/>
      <c r="K17" s="66"/>
      <c r="L17" s="104"/>
      <c r="M17" s="67"/>
      <c r="N17" s="68">
        <f t="shared" si="0"/>
        <v>0</v>
      </c>
      <c r="O17" s="69"/>
      <c r="P17" s="70"/>
      <c r="Q17" s="70"/>
      <c r="R17" s="71"/>
      <c r="S17" s="68">
        <f t="shared" si="1"/>
        <v>0</v>
      </c>
      <c r="T17" s="68">
        <f t="shared" si="2"/>
        <v>0</v>
      </c>
      <c r="U17" s="68">
        <f t="shared" si="3"/>
        <v>0</v>
      </c>
      <c r="V17" s="68">
        <f t="shared" si="4"/>
        <v>0</v>
      </c>
      <c r="W17" s="68">
        <f t="shared" si="5"/>
        <v>0</v>
      </c>
      <c r="X17" s="68">
        <f t="shared" si="6"/>
        <v>0</v>
      </c>
      <c r="Y17" s="68">
        <f t="shared" si="7"/>
        <v>0</v>
      </c>
      <c r="Z17" s="68">
        <f t="shared" si="8"/>
        <v>0</v>
      </c>
      <c r="AA17" s="68">
        <f t="shared" si="9"/>
        <v>0</v>
      </c>
      <c r="AB17" s="68">
        <f t="shared" si="10"/>
        <v>0</v>
      </c>
      <c r="AC17" s="72">
        <f t="shared" si="11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s="84" customFormat="1" ht="45" customHeight="1" x14ac:dyDescent="0.2">
      <c r="A18" s="124" t="s">
        <v>51</v>
      </c>
      <c r="B18" s="60"/>
      <c r="C18" s="76"/>
      <c r="D18" s="77"/>
      <c r="E18" s="77"/>
      <c r="F18" s="78"/>
      <c r="G18" s="78"/>
      <c r="H18" s="103"/>
      <c r="I18" s="64"/>
      <c r="J18" s="65"/>
      <c r="K18" s="66"/>
      <c r="L18" s="104"/>
      <c r="M18" s="67"/>
      <c r="N18" s="68">
        <f t="shared" si="0"/>
        <v>0</v>
      </c>
      <c r="O18" s="69"/>
      <c r="P18" s="70"/>
      <c r="Q18" s="70"/>
      <c r="R18" s="71"/>
      <c r="S18" s="68">
        <f t="shared" si="1"/>
        <v>0</v>
      </c>
      <c r="T18" s="68">
        <f t="shared" si="2"/>
        <v>0</v>
      </c>
      <c r="U18" s="68">
        <f t="shared" si="3"/>
        <v>0</v>
      </c>
      <c r="V18" s="68">
        <f t="shared" si="4"/>
        <v>0</v>
      </c>
      <c r="W18" s="68">
        <f t="shared" si="5"/>
        <v>0</v>
      </c>
      <c r="X18" s="68">
        <f t="shared" si="6"/>
        <v>0</v>
      </c>
      <c r="Y18" s="68">
        <f t="shared" si="7"/>
        <v>0</v>
      </c>
      <c r="Z18" s="68">
        <f t="shared" si="8"/>
        <v>0</v>
      </c>
      <c r="AA18" s="68">
        <f t="shared" si="9"/>
        <v>0</v>
      </c>
      <c r="AB18" s="68">
        <f t="shared" si="10"/>
        <v>0</v>
      </c>
      <c r="AC18" s="72">
        <f t="shared" si="11"/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s="84" customFormat="1" ht="45" customHeight="1" x14ac:dyDescent="0.2">
      <c r="A19" s="124" t="s">
        <v>52</v>
      </c>
      <c r="B19" s="60"/>
      <c r="C19" s="76"/>
      <c r="D19" s="77"/>
      <c r="E19" s="77"/>
      <c r="F19" s="78"/>
      <c r="G19" s="78"/>
      <c r="H19" s="103"/>
      <c r="I19" s="64"/>
      <c r="J19" s="65"/>
      <c r="K19" s="66"/>
      <c r="L19" s="104"/>
      <c r="M19" s="67"/>
      <c r="N19" s="68">
        <f t="shared" si="0"/>
        <v>0</v>
      </c>
      <c r="O19" s="69"/>
      <c r="P19" s="70"/>
      <c r="Q19" s="70"/>
      <c r="R19" s="71"/>
      <c r="S19" s="68">
        <f t="shared" si="1"/>
        <v>0</v>
      </c>
      <c r="T19" s="68">
        <f t="shared" si="2"/>
        <v>0</v>
      </c>
      <c r="U19" s="68">
        <f t="shared" si="3"/>
        <v>0</v>
      </c>
      <c r="V19" s="68">
        <f t="shared" si="4"/>
        <v>0</v>
      </c>
      <c r="W19" s="68">
        <f t="shared" si="5"/>
        <v>0</v>
      </c>
      <c r="X19" s="68">
        <f t="shared" si="6"/>
        <v>0</v>
      </c>
      <c r="Y19" s="68">
        <f t="shared" si="7"/>
        <v>0</v>
      </c>
      <c r="Z19" s="68">
        <f t="shared" si="8"/>
        <v>0</v>
      </c>
      <c r="AA19" s="68">
        <f t="shared" si="9"/>
        <v>0</v>
      </c>
      <c r="AB19" s="68">
        <f t="shared" si="10"/>
        <v>0</v>
      </c>
      <c r="AC19" s="72">
        <f t="shared" si="11"/>
        <v>0</v>
      </c>
      <c r="AD19" s="140">
        <f t="shared" si="12"/>
        <v>0</v>
      </c>
      <c r="AE19" s="140">
        <f t="shared" si="13"/>
        <v>0</v>
      </c>
      <c r="AF19" s="140">
        <f t="shared" si="14"/>
        <v>0</v>
      </c>
      <c r="AG19" s="140"/>
      <c r="AH19" s="141"/>
      <c r="AI19" s="141">
        <f t="shared" si="15"/>
        <v>0</v>
      </c>
      <c r="AJ19" s="146">
        <f t="shared" si="16"/>
        <v>0</v>
      </c>
      <c r="AK19" s="147">
        <v>12</v>
      </c>
      <c r="AL19" s="148"/>
    </row>
    <row r="20" spans="1:38" s="84" customFormat="1" ht="45" customHeight="1" x14ac:dyDescent="0.2">
      <c r="A20" s="124" t="s">
        <v>53</v>
      </c>
      <c r="B20" s="60"/>
      <c r="C20" s="76"/>
      <c r="D20" s="77"/>
      <c r="E20" s="77"/>
      <c r="F20" s="78"/>
      <c r="G20" s="78"/>
      <c r="H20" s="103"/>
      <c r="I20" s="64"/>
      <c r="J20" s="65"/>
      <c r="K20" s="66"/>
      <c r="L20" s="104"/>
      <c r="M20" s="67"/>
      <c r="N20" s="68">
        <f t="shared" si="0"/>
        <v>0</v>
      </c>
      <c r="O20" s="69"/>
      <c r="P20" s="70"/>
      <c r="Q20" s="70"/>
      <c r="R20" s="71"/>
      <c r="S20" s="68">
        <f t="shared" si="1"/>
        <v>0</v>
      </c>
      <c r="T20" s="68">
        <f t="shared" si="2"/>
        <v>0</v>
      </c>
      <c r="U20" s="68">
        <f t="shared" si="3"/>
        <v>0</v>
      </c>
      <c r="V20" s="68">
        <f t="shared" si="4"/>
        <v>0</v>
      </c>
      <c r="W20" s="68">
        <f t="shared" si="5"/>
        <v>0</v>
      </c>
      <c r="X20" s="68">
        <f t="shared" si="6"/>
        <v>0</v>
      </c>
      <c r="Y20" s="68">
        <f t="shared" si="7"/>
        <v>0</v>
      </c>
      <c r="Z20" s="68">
        <f t="shared" si="8"/>
        <v>0</v>
      </c>
      <c r="AA20" s="68">
        <f t="shared" si="9"/>
        <v>0</v>
      </c>
      <c r="AB20" s="68">
        <f t="shared" si="10"/>
        <v>0</v>
      </c>
      <c r="AC20" s="72">
        <f t="shared" si="11"/>
        <v>0</v>
      </c>
      <c r="AD20" s="140">
        <f t="shared" si="12"/>
        <v>0</v>
      </c>
      <c r="AE20" s="140">
        <f t="shared" si="13"/>
        <v>0</v>
      </c>
      <c r="AF20" s="140">
        <f t="shared" si="14"/>
        <v>0</v>
      </c>
      <c r="AG20" s="140"/>
      <c r="AH20" s="141"/>
      <c r="AI20" s="141">
        <f t="shared" si="15"/>
        <v>0</v>
      </c>
      <c r="AJ20" s="146">
        <f t="shared" si="16"/>
        <v>0</v>
      </c>
      <c r="AK20" s="147">
        <v>13</v>
      </c>
      <c r="AL20" s="148"/>
    </row>
    <row r="21" spans="1:38" s="84" customFormat="1" ht="45" customHeight="1" x14ac:dyDescent="0.2">
      <c r="A21" s="124" t="s">
        <v>54</v>
      </c>
      <c r="B21" s="60"/>
      <c r="C21" s="76"/>
      <c r="D21" s="77"/>
      <c r="E21" s="77"/>
      <c r="F21" s="78"/>
      <c r="G21" s="78"/>
      <c r="H21" s="103"/>
      <c r="I21" s="64"/>
      <c r="J21" s="65"/>
      <c r="K21" s="66"/>
      <c r="L21" s="104"/>
      <c r="M21" s="67"/>
      <c r="N21" s="68">
        <f t="shared" si="0"/>
        <v>0</v>
      </c>
      <c r="O21" s="69"/>
      <c r="P21" s="70"/>
      <c r="Q21" s="70"/>
      <c r="R21" s="71"/>
      <c r="S21" s="68">
        <f t="shared" si="1"/>
        <v>0</v>
      </c>
      <c r="T21" s="68">
        <f t="shared" si="2"/>
        <v>0</v>
      </c>
      <c r="U21" s="68">
        <f t="shared" si="3"/>
        <v>0</v>
      </c>
      <c r="V21" s="68">
        <f t="shared" si="4"/>
        <v>0</v>
      </c>
      <c r="W21" s="68">
        <f t="shared" si="5"/>
        <v>0</v>
      </c>
      <c r="X21" s="68">
        <f t="shared" si="6"/>
        <v>0</v>
      </c>
      <c r="Y21" s="68">
        <f t="shared" si="7"/>
        <v>0</v>
      </c>
      <c r="Z21" s="68">
        <f t="shared" si="8"/>
        <v>0</v>
      </c>
      <c r="AA21" s="68">
        <f t="shared" si="9"/>
        <v>0</v>
      </c>
      <c r="AB21" s="68">
        <f t="shared" si="10"/>
        <v>0</v>
      </c>
      <c r="AC21" s="72">
        <f t="shared" si="11"/>
        <v>0</v>
      </c>
      <c r="AD21" s="140">
        <f t="shared" si="12"/>
        <v>0</v>
      </c>
      <c r="AE21" s="140">
        <f t="shared" si="13"/>
        <v>0</v>
      </c>
      <c r="AF21" s="140">
        <f t="shared" si="14"/>
        <v>0</v>
      </c>
      <c r="AG21" s="140"/>
      <c r="AH21" s="141"/>
      <c r="AI21" s="141">
        <f t="shared" si="15"/>
        <v>0</v>
      </c>
      <c r="AJ21" s="146">
        <f t="shared" si="16"/>
        <v>0</v>
      </c>
      <c r="AK21" s="147">
        <v>14</v>
      </c>
      <c r="AL21" s="148"/>
    </row>
    <row r="22" spans="1:38" s="84" customFormat="1" ht="45" customHeight="1" x14ac:dyDescent="0.2">
      <c r="A22" s="124" t="s">
        <v>65</v>
      </c>
      <c r="B22" s="60"/>
      <c r="C22" s="76"/>
      <c r="D22" s="77"/>
      <c r="E22" s="77"/>
      <c r="F22" s="78"/>
      <c r="G22" s="62"/>
      <c r="H22" s="63"/>
      <c r="I22" s="64"/>
      <c r="J22" s="65"/>
      <c r="K22" s="66"/>
      <c r="L22" s="104"/>
      <c r="M22" s="67"/>
      <c r="N22" s="68">
        <f t="shared" si="0"/>
        <v>0</v>
      </c>
      <c r="O22" s="69"/>
      <c r="P22" s="70"/>
      <c r="Q22" s="70"/>
      <c r="R22" s="71"/>
      <c r="S22" s="68">
        <f t="shared" si="1"/>
        <v>0</v>
      </c>
      <c r="T22" s="68">
        <f t="shared" si="2"/>
        <v>0</v>
      </c>
      <c r="U22" s="68">
        <f t="shared" si="3"/>
        <v>0</v>
      </c>
      <c r="V22" s="68">
        <f t="shared" si="4"/>
        <v>0</v>
      </c>
      <c r="W22" s="68">
        <f t="shared" si="5"/>
        <v>0</v>
      </c>
      <c r="X22" s="68">
        <f t="shared" si="6"/>
        <v>0</v>
      </c>
      <c r="Y22" s="68">
        <f t="shared" si="7"/>
        <v>0</v>
      </c>
      <c r="Z22" s="68">
        <f t="shared" si="8"/>
        <v>0</v>
      </c>
      <c r="AA22" s="68">
        <f t="shared" si="9"/>
        <v>0</v>
      </c>
      <c r="AB22" s="68">
        <f t="shared" si="10"/>
        <v>0</v>
      </c>
      <c r="AC22" s="72">
        <f t="shared" si="11"/>
        <v>0</v>
      </c>
      <c r="AD22" s="140">
        <f t="shared" si="12"/>
        <v>0</v>
      </c>
      <c r="AE22" s="140">
        <f t="shared" si="13"/>
        <v>0</v>
      </c>
      <c r="AF22" s="140">
        <f t="shared" si="14"/>
        <v>0</v>
      </c>
      <c r="AG22" s="140"/>
      <c r="AH22" s="141"/>
      <c r="AI22" s="141">
        <f t="shared" si="15"/>
        <v>0</v>
      </c>
      <c r="AJ22" s="146">
        <f t="shared" si="16"/>
        <v>0</v>
      </c>
      <c r="AK22" s="147">
        <v>15</v>
      </c>
      <c r="AL22" s="148"/>
    </row>
    <row r="23" spans="1:38" s="84" customFormat="1" ht="45" customHeight="1" x14ac:dyDescent="0.2">
      <c r="A23" s="124" t="s">
        <v>66</v>
      </c>
      <c r="B23" s="60"/>
      <c r="C23" s="76"/>
      <c r="D23" s="77"/>
      <c r="E23" s="77"/>
      <c r="F23" s="78"/>
      <c r="G23" s="78"/>
      <c r="H23" s="103"/>
      <c r="I23" s="64"/>
      <c r="J23" s="65"/>
      <c r="K23" s="66"/>
      <c r="L23" s="104"/>
      <c r="M23" s="67"/>
      <c r="N23" s="68">
        <f t="shared" si="0"/>
        <v>0</v>
      </c>
      <c r="O23" s="69"/>
      <c r="P23" s="70"/>
      <c r="Q23" s="70"/>
      <c r="R23" s="71"/>
      <c r="S23" s="68">
        <f t="shared" si="1"/>
        <v>0</v>
      </c>
      <c r="T23" s="68">
        <f t="shared" si="2"/>
        <v>0</v>
      </c>
      <c r="U23" s="68">
        <f t="shared" si="3"/>
        <v>0</v>
      </c>
      <c r="V23" s="68">
        <f t="shared" si="4"/>
        <v>0</v>
      </c>
      <c r="W23" s="68">
        <f t="shared" si="5"/>
        <v>0</v>
      </c>
      <c r="X23" s="68">
        <f t="shared" si="6"/>
        <v>0</v>
      </c>
      <c r="Y23" s="68">
        <f t="shared" si="7"/>
        <v>0</v>
      </c>
      <c r="Z23" s="68">
        <f t="shared" si="8"/>
        <v>0</v>
      </c>
      <c r="AA23" s="68">
        <f t="shared" si="9"/>
        <v>0</v>
      </c>
      <c r="AB23" s="68">
        <f t="shared" si="10"/>
        <v>0</v>
      </c>
      <c r="AC23" s="72">
        <f t="shared" si="11"/>
        <v>0</v>
      </c>
      <c r="AD23" s="140">
        <f t="shared" si="12"/>
        <v>0</v>
      </c>
      <c r="AE23" s="140">
        <f t="shared" si="13"/>
        <v>0</v>
      </c>
      <c r="AF23" s="140">
        <f t="shared" si="14"/>
        <v>0</v>
      </c>
      <c r="AG23" s="140"/>
      <c r="AH23" s="141"/>
      <c r="AI23" s="141">
        <f t="shared" si="15"/>
        <v>0</v>
      </c>
      <c r="AJ23" s="146">
        <f t="shared" si="16"/>
        <v>0</v>
      </c>
      <c r="AK23" s="147">
        <v>16</v>
      </c>
      <c r="AL23" s="148"/>
    </row>
    <row r="24" spans="1:38" s="84" customFormat="1" ht="45" customHeight="1" x14ac:dyDescent="0.2">
      <c r="A24" s="124" t="s">
        <v>67</v>
      </c>
      <c r="B24" s="60"/>
      <c r="C24" s="76"/>
      <c r="D24" s="77"/>
      <c r="E24" s="77"/>
      <c r="F24" s="78"/>
      <c r="G24" s="78"/>
      <c r="H24" s="103"/>
      <c r="I24" s="64"/>
      <c r="J24" s="65"/>
      <c r="K24" s="66"/>
      <c r="L24" s="104"/>
      <c r="M24" s="67"/>
      <c r="N24" s="68">
        <f t="shared" si="0"/>
        <v>0</v>
      </c>
      <c r="O24" s="69"/>
      <c r="P24" s="70"/>
      <c r="Q24" s="70"/>
      <c r="R24" s="71"/>
      <c r="S24" s="68">
        <f t="shared" si="1"/>
        <v>0</v>
      </c>
      <c r="T24" s="68">
        <f t="shared" si="2"/>
        <v>0</v>
      </c>
      <c r="U24" s="68">
        <f t="shared" si="3"/>
        <v>0</v>
      </c>
      <c r="V24" s="68">
        <f t="shared" si="4"/>
        <v>0</v>
      </c>
      <c r="W24" s="68">
        <f t="shared" si="5"/>
        <v>0</v>
      </c>
      <c r="X24" s="68">
        <f t="shared" si="6"/>
        <v>0</v>
      </c>
      <c r="Y24" s="68">
        <f t="shared" si="7"/>
        <v>0</v>
      </c>
      <c r="Z24" s="68">
        <f t="shared" si="8"/>
        <v>0</v>
      </c>
      <c r="AA24" s="68">
        <f t="shared" si="9"/>
        <v>0</v>
      </c>
      <c r="AB24" s="68">
        <f t="shared" si="10"/>
        <v>0</v>
      </c>
      <c r="AC24" s="72">
        <f t="shared" si="11"/>
        <v>0</v>
      </c>
      <c r="AD24" s="140">
        <f t="shared" si="12"/>
        <v>0</v>
      </c>
      <c r="AE24" s="140">
        <f t="shared" si="13"/>
        <v>0</v>
      </c>
      <c r="AF24" s="140">
        <f t="shared" si="14"/>
        <v>0</v>
      </c>
      <c r="AG24" s="140"/>
      <c r="AH24" s="141"/>
      <c r="AI24" s="141">
        <f t="shared" si="15"/>
        <v>0</v>
      </c>
      <c r="AJ24" s="146">
        <f t="shared" si="16"/>
        <v>0</v>
      </c>
      <c r="AK24" s="147">
        <v>17</v>
      </c>
      <c r="AL24" s="148"/>
    </row>
    <row r="25" spans="1:38" s="84" customFormat="1" ht="45" customHeight="1" x14ac:dyDescent="0.2">
      <c r="A25" s="124" t="s">
        <v>68</v>
      </c>
      <c r="B25" s="60"/>
      <c r="C25" s="76"/>
      <c r="D25" s="77"/>
      <c r="E25" s="77"/>
      <c r="F25" s="78"/>
      <c r="G25" s="78"/>
      <c r="H25" s="103"/>
      <c r="I25" s="64"/>
      <c r="J25" s="65"/>
      <c r="K25" s="66"/>
      <c r="L25" s="104"/>
      <c r="M25" s="67"/>
      <c r="N25" s="68">
        <f t="shared" si="0"/>
        <v>0</v>
      </c>
      <c r="O25" s="69"/>
      <c r="P25" s="70"/>
      <c r="Q25" s="70"/>
      <c r="R25" s="71"/>
      <c r="S25" s="68">
        <f t="shared" si="1"/>
        <v>0</v>
      </c>
      <c r="T25" s="68">
        <f t="shared" si="2"/>
        <v>0</v>
      </c>
      <c r="U25" s="68">
        <f t="shared" si="3"/>
        <v>0</v>
      </c>
      <c r="V25" s="68">
        <f t="shared" si="4"/>
        <v>0</v>
      </c>
      <c r="W25" s="68">
        <f t="shared" si="5"/>
        <v>0</v>
      </c>
      <c r="X25" s="68">
        <f t="shared" si="6"/>
        <v>0</v>
      </c>
      <c r="Y25" s="68">
        <f t="shared" si="7"/>
        <v>0</v>
      </c>
      <c r="Z25" s="68">
        <f t="shared" si="8"/>
        <v>0</v>
      </c>
      <c r="AA25" s="68">
        <f t="shared" si="9"/>
        <v>0</v>
      </c>
      <c r="AB25" s="68">
        <f t="shared" si="10"/>
        <v>0</v>
      </c>
      <c r="AC25" s="72">
        <f t="shared" si="11"/>
        <v>0</v>
      </c>
      <c r="AD25" s="140">
        <f t="shared" si="12"/>
        <v>0</v>
      </c>
      <c r="AE25" s="140">
        <f t="shared" si="13"/>
        <v>0</v>
      </c>
      <c r="AF25" s="140">
        <f t="shared" si="14"/>
        <v>0</v>
      </c>
      <c r="AG25" s="140"/>
      <c r="AH25" s="141"/>
      <c r="AI25" s="141">
        <f t="shared" si="15"/>
        <v>0</v>
      </c>
      <c r="AJ25" s="146">
        <f t="shared" si="16"/>
        <v>0</v>
      </c>
      <c r="AK25" s="147">
        <v>18</v>
      </c>
      <c r="AL25" s="148"/>
    </row>
    <row r="26" spans="1:38" s="84" customFormat="1" ht="45" customHeight="1" x14ac:dyDescent="0.2">
      <c r="A26" s="124" t="s">
        <v>69</v>
      </c>
      <c r="B26" s="60"/>
      <c r="C26" s="76"/>
      <c r="D26" s="77"/>
      <c r="E26" s="77"/>
      <c r="F26" s="78"/>
      <c r="G26" s="78"/>
      <c r="H26" s="103"/>
      <c r="I26" s="64"/>
      <c r="J26" s="65"/>
      <c r="K26" s="66"/>
      <c r="L26" s="104"/>
      <c r="M26" s="67"/>
      <c r="N26" s="68">
        <f t="shared" si="0"/>
        <v>0</v>
      </c>
      <c r="O26" s="69"/>
      <c r="P26" s="70"/>
      <c r="Q26" s="70"/>
      <c r="R26" s="71"/>
      <c r="S26" s="68">
        <f t="shared" si="1"/>
        <v>0</v>
      </c>
      <c r="T26" s="68">
        <f t="shared" si="2"/>
        <v>0</v>
      </c>
      <c r="U26" s="68">
        <f t="shared" si="3"/>
        <v>0</v>
      </c>
      <c r="V26" s="68">
        <f t="shared" si="4"/>
        <v>0</v>
      </c>
      <c r="W26" s="68">
        <f t="shared" si="5"/>
        <v>0</v>
      </c>
      <c r="X26" s="68">
        <f t="shared" si="6"/>
        <v>0</v>
      </c>
      <c r="Y26" s="68">
        <f t="shared" si="7"/>
        <v>0</v>
      </c>
      <c r="Z26" s="68">
        <f t="shared" si="8"/>
        <v>0</v>
      </c>
      <c r="AA26" s="68">
        <f t="shared" si="9"/>
        <v>0</v>
      </c>
      <c r="AB26" s="68">
        <f t="shared" si="10"/>
        <v>0</v>
      </c>
      <c r="AC26" s="72">
        <f t="shared" si="11"/>
        <v>0</v>
      </c>
      <c r="AD26" s="140">
        <f t="shared" si="12"/>
        <v>0</v>
      </c>
      <c r="AE26" s="140">
        <f t="shared" si="13"/>
        <v>0</v>
      </c>
      <c r="AF26" s="140">
        <f t="shared" si="14"/>
        <v>0</v>
      </c>
      <c r="AG26" s="140"/>
      <c r="AH26" s="141"/>
      <c r="AI26" s="141">
        <f t="shared" si="15"/>
        <v>0</v>
      </c>
      <c r="AJ26" s="146">
        <f t="shared" si="16"/>
        <v>0</v>
      </c>
      <c r="AK26" s="147">
        <v>19</v>
      </c>
      <c r="AL26" s="148"/>
    </row>
    <row r="27" spans="1:38" s="84" customFormat="1" ht="45" customHeight="1" x14ac:dyDescent="0.2">
      <c r="A27" s="124" t="s">
        <v>70</v>
      </c>
      <c r="B27" s="60"/>
      <c r="C27" s="76"/>
      <c r="D27" s="77"/>
      <c r="E27" s="77"/>
      <c r="F27" s="78"/>
      <c r="G27" s="78"/>
      <c r="H27" s="103"/>
      <c r="I27" s="64"/>
      <c r="J27" s="65"/>
      <c r="K27" s="66"/>
      <c r="L27" s="104"/>
      <c r="M27" s="67"/>
      <c r="N27" s="68">
        <f t="shared" si="0"/>
        <v>0</v>
      </c>
      <c r="O27" s="69"/>
      <c r="P27" s="70"/>
      <c r="Q27" s="70"/>
      <c r="R27" s="71"/>
      <c r="S27" s="68">
        <f t="shared" si="1"/>
        <v>0</v>
      </c>
      <c r="T27" s="68">
        <f t="shared" si="2"/>
        <v>0</v>
      </c>
      <c r="U27" s="68">
        <f t="shared" si="3"/>
        <v>0</v>
      </c>
      <c r="V27" s="68">
        <f t="shared" si="4"/>
        <v>0</v>
      </c>
      <c r="W27" s="68">
        <f t="shared" si="5"/>
        <v>0</v>
      </c>
      <c r="X27" s="68">
        <f t="shared" si="6"/>
        <v>0</v>
      </c>
      <c r="Y27" s="68">
        <f t="shared" si="7"/>
        <v>0</v>
      </c>
      <c r="Z27" s="68">
        <f t="shared" si="8"/>
        <v>0</v>
      </c>
      <c r="AA27" s="68">
        <f t="shared" si="9"/>
        <v>0</v>
      </c>
      <c r="AB27" s="68">
        <f t="shared" si="10"/>
        <v>0</v>
      </c>
      <c r="AC27" s="72">
        <f t="shared" si="11"/>
        <v>0</v>
      </c>
      <c r="AD27" s="140">
        <f t="shared" si="12"/>
        <v>0</v>
      </c>
      <c r="AE27" s="140">
        <f t="shared" si="13"/>
        <v>0</v>
      </c>
      <c r="AF27" s="140">
        <f t="shared" si="14"/>
        <v>0</v>
      </c>
      <c r="AG27" s="140"/>
      <c r="AH27" s="141"/>
      <c r="AI27" s="141">
        <f t="shared" si="15"/>
        <v>0</v>
      </c>
      <c r="AJ27" s="146">
        <f t="shared" si="16"/>
        <v>0</v>
      </c>
      <c r="AK27" s="147">
        <v>20</v>
      </c>
      <c r="AL27" s="148"/>
    </row>
    <row r="28" spans="1:38" s="84" customFormat="1" ht="45" customHeight="1" x14ac:dyDescent="0.2">
      <c r="A28" s="124" t="s">
        <v>71</v>
      </c>
      <c r="B28" s="60"/>
      <c r="C28" s="76"/>
      <c r="D28" s="77"/>
      <c r="E28" s="77"/>
      <c r="F28" s="78"/>
      <c r="G28" s="78"/>
      <c r="H28" s="103"/>
      <c r="I28" s="64"/>
      <c r="J28" s="65"/>
      <c r="K28" s="66"/>
      <c r="L28" s="104"/>
      <c r="M28" s="67"/>
      <c r="N28" s="68">
        <f t="shared" si="0"/>
        <v>0</v>
      </c>
      <c r="O28" s="69"/>
      <c r="P28" s="70"/>
      <c r="Q28" s="70"/>
      <c r="R28" s="71"/>
      <c r="S28" s="68">
        <f t="shared" si="1"/>
        <v>0</v>
      </c>
      <c r="T28" s="68">
        <f t="shared" si="2"/>
        <v>0</v>
      </c>
      <c r="U28" s="68">
        <f t="shared" si="3"/>
        <v>0</v>
      </c>
      <c r="V28" s="68">
        <f t="shared" si="4"/>
        <v>0</v>
      </c>
      <c r="W28" s="68">
        <f t="shared" si="5"/>
        <v>0</v>
      </c>
      <c r="X28" s="68">
        <f t="shared" si="6"/>
        <v>0</v>
      </c>
      <c r="Y28" s="68">
        <f t="shared" si="7"/>
        <v>0</v>
      </c>
      <c r="Z28" s="68">
        <f t="shared" si="8"/>
        <v>0</v>
      </c>
      <c r="AA28" s="68">
        <f t="shared" si="9"/>
        <v>0</v>
      </c>
      <c r="AB28" s="68">
        <f t="shared" si="10"/>
        <v>0</v>
      </c>
      <c r="AC28" s="72">
        <f t="shared" si="11"/>
        <v>0</v>
      </c>
      <c r="AD28" s="140">
        <f t="shared" si="12"/>
        <v>0</v>
      </c>
      <c r="AE28" s="140">
        <f t="shared" si="13"/>
        <v>0</v>
      </c>
      <c r="AF28" s="140">
        <f t="shared" si="14"/>
        <v>0</v>
      </c>
      <c r="AG28" s="140"/>
      <c r="AH28" s="141"/>
      <c r="AI28" s="141">
        <f t="shared" si="15"/>
        <v>0</v>
      </c>
      <c r="AJ28" s="146">
        <f t="shared" si="16"/>
        <v>0</v>
      </c>
      <c r="AK28" s="147">
        <v>21</v>
      </c>
      <c r="AL28" s="148"/>
    </row>
    <row r="29" spans="1:38" s="84" customFormat="1" ht="45" customHeight="1" x14ac:dyDescent="0.2">
      <c r="A29" s="124" t="s">
        <v>72</v>
      </c>
      <c r="B29" s="60"/>
      <c r="C29" s="76"/>
      <c r="D29" s="77"/>
      <c r="E29" s="77"/>
      <c r="F29" s="78"/>
      <c r="G29" s="78"/>
      <c r="H29" s="103"/>
      <c r="I29" s="64"/>
      <c r="J29" s="65"/>
      <c r="K29" s="66"/>
      <c r="L29" s="104"/>
      <c r="M29" s="67"/>
      <c r="N29" s="68">
        <f t="shared" si="0"/>
        <v>0</v>
      </c>
      <c r="O29" s="69"/>
      <c r="P29" s="70"/>
      <c r="Q29" s="70"/>
      <c r="R29" s="71"/>
      <c r="S29" s="68">
        <f t="shared" si="1"/>
        <v>0</v>
      </c>
      <c r="T29" s="68">
        <f t="shared" si="2"/>
        <v>0</v>
      </c>
      <c r="U29" s="68">
        <f t="shared" si="3"/>
        <v>0</v>
      </c>
      <c r="V29" s="68">
        <f t="shared" si="4"/>
        <v>0</v>
      </c>
      <c r="W29" s="68">
        <f t="shared" si="5"/>
        <v>0</v>
      </c>
      <c r="X29" s="68">
        <f t="shared" si="6"/>
        <v>0</v>
      </c>
      <c r="Y29" s="68">
        <f t="shared" si="7"/>
        <v>0</v>
      </c>
      <c r="Z29" s="68">
        <f t="shared" si="8"/>
        <v>0</v>
      </c>
      <c r="AA29" s="68">
        <f t="shared" si="9"/>
        <v>0</v>
      </c>
      <c r="AB29" s="68">
        <f t="shared" si="10"/>
        <v>0</v>
      </c>
      <c r="AC29" s="72">
        <f t="shared" si="11"/>
        <v>0</v>
      </c>
      <c r="AD29" s="140">
        <f t="shared" si="12"/>
        <v>0</v>
      </c>
      <c r="AE29" s="140">
        <f t="shared" si="13"/>
        <v>0</v>
      </c>
      <c r="AF29" s="140">
        <f t="shared" si="14"/>
        <v>0</v>
      </c>
      <c r="AG29" s="140"/>
      <c r="AH29" s="141"/>
      <c r="AI29" s="141">
        <f t="shared" si="15"/>
        <v>0</v>
      </c>
      <c r="AJ29" s="146">
        <f t="shared" si="16"/>
        <v>0</v>
      </c>
      <c r="AK29" s="147">
        <v>22</v>
      </c>
      <c r="AL29" s="148"/>
    </row>
    <row r="30" spans="1:38" s="84" customFormat="1" ht="45" customHeight="1" x14ac:dyDescent="0.2">
      <c r="A30" s="124" t="s">
        <v>73</v>
      </c>
      <c r="B30" s="60"/>
      <c r="C30" s="76"/>
      <c r="D30" s="77"/>
      <c r="E30" s="77"/>
      <c r="F30" s="78"/>
      <c r="G30" s="78"/>
      <c r="H30" s="103"/>
      <c r="I30" s="64"/>
      <c r="J30" s="65"/>
      <c r="K30" s="66"/>
      <c r="L30" s="104"/>
      <c r="M30" s="67"/>
      <c r="N30" s="68">
        <f t="shared" si="0"/>
        <v>0</v>
      </c>
      <c r="O30" s="69"/>
      <c r="P30" s="70"/>
      <c r="Q30" s="70"/>
      <c r="R30" s="71"/>
      <c r="S30" s="68">
        <f t="shared" si="1"/>
        <v>0</v>
      </c>
      <c r="T30" s="68">
        <f t="shared" si="2"/>
        <v>0</v>
      </c>
      <c r="U30" s="68">
        <f t="shared" si="3"/>
        <v>0</v>
      </c>
      <c r="V30" s="68">
        <f t="shared" si="4"/>
        <v>0</v>
      </c>
      <c r="W30" s="68">
        <f t="shared" si="5"/>
        <v>0</v>
      </c>
      <c r="X30" s="68">
        <f t="shared" si="6"/>
        <v>0</v>
      </c>
      <c r="Y30" s="68">
        <f t="shared" si="7"/>
        <v>0</v>
      </c>
      <c r="Z30" s="68">
        <f t="shared" si="8"/>
        <v>0</v>
      </c>
      <c r="AA30" s="68">
        <f t="shared" si="9"/>
        <v>0</v>
      </c>
      <c r="AB30" s="68">
        <f t="shared" si="10"/>
        <v>0</v>
      </c>
      <c r="AC30" s="72">
        <f t="shared" si="11"/>
        <v>0</v>
      </c>
      <c r="AD30" s="140">
        <f t="shared" si="12"/>
        <v>0</v>
      </c>
      <c r="AE30" s="140">
        <f t="shared" si="13"/>
        <v>0</v>
      </c>
      <c r="AF30" s="140">
        <f t="shared" si="14"/>
        <v>0</v>
      </c>
      <c r="AG30" s="140"/>
      <c r="AH30" s="141"/>
      <c r="AI30" s="141">
        <f t="shared" si="15"/>
        <v>0</v>
      </c>
      <c r="AJ30" s="146">
        <f t="shared" si="16"/>
        <v>0</v>
      </c>
      <c r="AK30" s="147">
        <v>23</v>
      </c>
      <c r="AL30" s="148"/>
    </row>
    <row r="31" spans="1:38" s="84" customFormat="1" ht="45" customHeight="1" x14ac:dyDescent="0.2">
      <c r="A31" s="124" t="s">
        <v>74</v>
      </c>
      <c r="B31" s="60"/>
      <c r="C31" s="76"/>
      <c r="D31" s="77"/>
      <c r="E31" s="77"/>
      <c r="F31" s="78"/>
      <c r="G31" s="78"/>
      <c r="H31" s="103"/>
      <c r="I31" s="64"/>
      <c r="J31" s="65"/>
      <c r="K31" s="66"/>
      <c r="L31" s="104"/>
      <c r="M31" s="67"/>
      <c r="N31" s="68">
        <f t="shared" si="0"/>
        <v>0</v>
      </c>
      <c r="O31" s="69"/>
      <c r="P31" s="70"/>
      <c r="Q31" s="70"/>
      <c r="R31" s="71"/>
      <c r="S31" s="68">
        <f t="shared" si="1"/>
        <v>0</v>
      </c>
      <c r="T31" s="68">
        <f t="shared" si="2"/>
        <v>0</v>
      </c>
      <c r="U31" s="68">
        <f t="shared" si="3"/>
        <v>0</v>
      </c>
      <c r="V31" s="68">
        <f t="shared" si="4"/>
        <v>0</v>
      </c>
      <c r="W31" s="68">
        <f t="shared" si="5"/>
        <v>0</v>
      </c>
      <c r="X31" s="68">
        <f t="shared" si="6"/>
        <v>0</v>
      </c>
      <c r="Y31" s="68">
        <f t="shared" si="7"/>
        <v>0</v>
      </c>
      <c r="Z31" s="68">
        <f t="shared" si="8"/>
        <v>0</v>
      </c>
      <c r="AA31" s="68">
        <f t="shared" si="9"/>
        <v>0</v>
      </c>
      <c r="AB31" s="68">
        <f t="shared" si="10"/>
        <v>0</v>
      </c>
      <c r="AC31" s="72">
        <f t="shared" si="11"/>
        <v>0</v>
      </c>
      <c r="AD31" s="140">
        <f t="shared" si="12"/>
        <v>0</v>
      </c>
      <c r="AE31" s="140">
        <f t="shared" si="13"/>
        <v>0</v>
      </c>
      <c r="AF31" s="140">
        <f t="shared" si="14"/>
        <v>0</v>
      </c>
      <c r="AG31" s="140"/>
      <c r="AH31" s="141"/>
      <c r="AI31" s="141">
        <f t="shared" si="15"/>
        <v>0</v>
      </c>
      <c r="AJ31" s="146">
        <f t="shared" si="16"/>
        <v>0</v>
      </c>
      <c r="AK31" s="147">
        <v>24</v>
      </c>
      <c r="AL31" s="148"/>
    </row>
    <row r="32" spans="1:38" s="84" customFormat="1" ht="45" customHeight="1" x14ac:dyDescent="0.2">
      <c r="A32" s="124" t="s">
        <v>75</v>
      </c>
      <c r="B32" s="60"/>
      <c r="C32" s="76"/>
      <c r="D32" s="77"/>
      <c r="E32" s="77"/>
      <c r="F32" s="78"/>
      <c r="G32" s="62"/>
      <c r="H32" s="63"/>
      <c r="I32" s="64"/>
      <c r="J32" s="65"/>
      <c r="K32" s="66"/>
      <c r="L32" s="104"/>
      <c r="M32" s="67"/>
      <c r="N32" s="68">
        <f t="shared" si="0"/>
        <v>0</v>
      </c>
      <c r="O32" s="69"/>
      <c r="P32" s="70"/>
      <c r="Q32" s="70"/>
      <c r="R32" s="71"/>
      <c r="S32" s="68">
        <f t="shared" si="1"/>
        <v>0</v>
      </c>
      <c r="T32" s="68">
        <f t="shared" si="2"/>
        <v>0</v>
      </c>
      <c r="U32" s="68">
        <f t="shared" si="3"/>
        <v>0</v>
      </c>
      <c r="V32" s="68">
        <f t="shared" si="4"/>
        <v>0</v>
      </c>
      <c r="W32" s="68">
        <f t="shared" si="5"/>
        <v>0</v>
      </c>
      <c r="X32" s="68">
        <f t="shared" si="6"/>
        <v>0</v>
      </c>
      <c r="Y32" s="68">
        <f t="shared" si="7"/>
        <v>0</v>
      </c>
      <c r="Z32" s="68">
        <f t="shared" si="8"/>
        <v>0</v>
      </c>
      <c r="AA32" s="68">
        <f t="shared" si="9"/>
        <v>0</v>
      </c>
      <c r="AB32" s="68">
        <f t="shared" si="10"/>
        <v>0</v>
      </c>
      <c r="AC32" s="72">
        <f t="shared" si="11"/>
        <v>0</v>
      </c>
      <c r="AD32" s="140">
        <f t="shared" si="12"/>
        <v>0</v>
      </c>
      <c r="AE32" s="140">
        <f t="shared" si="13"/>
        <v>0</v>
      </c>
      <c r="AF32" s="140">
        <f t="shared" si="14"/>
        <v>0</v>
      </c>
      <c r="AG32" s="140"/>
      <c r="AH32" s="141"/>
      <c r="AI32" s="141">
        <f t="shared" si="15"/>
        <v>0</v>
      </c>
      <c r="AJ32" s="146">
        <f t="shared" si="16"/>
        <v>0</v>
      </c>
      <c r="AK32" s="147">
        <v>25</v>
      </c>
      <c r="AL32" s="148"/>
    </row>
    <row r="33" spans="1:38" s="84" customFormat="1" ht="45" customHeight="1" x14ac:dyDescent="0.2">
      <c r="A33" s="124" t="s">
        <v>76</v>
      </c>
      <c r="B33" s="60"/>
      <c r="C33" s="76"/>
      <c r="D33" s="77"/>
      <c r="E33" s="77"/>
      <c r="F33" s="78"/>
      <c r="G33" s="78"/>
      <c r="H33" s="103"/>
      <c r="I33" s="64"/>
      <c r="J33" s="65"/>
      <c r="K33" s="66"/>
      <c r="L33" s="104"/>
      <c r="M33" s="67"/>
      <c r="N33" s="68">
        <f t="shared" si="0"/>
        <v>0</v>
      </c>
      <c r="O33" s="69"/>
      <c r="P33" s="70"/>
      <c r="Q33" s="70"/>
      <c r="R33" s="71"/>
      <c r="S33" s="68">
        <f t="shared" si="1"/>
        <v>0</v>
      </c>
      <c r="T33" s="68">
        <f t="shared" si="2"/>
        <v>0</v>
      </c>
      <c r="U33" s="68">
        <f t="shared" si="3"/>
        <v>0</v>
      </c>
      <c r="V33" s="68">
        <f t="shared" si="4"/>
        <v>0</v>
      </c>
      <c r="W33" s="68">
        <f t="shared" si="5"/>
        <v>0</v>
      </c>
      <c r="X33" s="68">
        <f t="shared" si="6"/>
        <v>0</v>
      </c>
      <c r="Y33" s="68">
        <f t="shared" si="7"/>
        <v>0</v>
      </c>
      <c r="Z33" s="68">
        <f t="shared" si="8"/>
        <v>0</v>
      </c>
      <c r="AA33" s="68">
        <f t="shared" si="9"/>
        <v>0</v>
      </c>
      <c r="AB33" s="68">
        <f t="shared" si="10"/>
        <v>0</v>
      </c>
      <c r="AC33" s="72">
        <f t="shared" si="11"/>
        <v>0</v>
      </c>
      <c r="AD33" s="140">
        <f t="shared" si="12"/>
        <v>0</v>
      </c>
      <c r="AE33" s="140">
        <f t="shared" si="13"/>
        <v>0</v>
      </c>
      <c r="AF33" s="140">
        <f t="shared" si="14"/>
        <v>0</v>
      </c>
      <c r="AG33" s="140"/>
      <c r="AH33" s="141"/>
      <c r="AI33" s="141">
        <f t="shared" si="15"/>
        <v>0</v>
      </c>
      <c r="AJ33" s="146">
        <f t="shared" si="16"/>
        <v>0</v>
      </c>
      <c r="AK33" s="147">
        <v>26</v>
      </c>
      <c r="AL33" s="148"/>
    </row>
    <row r="34" spans="1:38" s="84" customFormat="1" ht="45" customHeight="1" x14ac:dyDescent="0.2">
      <c r="A34" s="124" t="s">
        <v>77</v>
      </c>
      <c r="B34" s="60"/>
      <c r="C34" s="76"/>
      <c r="D34" s="77"/>
      <c r="E34" s="77"/>
      <c r="F34" s="78"/>
      <c r="G34" s="78"/>
      <c r="H34" s="103"/>
      <c r="I34" s="64"/>
      <c r="J34" s="65"/>
      <c r="K34" s="66"/>
      <c r="L34" s="104"/>
      <c r="M34" s="67"/>
      <c r="N34" s="68">
        <f t="shared" si="0"/>
        <v>0</v>
      </c>
      <c r="O34" s="69"/>
      <c r="P34" s="70"/>
      <c r="Q34" s="70"/>
      <c r="R34" s="71"/>
      <c r="S34" s="68">
        <f t="shared" si="1"/>
        <v>0</v>
      </c>
      <c r="T34" s="68">
        <f t="shared" si="2"/>
        <v>0</v>
      </c>
      <c r="U34" s="68">
        <f t="shared" si="3"/>
        <v>0</v>
      </c>
      <c r="V34" s="68">
        <f t="shared" si="4"/>
        <v>0</v>
      </c>
      <c r="W34" s="68">
        <f t="shared" si="5"/>
        <v>0</v>
      </c>
      <c r="X34" s="68">
        <f t="shared" si="6"/>
        <v>0</v>
      </c>
      <c r="Y34" s="68">
        <f t="shared" si="7"/>
        <v>0</v>
      </c>
      <c r="Z34" s="68">
        <f t="shared" si="8"/>
        <v>0</v>
      </c>
      <c r="AA34" s="68">
        <f t="shared" si="9"/>
        <v>0</v>
      </c>
      <c r="AB34" s="68">
        <f t="shared" si="10"/>
        <v>0</v>
      </c>
      <c r="AC34" s="72">
        <f t="shared" si="11"/>
        <v>0</v>
      </c>
      <c r="AD34" s="140">
        <f t="shared" si="12"/>
        <v>0</v>
      </c>
      <c r="AE34" s="140">
        <f t="shared" si="13"/>
        <v>0</v>
      </c>
      <c r="AF34" s="140">
        <f t="shared" si="14"/>
        <v>0</v>
      </c>
      <c r="AG34" s="140"/>
      <c r="AH34" s="141"/>
      <c r="AI34" s="141">
        <f t="shared" si="15"/>
        <v>0</v>
      </c>
      <c r="AJ34" s="146">
        <f t="shared" si="16"/>
        <v>0</v>
      </c>
      <c r="AK34" s="147">
        <v>27</v>
      </c>
      <c r="AL34" s="148"/>
    </row>
    <row r="35" spans="1:38" s="84" customFormat="1" ht="45" customHeight="1" x14ac:dyDescent="0.2">
      <c r="A35" s="124" t="s">
        <v>78</v>
      </c>
      <c r="B35" s="60"/>
      <c r="C35" s="76"/>
      <c r="D35" s="77"/>
      <c r="E35" s="77"/>
      <c r="F35" s="78"/>
      <c r="G35" s="78"/>
      <c r="H35" s="103"/>
      <c r="I35" s="64"/>
      <c r="J35" s="65"/>
      <c r="K35" s="66"/>
      <c r="L35" s="104"/>
      <c r="M35" s="67"/>
      <c r="N35" s="68">
        <f t="shared" si="0"/>
        <v>0</v>
      </c>
      <c r="O35" s="69"/>
      <c r="P35" s="70"/>
      <c r="Q35" s="70"/>
      <c r="R35" s="71"/>
      <c r="S35" s="68">
        <f t="shared" si="1"/>
        <v>0</v>
      </c>
      <c r="T35" s="68">
        <f t="shared" si="2"/>
        <v>0</v>
      </c>
      <c r="U35" s="68">
        <f t="shared" si="3"/>
        <v>0</v>
      </c>
      <c r="V35" s="68">
        <f t="shared" si="4"/>
        <v>0</v>
      </c>
      <c r="W35" s="68">
        <f t="shared" si="5"/>
        <v>0</v>
      </c>
      <c r="X35" s="68">
        <f t="shared" si="6"/>
        <v>0</v>
      </c>
      <c r="Y35" s="68">
        <f t="shared" si="7"/>
        <v>0</v>
      </c>
      <c r="Z35" s="68">
        <f t="shared" si="8"/>
        <v>0</v>
      </c>
      <c r="AA35" s="68">
        <f t="shared" si="9"/>
        <v>0</v>
      </c>
      <c r="AB35" s="68">
        <f t="shared" si="10"/>
        <v>0</v>
      </c>
      <c r="AC35" s="72">
        <f t="shared" si="11"/>
        <v>0</v>
      </c>
      <c r="AD35" s="140">
        <f t="shared" si="12"/>
        <v>0</v>
      </c>
      <c r="AE35" s="140">
        <f t="shared" si="13"/>
        <v>0</v>
      </c>
      <c r="AF35" s="140">
        <f t="shared" si="14"/>
        <v>0</v>
      </c>
      <c r="AG35" s="140"/>
      <c r="AH35" s="141"/>
      <c r="AI35" s="141">
        <f t="shared" si="15"/>
        <v>0</v>
      </c>
      <c r="AJ35" s="146">
        <f t="shared" si="16"/>
        <v>0</v>
      </c>
      <c r="AK35" s="147">
        <v>28</v>
      </c>
      <c r="AL35" s="148"/>
    </row>
    <row r="36" spans="1:38" s="84" customFormat="1" x14ac:dyDescent="0.2">
      <c r="A36" s="83"/>
      <c r="K36" s="85"/>
      <c r="L36" s="86"/>
      <c r="M36" s="86"/>
      <c r="N36" s="68">
        <f>I36*(SUM(K36:M36))</f>
        <v>0</v>
      </c>
      <c r="O36" s="87"/>
      <c r="P36" s="88"/>
      <c r="Q36" s="88"/>
      <c r="R36" s="88"/>
      <c r="S36" s="89"/>
      <c r="T36" s="88">
        <f>SUM(T8:T35)</f>
        <v>0</v>
      </c>
      <c r="U36" s="89"/>
      <c r="V36" s="89"/>
      <c r="W36" s="89"/>
      <c r="X36" s="88">
        <f>SUM(X8:X35)</f>
        <v>0</v>
      </c>
      <c r="Y36" s="89"/>
      <c r="Z36" s="88">
        <f>SUM(Z8:Z35)</f>
        <v>0</v>
      </c>
      <c r="AA36" s="89"/>
      <c r="AB36" s="88">
        <f t="shared" ref="AB36:AJ36" si="17">SUM(AB8:AB35)</f>
        <v>0</v>
      </c>
      <c r="AC36" s="88">
        <f t="shared" si="17"/>
        <v>0</v>
      </c>
      <c r="AD36" s="88">
        <f t="shared" si="17"/>
        <v>0</v>
      </c>
      <c r="AE36" s="88">
        <f t="shared" si="17"/>
        <v>0</v>
      </c>
      <c r="AF36" s="88">
        <f t="shared" si="17"/>
        <v>0</v>
      </c>
      <c r="AG36" s="88">
        <f t="shared" si="17"/>
        <v>0</v>
      </c>
      <c r="AH36" s="88">
        <f t="shared" si="17"/>
        <v>0</v>
      </c>
      <c r="AI36" s="88">
        <f t="shared" si="17"/>
        <v>0</v>
      </c>
      <c r="AJ36" s="88">
        <f t="shared" si="17"/>
        <v>0</v>
      </c>
      <c r="AK36" s="88"/>
      <c r="AL36" s="88"/>
    </row>
    <row r="37" spans="1:38" x14ac:dyDescent="0.2">
      <c r="B37" s="7"/>
      <c r="C37" s="7"/>
      <c r="D37" s="7"/>
      <c r="E37" s="7"/>
      <c r="F37" s="7"/>
      <c r="G37" s="7"/>
      <c r="H37" s="7"/>
      <c r="I37" s="7"/>
      <c r="K37" s="15"/>
      <c r="L37" s="7"/>
      <c r="M37" s="7"/>
      <c r="N37" s="99"/>
      <c r="O37" s="100"/>
      <c r="P37" s="101"/>
      <c r="Q37" s="101"/>
      <c r="R37" s="101"/>
      <c r="S37" s="102"/>
      <c r="T37" s="101"/>
      <c r="U37" s="102"/>
      <c r="V37" s="102"/>
      <c r="W37" s="102"/>
      <c r="X37" s="101"/>
      <c r="Y37" s="102"/>
      <c r="Z37" s="101"/>
      <c r="AA37" s="102"/>
      <c r="AB37" s="101"/>
      <c r="AC37" s="101"/>
    </row>
    <row r="38" spans="1:38" x14ac:dyDescent="0.2">
      <c r="B38" s="7"/>
      <c r="C38" s="7"/>
      <c r="D38" s="7"/>
      <c r="E38" s="7"/>
      <c r="F38" s="7"/>
      <c r="G38" s="7"/>
      <c r="H38" s="7"/>
      <c r="I38" s="7"/>
      <c r="K38" s="15"/>
      <c r="L38" s="7"/>
      <c r="M38" s="7"/>
      <c r="N38" s="99"/>
      <c r="O38" s="100"/>
      <c r="P38" s="101"/>
      <c r="Q38" s="101"/>
      <c r="R38" s="101"/>
      <c r="S38" s="102"/>
      <c r="T38" s="101"/>
      <c r="U38" s="102"/>
      <c r="V38" s="102"/>
      <c r="W38" s="102"/>
      <c r="X38" s="101"/>
      <c r="Y38" s="102"/>
      <c r="Z38" s="101"/>
      <c r="AA38" s="102"/>
      <c r="AB38" s="101"/>
      <c r="AC38" s="101"/>
    </row>
    <row r="39" spans="1:38" x14ac:dyDescent="0.2">
      <c r="B39" s="7"/>
      <c r="C39" s="7"/>
      <c r="D39" s="7"/>
      <c r="E39" s="7"/>
      <c r="F39" s="7"/>
      <c r="G39" s="7"/>
      <c r="H39" s="7"/>
      <c r="I39" s="7"/>
      <c r="K39" s="15"/>
      <c r="L39" s="7"/>
      <c r="M39" s="7"/>
      <c r="N39" s="99"/>
      <c r="O39" s="100"/>
      <c r="P39" s="101"/>
      <c r="Q39" s="101"/>
      <c r="R39" s="101"/>
      <c r="S39" s="102"/>
      <c r="T39" s="101"/>
      <c r="U39" s="102"/>
      <c r="V39" s="102"/>
      <c r="W39" s="102"/>
      <c r="X39" s="101"/>
      <c r="Y39" s="102"/>
      <c r="Z39" s="101"/>
      <c r="AA39" s="102"/>
      <c r="AB39" s="101"/>
      <c r="AC39" s="101"/>
    </row>
    <row r="40" spans="1:38" x14ac:dyDescent="0.2">
      <c r="B40" s="7"/>
      <c r="C40" s="7"/>
      <c r="D40" s="7"/>
      <c r="E40" s="7"/>
      <c r="F40" s="7"/>
      <c r="G40" s="7"/>
      <c r="H40" s="7"/>
      <c r="I40" s="7"/>
      <c r="K40" s="15"/>
      <c r="L40" s="7"/>
      <c r="M40" s="7"/>
      <c r="N40" s="99"/>
      <c r="O40" s="100"/>
      <c r="P40" s="101"/>
      <c r="Q40" s="101"/>
      <c r="R40" s="101"/>
      <c r="S40" s="102"/>
      <c r="T40" s="101"/>
      <c r="U40" s="102"/>
      <c r="V40" s="102"/>
      <c r="W40" s="102"/>
      <c r="X40" s="101"/>
      <c r="Y40" s="102"/>
      <c r="Z40" s="101"/>
      <c r="AA40" s="102"/>
      <c r="AB40" s="101"/>
      <c r="AC40" s="101"/>
    </row>
    <row r="41" spans="1:38" x14ac:dyDescent="0.2">
      <c r="B41" s="7"/>
      <c r="C41" s="7"/>
      <c r="D41" s="7"/>
      <c r="E41" s="7"/>
      <c r="F41" s="7"/>
      <c r="G41" s="7"/>
      <c r="H41" s="7"/>
      <c r="I41" s="7"/>
      <c r="K41" s="15"/>
      <c r="L41" s="7"/>
      <c r="M41" s="7"/>
    </row>
    <row r="42" spans="1:38" ht="19" customHeight="1" x14ac:dyDescent="0.25">
      <c r="B42" s="174" t="s">
        <v>55</v>
      </c>
      <c r="C42" s="175"/>
      <c r="D42" s="175"/>
      <c r="E42" s="175"/>
      <c r="F42" s="175"/>
      <c r="G42" s="175"/>
      <c r="H42" s="175"/>
      <c r="I42" s="175"/>
      <c r="J42" s="175"/>
      <c r="K42" s="175"/>
      <c r="L42" s="175"/>
      <c r="M42" s="175"/>
      <c r="N42" s="175"/>
      <c r="O42" s="176"/>
      <c r="P42" s="175"/>
      <c r="Q42" s="175"/>
      <c r="R42" s="175"/>
      <c r="S42" s="50"/>
      <c r="T42" s="50"/>
      <c r="U42" s="50"/>
      <c r="V42" s="50"/>
      <c r="W42" s="50"/>
      <c r="X42" s="50"/>
      <c r="Y42" s="50"/>
      <c r="Z42" s="50"/>
      <c r="AA42" s="50"/>
      <c r="AB42" s="50"/>
      <c r="AC42" s="50"/>
    </row>
    <row r="43" spans="1:38" ht="14.5" customHeight="1" x14ac:dyDescent="0.25">
      <c r="B43" s="174" t="s">
        <v>56</v>
      </c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5"/>
      <c r="N43" s="175"/>
      <c r="O43" s="176"/>
      <c r="P43" s="175"/>
      <c r="Q43" s="175"/>
      <c r="R43" s="175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1"/>
    </row>
    <row r="44" spans="1:38" ht="19" customHeight="1" x14ac:dyDescent="0.25"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2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3"/>
    </row>
    <row r="45" spans="1:38" ht="19" customHeight="1" x14ac:dyDescent="0.25">
      <c r="B45" s="50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2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3"/>
    </row>
    <row r="46" spans="1:38" ht="19" customHeight="1" x14ac:dyDescent="0.25"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2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5"/>
    </row>
    <row r="47" spans="1:38" ht="19" customHeight="1" x14ac:dyDescent="0.25"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2"/>
      <c r="P47" s="50"/>
      <c r="Q47" s="50"/>
      <c r="R47" s="50"/>
      <c r="S47" s="50"/>
      <c r="T47" s="52"/>
      <c r="U47" s="52"/>
      <c r="V47" s="50"/>
      <c r="W47" s="50"/>
      <c r="X47" s="50"/>
      <c r="Y47" s="50"/>
      <c r="Z47" s="50"/>
      <c r="AA47" s="50"/>
      <c r="AB47" s="50"/>
      <c r="AC47" s="50"/>
    </row>
    <row r="48" spans="1:38" ht="19" customHeight="1" x14ac:dyDescent="0.25">
      <c r="B48" s="199" t="s">
        <v>58</v>
      </c>
      <c r="C48" s="175"/>
      <c r="D48" s="175"/>
      <c r="E48" s="175"/>
      <c r="F48" s="175"/>
      <c r="G48" s="175"/>
      <c r="H48" s="175"/>
      <c r="I48" s="175"/>
      <c r="J48" s="175"/>
      <c r="K48" s="175"/>
      <c r="L48" s="175"/>
      <c r="M48" s="175"/>
      <c r="N48" s="175"/>
      <c r="O48" s="176"/>
      <c r="P48" s="175"/>
      <c r="Q48" s="175"/>
      <c r="R48" s="175"/>
      <c r="S48" s="56"/>
      <c r="T48" s="56"/>
      <c r="U48" s="56"/>
      <c r="V48" s="56"/>
      <c r="W48" s="56"/>
      <c r="X48" s="50"/>
      <c r="Y48" s="50"/>
      <c r="Z48" s="50"/>
      <c r="AA48" s="50"/>
      <c r="AB48" s="50"/>
      <c r="AC48" s="50"/>
    </row>
    <row r="49" spans="2:29" ht="19" customHeight="1" x14ac:dyDescent="0.25">
      <c r="B49" s="174" t="s">
        <v>60</v>
      </c>
      <c r="C49" s="175"/>
      <c r="D49" s="175"/>
      <c r="E49" s="175"/>
      <c r="F49" s="175"/>
      <c r="G49" s="175"/>
      <c r="H49" s="175"/>
      <c r="I49" s="175"/>
      <c r="J49" s="175"/>
      <c r="K49" s="175"/>
      <c r="L49" s="175"/>
      <c r="M49" s="175"/>
      <c r="N49" s="175"/>
      <c r="O49" s="176"/>
      <c r="P49" s="175"/>
      <c r="Q49" s="175"/>
      <c r="R49" s="175"/>
      <c r="S49" s="56"/>
      <c r="T49" s="56"/>
      <c r="U49" s="56"/>
      <c r="V49" s="56"/>
      <c r="W49" s="56"/>
      <c r="X49" s="50"/>
      <c r="Y49" s="50"/>
      <c r="Z49" s="50"/>
      <c r="AA49" s="50"/>
      <c r="AB49" s="50"/>
      <c r="AC49" s="50"/>
    </row>
    <row r="50" spans="2:29" x14ac:dyDescent="0.2">
      <c r="X50" s="7"/>
      <c r="Y50" s="7"/>
      <c r="Z50" s="7"/>
      <c r="AA50" s="7"/>
      <c r="AB50" s="7"/>
      <c r="AC50" s="7"/>
    </row>
    <row r="51" spans="2:29" x14ac:dyDescent="0.2">
      <c r="V51" s="7"/>
      <c r="W51" s="7"/>
      <c r="X51" s="7"/>
      <c r="Y51" s="7"/>
      <c r="Z51" s="7"/>
      <c r="AA51" s="7"/>
      <c r="AB51" s="7"/>
      <c r="AC51" s="18" t="s">
        <v>62</v>
      </c>
    </row>
    <row r="52" spans="2:29" x14ac:dyDescent="0.2">
      <c r="V52" s="7"/>
      <c r="W52" s="7"/>
      <c r="X52" s="7"/>
      <c r="Y52" s="7"/>
      <c r="Z52" s="7"/>
      <c r="AA52" s="7"/>
      <c r="AB52" s="7"/>
      <c r="AC52" s="18"/>
    </row>
    <row r="53" spans="2:29" x14ac:dyDescent="0.2">
      <c r="V53" s="7"/>
      <c r="W53" s="7"/>
      <c r="X53" s="7"/>
      <c r="Y53" s="7"/>
      <c r="Z53" s="7"/>
      <c r="AA53" s="7"/>
      <c r="AB53" s="7"/>
      <c r="AC53" s="19"/>
    </row>
    <row r="54" spans="2:29" x14ac:dyDescent="0.2">
      <c r="V54" s="7"/>
      <c r="W54" s="7"/>
      <c r="X54" s="7"/>
      <c r="Y54" s="7"/>
      <c r="Z54" s="7"/>
      <c r="AA54" s="7"/>
      <c r="AB54" s="7"/>
      <c r="AC54" s="18"/>
    </row>
    <row r="55" spans="2:29" x14ac:dyDescent="0.2">
      <c r="V55" s="7"/>
      <c r="W55" s="7"/>
      <c r="X55" s="7"/>
      <c r="Y55" s="7"/>
      <c r="Z55" s="7"/>
      <c r="AA55" s="7"/>
      <c r="AB55" s="7"/>
      <c r="AC55" s="18"/>
    </row>
    <row r="56" spans="2:29" x14ac:dyDescent="0.2">
      <c r="V56" s="7"/>
      <c r="W56" s="7"/>
      <c r="X56" s="7"/>
      <c r="Y56" s="7"/>
      <c r="Z56" s="7"/>
      <c r="AA56" s="7"/>
      <c r="AB56" s="7"/>
      <c r="AC56" s="7"/>
    </row>
    <row r="57" spans="2:29" x14ac:dyDescent="0.2">
      <c r="T57" s="20"/>
      <c r="V57" s="7"/>
      <c r="W57" s="7"/>
      <c r="X57" s="20"/>
      <c r="Y57" s="7"/>
      <c r="Z57" s="20"/>
      <c r="AA57" s="7"/>
      <c r="AB57" s="20"/>
      <c r="AC57" s="20"/>
    </row>
    <row r="58" spans="2:29" x14ac:dyDescent="0.2">
      <c r="T58" s="21"/>
      <c r="U58" s="21"/>
      <c r="V58" s="18"/>
      <c r="W58" s="18"/>
      <c r="X58" s="18"/>
      <c r="Y58" s="18"/>
      <c r="Z58" s="18"/>
      <c r="AA58" s="18"/>
      <c r="AB58" s="18"/>
      <c r="AC58" s="18"/>
    </row>
    <row r="59" spans="2:29" x14ac:dyDescent="0.2">
      <c r="T59" s="21"/>
      <c r="U59" s="21"/>
      <c r="V59" s="18"/>
      <c r="W59" s="18"/>
      <c r="X59" s="21"/>
      <c r="Y59" s="18"/>
      <c r="Z59" s="21"/>
      <c r="AA59" s="18"/>
      <c r="AB59" s="21"/>
      <c r="AC59" s="21"/>
    </row>
    <row r="60" spans="2:29" x14ac:dyDescent="0.2">
      <c r="T60" s="21"/>
      <c r="U60" s="22"/>
      <c r="V60" s="23"/>
      <c r="W60" s="23"/>
      <c r="X60" s="21"/>
      <c r="Y60" s="23"/>
      <c r="Z60" s="21"/>
      <c r="AA60" s="23"/>
      <c r="AB60" s="21"/>
      <c r="AC60" s="21"/>
    </row>
    <row r="61" spans="2:29" x14ac:dyDescent="0.2">
      <c r="T61" s="22"/>
      <c r="U61" s="22"/>
      <c r="V61" s="23"/>
      <c r="W61" s="23"/>
      <c r="X61" s="23"/>
      <c r="Y61" s="23"/>
      <c r="Z61" s="23"/>
      <c r="AA61" s="23"/>
      <c r="AB61" s="23"/>
      <c r="AC61" s="23"/>
    </row>
    <row r="62" spans="2:29" x14ac:dyDescent="0.2">
      <c r="T62" s="22"/>
      <c r="U62" s="22"/>
      <c r="V62" s="23"/>
      <c r="W62" s="23"/>
      <c r="X62" s="23"/>
      <c r="Y62" s="23"/>
      <c r="Z62" s="23"/>
      <c r="AA62" s="23"/>
      <c r="AB62" s="23"/>
      <c r="AC62" s="23"/>
    </row>
    <row r="63" spans="2:29" x14ac:dyDescent="0.2">
      <c r="V63" s="7"/>
      <c r="W63" s="7"/>
      <c r="X63" s="7"/>
      <c r="Y63" s="7"/>
      <c r="Z63" s="7"/>
      <c r="AA63" s="7"/>
      <c r="AB63" s="7"/>
      <c r="AC63" s="7"/>
    </row>
    <row r="64" spans="2:29" x14ac:dyDescent="0.2">
      <c r="V64" s="7"/>
      <c r="W64" s="7"/>
      <c r="X64" s="7"/>
      <c r="Y64" s="7"/>
      <c r="Z64" s="7"/>
      <c r="AA64" s="7"/>
      <c r="AB64" s="7"/>
      <c r="AC64" s="7"/>
    </row>
    <row r="65" spans="22:29" x14ac:dyDescent="0.2">
      <c r="V65" s="7"/>
      <c r="W65" s="7"/>
      <c r="X65" s="7"/>
      <c r="Y65" s="7"/>
      <c r="Z65" s="7"/>
      <c r="AA65" s="7"/>
      <c r="AB65" s="7"/>
      <c r="AC65" s="7"/>
    </row>
    <row r="66" spans="22:29" x14ac:dyDescent="0.2">
      <c r="V66" s="7"/>
      <c r="W66" s="7"/>
      <c r="X66" s="7"/>
      <c r="Y66" s="7"/>
      <c r="Z66" s="7"/>
      <c r="AA66" s="7"/>
      <c r="AB66" s="7"/>
      <c r="AC66" s="7"/>
    </row>
    <row r="67" spans="22:29" x14ac:dyDescent="0.2">
      <c r="V67" s="7"/>
      <c r="W67" s="7"/>
      <c r="X67" s="7"/>
      <c r="Y67" s="7"/>
      <c r="Z67" s="7"/>
      <c r="AA67" s="7"/>
      <c r="AB67" s="7"/>
      <c r="AC67" s="7"/>
    </row>
    <row r="68" spans="22:29" x14ac:dyDescent="0.2">
      <c r="V68" s="7"/>
      <c r="W68" s="7"/>
      <c r="X68" s="7"/>
      <c r="Y68" s="7"/>
      <c r="Z68" s="7"/>
      <c r="AA68" s="7"/>
      <c r="AB68" s="7"/>
      <c r="AC68" s="7"/>
    </row>
    <row r="69" spans="22:29" x14ac:dyDescent="0.2">
      <c r="V69" s="7"/>
      <c r="W69" s="7"/>
      <c r="X69" s="7"/>
      <c r="Y69" s="7"/>
      <c r="Z69" s="7"/>
      <c r="AA69" s="7"/>
      <c r="AB69" s="7"/>
      <c r="AC69" s="7"/>
    </row>
    <row r="70" spans="22:29" x14ac:dyDescent="0.2">
      <c r="V70" s="7"/>
      <c r="W70" s="7"/>
      <c r="X70" s="7"/>
      <c r="Y70" s="7"/>
      <c r="Z70" s="7"/>
      <c r="AA70" s="7"/>
      <c r="AB70" s="7"/>
      <c r="AC70" s="7"/>
    </row>
    <row r="71" spans="22:29" x14ac:dyDescent="0.2">
      <c r="V71" s="7"/>
      <c r="W71" s="7"/>
      <c r="X71" s="7"/>
      <c r="Y71" s="7"/>
      <c r="Z71" s="7"/>
      <c r="AA71" s="7"/>
      <c r="AB71" s="7"/>
      <c r="AC71" s="7"/>
    </row>
    <row r="72" spans="22:29" x14ac:dyDescent="0.2">
      <c r="V72" s="7"/>
      <c r="W72" s="7"/>
      <c r="X72" s="7"/>
      <c r="Y72" s="7"/>
      <c r="Z72" s="7"/>
      <c r="AA72" s="7"/>
      <c r="AB72" s="7"/>
      <c r="AC72" s="7"/>
    </row>
    <row r="73" spans="22:29" x14ac:dyDescent="0.2">
      <c r="V73" s="7"/>
      <c r="W73" s="7"/>
      <c r="X73" s="7"/>
      <c r="Y73" s="7"/>
      <c r="Z73" s="7"/>
      <c r="AA73" s="7"/>
      <c r="AB73" s="7"/>
      <c r="AC73" s="7"/>
    </row>
    <row r="74" spans="22:29" x14ac:dyDescent="0.2">
      <c r="V74" s="7"/>
      <c r="W74" s="7"/>
      <c r="X74" s="7"/>
      <c r="Y74" s="7"/>
      <c r="Z74" s="7"/>
      <c r="AA74" s="7"/>
      <c r="AB74" s="7"/>
      <c r="AC74" s="7"/>
    </row>
    <row r="75" spans="22:29" x14ac:dyDescent="0.2">
      <c r="V75" s="7"/>
      <c r="W75" s="7"/>
      <c r="X75" s="7"/>
      <c r="Y75" s="7"/>
      <c r="Z75" s="7"/>
      <c r="AA75" s="7"/>
      <c r="AB75" s="7"/>
      <c r="AC75" s="7"/>
    </row>
    <row r="76" spans="22:29" x14ac:dyDescent="0.2">
      <c r="V76" s="7"/>
      <c r="W76" s="7"/>
      <c r="X76" s="7"/>
      <c r="Y76" s="7"/>
      <c r="Z76" s="7"/>
      <c r="AA76" s="7"/>
      <c r="AB76" s="7"/>
      <c r="AC76" s="7"/>
    </row>
  </sheetData>
  <mergeCells count="44">
    <mergeCell ref="B49:R49"/>
    <mergeCell ref="N5:N7"/>
    <mergeCell ref="S5:AC5"/>
    <mergeCell ref="K6:K7"/>
    <mergeCell ref="O6:O7"/>
    <mergeCell ref="AK5:AL7"/>
    <mergeCell ref="A3:AC3"/>
    <mergeCell ref="AC6:AC7"/>
    <mergeCell ref="L6:L7"/>
    <mergeCell ref="C5:C7"/>
    <mergeCell ref="T6:T7"/>
    <mergeCell ref="E5:E7"/>
    <mergeCell ref="AH5:AH7"/>
    <mergeCell ref="F5:F7"/>
    <mergeCell ref="Z6:Z7"/>
    <mergeCell ref="AB6:AB7"/>
    <mergeCell ref="U6:W6"/>
    <mergeCell ref="A1:AC1"/>
    <mergeCell ref="R5:R7"/>
    <mergeCell ref="B43:R43"/>
    <mergeCell ref="B48:R48"/>
    <mergeCell ref="M6:M7"/>
    <mergeCell ref="B42:R42"/>
    <mergeCell ref="Q6:Q7"/>
    <mergeCell ref="H5:H7"/>
    <mergeCell ref="J5:M5"/>
    <mergeCell ref="Y6:Y7"/>
    <mergeCell ref="A2:AC2"/>
    <mergeCell ref="A5:A7"/>
    <mergeCell ref="AJ5:AJ7"/>
    <mergeCell ref="G5:G7"/>
    <mergeCell ref="B5:B7"/>
    <mergeCell ref="X6:X7"/>
    <mergeCell ref="AE5:AE7"/>
    <mergeCell ref="AG5:AG7"/>
    <mergeCell ref="AI5:AI7"/>
    <mergeCell ref="AD5:AD7"/>
    <mergeCell ref="AF5:AF7"/>
    <mergeCell ref="I5:I7"/>
    <mergeCell ref="O5:Q5"/>
    <mergeCell ref="D5:D7"/>
    <mergeCell ref="J6:J7"/>
    <mergeCell ref="P6:P7"/>
    <mergeCell ref="AA6:AA7"/>
  </mergeCells>
  <pageMargins left="0.25" right="0.25" top="0.75" bottom="0.75" header="0.3" footer="0.3"/>
  <pageSetup paperSize="14" scale="49" orientation="landscape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L78"/>
  <sheetViews>
    <sheetView topLeftCell="E1" zoomScale="75" zoomScaleNormal="75" workbookViewId="0">
      <selection activeCell="R4" sqref="R1:R1048576"/>
    </sheetView>
  </sheetViews>
  <sheetFormatPr baseColWidth="10" defaultColWidth="8.83203125" defaultRowHeight="16" x14ac:dyDescent="0.2"/>
  <cols>
    <col min="1" max="1" width="4.5" style="3" customWidth="1"/>
    <col min="2" max="2" width="20.83203125" customWidth="1"/>
    <col min="3" max="3" width="20" customWidth="1"/>
    <col min="4" max="4" width="17" customWidth="1"/>
    <col min="5" max="5" width="20.83203125" customWidth="1"/>
    <col min="6" max="6" width="24.83203125" customWidth="1"/>
    <col min="7" max="7" width="7.16406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1" customWidth="1"/>
    <col min="20" max="20" width="11.5" customWidth="1"/>
    <col min="21" max="21" width="10.83203125" customWidth="1"/>
    <col min="22" max="23" width="11" customWidth="1"/>
    <col min="24" max="24" width="12.1640625" customWidth="1"/>
    <col min="25" max="25" width="11.6640625" customWidth="1"/>
    <col min="26" max="26" width="12" customWidth="1"/>
    <col min="27" max="28" width="10.1640625" customWidth="1"/>
    <col min="29" max="29" width="13" customWidth="1"/>
    <col min="30" max="31" width="14.33203125" customWidth="1"/>
    <col min="32" max="32" width="15.6640625" customWidth="1"/>
    <col min="33" max="33" width="15.33203125" customWidth="1"/>
    <col min="34" max="34" width="16.1640625" customWidth="1"/>
    <col min="35" max="35" width="18" customWidth="1"/>
    <col min="36" max="36" width="20" customWidth="1"/>
  </cols>
  <sheetData>
    <row r="1" spans="1:38" ht="28" customHeight="1" x14ac:dyDescent="0.2">
      <c r="A1" s="188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6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"/>
    </row>
    <row r="2" spans="1:38" ht="28" customHeight="1" x14ac:dyDescent="0.2">
      <c r="A2" s="188" t="s">
        <v>1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  <c r="L2" s="175"/>
      <c r="M2" s="175"/>
      <c r="N2" s="175"/>
      <c r="O2" s="176"/>
      <c r="P2" s="175"/>
      <c r="Q2" s="175"/>
      <c r="R2" s="175"/>
      <c r="S2" s="175"/>
      <c r="T2" s="175"/>
      <c r="U2" s="175"/>
      <c r="V2" s="175"/>
      <c r="W2" s="175"/>
      <c r="X2" s="175"/>
      <c r="Y2" s="175"/>
      <c r="Z2" s="175"/>
      <c r="AA2" s="175"/>
      <c r="AB2" s="175"/>
      <c r="AC2" s="175"/>
      <c r="AD2" s="2"/>
    </row>
    <row r="3" spans="1:38" ht="28" customHeight="1" x14ac:dyDescent="0.2">
      <c r="A3" s="188" t="s">
        <v>83</v>
      </c>
      <c r="B3" s="175"/>
      <c r="C3" s="175"/>
      <c r="D3" s="175"/>
      <c r="E3" s="175"/>
      <c r="F3" s="175"/>
      <c r="G3" s="175"/>
      <c r="H3" s="175"/>
      <c r="I3" s="175"/>
      <c r="J3" s="175"/>
      <c r="K3" s="175"/>
      <c r="L3" s="175"/>
      <c r="M3" s="175"/>
      <c r="N3" s="175"/>
      <c r="O3" s="176"/>
      <c r="P3" s="175"/>
      <c r="Q3" s="175"/>
      <c r="R3" s="175"/>
      <c r="S3" s="175"/>
      <c r="T3" s="175"/>
      <c r="U3" s="175"/>
      <c r="V3" s="175"/>
      <c r="W3" s="175"/>
      <c r="X3" s="175"/>
      <c r="Y3" s="175"/>
      <c r="Z3" s="175"/>
      <c r="AA3" s="175"/>
      <c r="AB3" s="175"/>
      <c r="AC3" s="175"/>
      <c r="AD3" s="2"/>
    </row>
    <row r="4" spans="1:38" x14ac:dyDescent="0.2">
      <c r="D4" t="s">
        <v>3</v>
      </c>
    </row>
    <row r="5" spans="1:38" x14ac:dyDescent="0.2">
      <c r="A5" s="211" t="s">
        <v>4</v>
      </c>
      <c r="B5" s="211" t="s">
        <v>5</v>
      </c>
      <c r="C5" s="216" t="s">
        <v>6</v>
      </c>
      <c r="D5" s="207" t="s">
        <v>7</v>
      </c>
      <c r="E5" s="211" t="s">
        <v>8</v>
      </c>
      <c r="F5" s="218" t="s">
        <v>9</v>
      </c>
      <c r="G5" s="211" t="s">
        <v>10</v>
      </c>
      <c r="H5" s="214" t="s">
        <v>11</v>
      </c>
      <c r="I5" s="205" t="s">
        <v>12</v>
      </c>
      <c r="J5" s="205" t="s">
        <v>13</v>
      </c>
      <c r="K5" s="172"/>
      <c r="L5" s="172"/>
      <c r="M5" s="173"/>
      <c r="N5" s="208" t="s">
        <v>14</v>
      </c>
      <c r="O5" s="206" t="s">
        <v>15</v>
      </c>
      <c r="P5" s="172"/>
      <c r="Q5" s="173"/>
      <c r="R5" s="213" t="s">
        <v>16</v>
      </c>
      <c r="S5" s="220"/>
      <c r="T5" s="172"/>
      <c r="U5" s="172"/>
      <c r="V5" s="172"/>
      <c r="W5" s="172"/>
      <c r="X5" s="172"/>
      <c r="Y5" s="172"/>
      <c r="Z5" s="172"/>
      <c r="AA5" s="172"/>
      <c r="AB5" s="172"/>
      <c r="AC5" s="173"/>
      <c r="AD5" s="186" t="s">
        <v>17</v>
      </c>
      <c r="AE5" s="186" t="s">
        <v>18</v>
      </c>
      <c r="AF5" s="165" t="s">
        <v>19</v>
      </c>
      <c r="AG5" s="190" t="s">
        <v>20</v>
      </c>
      <c r="AH5" s="190" t="s">
        <v>21</v>
      </c>
      <c r="AI5" s="190" t="s">
        <v>22</v>
      </c>
      <c r="AJ5" s="181" t="s">
        <v>23</v>
      </c>
      <c r="AK5" s="192" t="s">
        <v>24</v>
      </c>
      <c r="AL5" s="193"/>
    </row>
    <row r="6" spans="1:38" ht="14.5" customHeight="1" x14ac:dyDescent="0.2">
      <c r="A6" s="169"/>
      <c r="B6" s="169"/>
      <c r="C6" s="169"/>
      <c r="D6" s="169"/>
      <c r="E6" s="169"/>
      <c r="F6" s="169"/>
      <c r="G6" s="169"/>
      <c r="H6" s="169"/>
      <c r="I6" s="169"/>
      <c r="J6" s="208" t="s">
        <v>25</v>
      </c>
      <c r="K6" s="208" t="s">
        <v>26</v>
      </c>
      <c r="L6" s="208" t="s">
        <v>27</v>
      </c>
      <c r="M6" s="208" t="s">
        <v>28</v>
      </c>
      <c r="N6" s="169"/>
      <c r="O6" s="209" t="s">
        <v>29</v>
      </c>
      <c r="P6" s="209" t="s">
        <v>30</v>
      </c>
      <c r="Q6" s="209" t="s">
        <v>31</v>
      </c>
      <c r="R6" s="169"/>
      <c r="S6" s="139"/>
      <c r="T6" s="217" t="s">
        <v>32</v>
      </c>
      <c r="U6" s="219" t="s">
        <v>26</v>
      </c>
      <c r="V6" s="172"/>
      <c r="W6" s="173"/>
      <c r="X6" s="212" t="s">
        <v>33</v>
      </c>
      <c r="Y6" s="215" t="s">
        <v>27</v>
      </c>
      <c r="Z6" s="215" t="s">
        <v>34</v>
      </c>
      <c r="AA6" s="210" t="s">
        <v>28</v>
      </c>
      <c r="AB6" s="210" t="s">
        <v>35</v>
      </c>
      <c r="AC6" s="202" t="s">
        <v>36</v>
      </c>
      <c r="AD6" s="166"/>
      <c r="AE6" s="166"/>
      <c r="AF6" s="166"/>
      <c r="AG6" s="166"/>
      <c r="AH6" s="166"/>
      <c r="AI6" s="166"/>
      <c r="AJ6" s="182"/>
      <c r="AK6" s="194"/>
      <c r="AL6" s="195"/>
    </row>
    <row r="7" spans="1:38" ht="34" customHeight="1" x14ac:dyDescent="0.2">
      <c r="A7" s="170"/>
      <c r="B7" s="170"/>
      <c r="C7" s="169"/>
      <c r="D7" s="169"/>
      <c r="E7" s="170"/>
      <c r="F7" s="170"/>
      <c r="G7" s="170"/>
      <c r="H7" s="170"/>
      <c r="I7" s="170"/>
      <c r="J7" s="169"/>
      <c r="K7" s="169"/>
      <c r="L7" s="169"/>
      <c r="M7" s="169"/>
      <c r="N7" s="169"/>
      <c r="O7" s="169"/>
      <c r="P7" s="169"/>
      <c r="Q7" s="169"/>
      <c r="R7" s="170"/>
      <c r="S7" s="5" t="s">
        <v>37</v>
      </c>
      <c r="T7" s="170"/>
      <c r="U7" s="4" t="s">
        <v>38</v>
      </c>
      <c r="V7" s="4" t="s">
        <v>39</v>
      </c>
      <c r="W7" s="4" t="s">
        <v>40</v>
      </c>
      <c r="X7" s="170"/>
      <c r="Y7" s="170"/>
      <c r="Z7" s="170"/>
      <c r="AA7" s="170"/>
      <c r="AB7" s="170"/>
      <c r="AC7" s="170"/>
      <c r="AD7" s="167"/>
      <c r="AE7" s="167"/>
      <c r="AF7" s="167"/>
      <c r="AG7" s="167"/>
      <c r="AH7" s="167"/>
      <c r="AI7" s="167"/>
      <c r="AJ7" s="183"/>
      <c r="AK7" s="196"/>
      <c r="AL7" s="197"/>
    </row>
    <row r="8" spans="1:38" s="84" customFormat="1" ht="45" customHeight="1" x14ac:dyDescent="0.2">
      <c r="A8" s="59" t="s">
        <v>41</v>
      </c>
      <c r="B8" s="60"/>
      <c r="C8" s="76"/>
      <c r="D8" s="77"/>
      <c r="E8" s="77"/>
      <c r="F8" s="78"/>
      <c r="G8" s="125"/>
      <c r="H8" s="79"/>
      <c r="I8" s="64"/>
      <c r="J8" s="65"/>
      <c r="K8" s="66"/>
      <c r="L8" s="67"/>
      <c r="M8" s="67"/>
      <c r="N8" s="68">
        <f t="shared" ref="N8:N37" si="0">ROUND(I8*(SUM(J8:M8)),0)</f>
        <v>0</v>
      </c>
      <c r="O8" s="69"/>
      <c r="P8" s="70"/>
      <c r="Q8" s="70"/>
      <c r="R8" s="71"/>
      <c r="S8" s="68">
        <f t="shared" ref="S8:S37" si="1">I8*J8</f>
        <v>0</v>
      </c>
      <c r="T8" s="68">
        <f t="shared" ref="T8:T37" si="2">SUM(S8:S8)</f>
        <v>0</v>
      </c>
      <c r="U8" s="68">
        <f t="shared" ref="U8:U37" si="3">I8*K8*40%*O8</f>
        <v>0</v>
      </c>
      <c r="V8" s="68">
        <f t="shared" ref="V8:V37" si="4">IF(P8&gt;=6750,(I8*K8*40%),0)</f>
        <v>0</v>
      </c>
      <c r="W8" s="68">
        <f t="shared" ref="W8:W37" si="5">IF(P8&lt;6750,0,IF(Q8="",0,IF(OR(Q8="KURANG",Q8="SANGAT KURANG"),I8*K8*10%,I8*K8*20%)))</f>
        <v>0</v>
      </c>
      <c r="X8" s="68">
        <f t="shared" ref="X8:X37" si="6">SUM(U8:W8)</f>
        <v>0</v>
      </c>
      <c r="Y8" s="68">
        <f t="shared" ref="Y8:Y37" si="7">I8*L8</f>
        <v>0</v>
      </c>
      <c r="Z8" s="68">
        <f t="shared" ref="Z8:Z37" si="8">Y8</f>
        <v>0</v>
      </c>
      <c r="AA8" s="68">
        <f t="shared" ref="AA8:AA37" si="9">I8*M8</f>
        <v>0</v>
      </c>
      <c r="AB8" s="68">
        <f t="shared" ref="AB8:AB37" si="10">AA8</f>
        <v>0</v>
      </c>
      <c r="AC8" s="72">
        <f t="shared" ref="AC8:AC37" si="11">ROUND((T8+X8+Z8+AB8),0)</f>
        <v>0</v>
      </c>
      <c r="AD8" s="140">
        <f t="shared" ref="AD8:AD37" si="12">AG8</f>
        <v>0</v>
      </c>
      <c r="AE8" s="140">
        <f t="shared" ref="AE8:AE37" si="13">AI8</f>
        <v>0</v>
      </c>
      <c r="AF8" s="140">
        <f t="shared" ref="AF8:AF37" si="14">AC8+AD8+AE8</f>
        <v>0</v>
      </c>
      <c r="AG8" s="140"/>
      <c r="AH8" s="141"/>
      <c r="AI8" s="141">
        <f t="shared" ref="AI8:AI37" si="15">AH8*4</f>
        <v>0</v>
      </c>
      <c r="AJ8" s="146">
        <f t="shared" ref="AJ8:AJ37" si="16">AF8-AG8-AH8-AI8</f>
        <v>0</v>
      </c>
      <c r="AK8" s="147">
        <v>1</v>
      </c>
      <c r="AL8" s="148"/>
    </row>
    <row r="9" spans="1:38" s="84" customFormat="1" ht="45" customHeight="1" x14ac:dyDescent="0.2">
      <c r="A9" s="59" t="s">
        <v>42</v>
      </c>
      <c r="B9" s="60"/>
      <c r="C9" s="76"/>
      <c r="D9" s="77"/>
      <c r="E9" s="77"/>
      <c r="F9" s="78"/>
      <c r="G9" s="125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si="1"/>
        <v>0</v>
      </c>
      <c r="T9" s="68">
        <f t="shared" si="2"/>
        <v>0</v>
      </c>
      <c r="U9" s="68">
        <f t="shared" si="3"/>
        <v>0</v>
      </c>
      <c r="V9" s="68">
        <f t="shared" si="4"/>
        <v>0</v>
      </c>
      <c r="W9" s="68">
        <f t="shared" si="5"/>
        <v>0</v>
      </c>
      <c r="X9" s="68">
        <f t="shared" si="6"/>
        <v>0</v>
      </c>
      <c r="Y9" s="68">
        <f t="shared" si="7"/>
        <v>0</v>
      </c>
      <c r="Z9" s="68">
        <f t="shared" si="8"/>
        <v>0</v>
      </c>
      <c r="AA9" s="68">
        <f t="shared" si="9"/>
        <v>0</v>
      </c>
      <c r="AB9" s="68">
        <f t="shared" si="10"/>
        <v>0</v>
      </c>
      <c r="AC9" s="72">
        <f t="shared" si="11"/>
        <v>0</v>
      </c>
      <c r="AD9" s="140">
        <f t="shared" si="12"/>
        <v>0</v>
      </c>
      <c r="AE9" s="140">
        <f t="shared" si="13"/>
        <v>0</v>
      </c>
      <c r="AF9" s="140">
        <f t="shared" si="14"/>
        <v>0</v>
      </c>
      <c r="AG9" s="140"/>
      <c r="AH9" s="141"/>
      <c r="AI9" s="141">
        <f t="shared" si="15"/>
        <v>0</v>
      </c>
      <c r="AJ9" s="146">
        <f t="shared" si="16"/>
        <v>0</v>
      </c>
      <c r="AK9" s="147">
        <v>2</v>
      </c>
      <c r="AL9" s="148"/>
    </row>
    <row r="10" spans="1:38" s="84" customFormat="1" ht="45" customHeight="1" x14ac:dyDescent="0.2">
      <c r="A10" s="59" t="s">
        <v>43</v>
      </c>
      <c r="B10" s="60"/>
      <c r="C10" s="76"/>
      <c r="D10" s="77"/>
      <c r="E10" s="77"/>
      <c r="F10" s="78"/>
      <c r="G10" s="125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1"/>
        <v>0</v>
      </c>
      <c r="T10" s="68">
        <f t="shared" si="2"/>
        <v>0</v>
      </c>
      <c r="U10" s="68">
        <f t="shared" si="3"/>
        <v>0</v>
      </c>
      <c r="V10" s="68">
        <f t="shared" si="4"/>
        <v>0</v>
      </c>
      <c r="W10" s="68">
        <f t="shared" si="5"/>
        <v>0</v>
      </c>
      <c r="X10" s="68">
        <f t="shared" si="6"/>
        <v>0</v>
      </c>
      <c r="Y10" s="68">
        <f t="shared" si="7"/>
        <v>0</v>
      </c>
      <c r="Z10" s="68">
        <f t="shared" si="8"/>
        <v>0</v>
      </c>
      <c r="AA10" s="68">
        <f t="shared" si="9"/>
        <v>0</v>
      </c>
      <c r="AB10" s="68">
        <f t="shared" si="10"/>
        <v>0</v>
      </c>
      <c r="AC10" s="72">
        <f t="shared" si="11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s="84" customFormat="1" ht="45" customHeight="1" x14ac:dyDescent="0.2">
      <c r="A11" s="59" t="s">
        <v>44</v>
      </c>
      <c r="B11" s="60"/>
      <c r="C11" s="76"/>
      <c r="D11" s="77"/>
      <c r="E11" s="77"/>
      <c r="F11" s="78"/>
      <c r="G11" s="125"/>
      <c r="H11" s="79"/>
      <c r="I11" s="64"/>
      <c r="J11" s="65"/>
      <c r="K11" s="66"/>
      <c r="L11" s="67"/>
      <c r="M11" s="67"/>
      <c r="N11" s="68">
        <f t="shared" si="0"/>
        <v>0</v>
      </c>
      <c r="O11" s="69"/>
      <c r="P11" s="70"/>
      <c r="Q11" s="70"/>
      <c r="R11" s="71"/>
      <c r="S11" s="68">
        <f t="shared" si="1"/>
        <v>0</v>
      </c>
      <c r="T11" s="68">
        <f t="shared" si="2"/>
        <v>0</v>
      </c>
      <c r="U11" s="68">
        <f t="shared" si="3"/>
        <v>0</v>
      </c>
      <c r="V11" s="68">
        <f t="shared" si="4"/>
        <v>0</v>
      </c>
      <c r="W11" s="68">
        <f t="shared" si="5"/>
        <v>0</v>
      </c>
      <c r="X11" s="68">
        <f t="shared" si="6"/>
        <v>0</v>
      </c>
      <c r="Y11" s="68">
        <f t="shared" si="7"/>
        <v>0</v>
      </c>
      <c r="Z11" s="68">
        <f t="shared" si="8"/>
        <v>0</v>
      </c>
      <c r="AA11" s="68">
        <f t="shared" si="9"/>
        <v>0</v>
      </c>
      <c r="AB11" s="68">
        <f t="shared" si="10"/>
        <v>0</v>
      </c>
      <c r="AC11" s="72">
        <f t="shared" si="11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s="84" customFormat="1" ht="45" customHeight="1" x14ac:dyDescent="0.2">
      <c r="A12" s="59" t="s">
        <v>45</v>
      </c>
      <c r="B12" s="60"/>
      <c r="C12" s="76"/>
      <c r="D12" s="77"/>
      <c r="E12" s="77"/>
      <c r="F12" s="78"/>
      <c r="G12" s="125"/>
      <c r="H12" s="79"/>
      <c r="I12" s="64"/>
      <c r="J12" s="65"/>
      <c r="K12" s="66"/>
      <c r="L12" s="67"/>
      <c r="M12" s="67"/>
      <c r="N12" s="68">
        <f t="shared" si="0"/>
        <v>0</v>
      </c>
      <c r="O12" s="69"/>
      <c r="P12" s="70"/>
      <c r="Q12" s="70"/>
      <c r="R12" s="71"/>
      <c r="S12" s="68">
        <f t="shared" si="1"/>
        <v>0</v>
      </c>
      <c r="T12" s="68">
        <f t="shared" si="2"/>
        <v>0</v>
      </c>
      <c r="U12" s="68">
        <f t="shared" si="3"/>
        <v>0</v>
      </c>
      <c r="V12" s="68">
        <f t="shared" si="4"/>
        <v>0</v>
      </c>
      <c r="W12" s="68">
        <f t="shared" si="5"/>
        <v>0</v>
      </c>
      <c r="X12" s="68">
        <f t="shared" si="6"/>
        <v>0</v>
      </c>
      <c r="Y12" s="68">
        <f t="shared" si="7"/>
        <v>0</v>
      </c>
      <c r="Z12" s="68">
        <f t="shared" si="8"/>
        <v>0</v>
      </c>
      <c r="AA12" s="68">
        <f t="shared" si="9"/>
        <v>0</v>
      </c>
      <c r="AB12" s="68">
        <f t="shared" si="10"/>
        <v>0</v>
      </c>
      <c r="AC12" s="72">
        <f t="shared" si="11"/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s="84" customFormat="1" ht="45" customHeight="1" x14ac:dyDescent="0.2">
      <c r="A13" s="59" t="s">
        <v>46</v>
      </c>
      <c r="B13" s="60"/>
      <c r="C13" s="76"/>
      <c r="D13" s="77"/>
      <c r="E13" s="77"/>
      <c r="F13" s="78"/>
      <c r="G13" s="125"/>
      <c r="H13" s="79"/>
      <c r="I13" s="64"/>
      <c r="J13" s="65"/>
      <c r="K13" s="66"/>
      <c r="L13" s="67"/>
      <c r="M13" s="67"/>
      <c r="N13" s="68">
        <f t="shared" si="0"/>
        <v>0</v>
      </c>
      <c r="O13" s="69"/>
      <c r="P13" s="70"/>
      <c r="Q13" s="70"/>
      <c r="R13" s="71"/>
      <c r="S13" s="68">
        <f t="shared" si="1"/>
        <v>0</v>
      </c>
      <c r="T13" s="68">
        <f t="shared" si="2"/>
        <v>0</v>
      </c>
      <c r="U13" s="68">
        <f t="shared" si="3"/>
        <v>0</v>
      </c>
      <c r="V13" s="68">
        <f t="shared" si="4"/>
        <v>0</v>
      </c>
      <c r="W13" s="68">
        <f t="shared" si="5"/>
        <v>0</v>
      </c>
      <c r="X13" s="68">
        <f t="shared" si="6"/>
        <v>0</v>
      </c>
      <c r="Y13" s="68">
        <f t="shared" si="7"/>
        <v>0</v>
      </c>
      <c r="Z13" s="68">
        <f t="shared" si="8"/>
        <v>0</v>
      </c>
      <c r="AA13" s="68">
        <f t="shared" si="9"/>
        <v>0</v>
      </c>
      <c r="AB13" s="68">
        <f t="shared" si="10"/>
        <v>0</v>
      </c>
      <c r="AC13" s="72">
        <f t="shared" si="11"/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s="84" customFormat="1" ht="45" customHeight="1" x14ac:dyDescent="0.2">
      <c r="A14" s="59" t="s">
        <v>47</v>
      </c>
      <c r="B14" s="60"/>
      <c r="C14" s="76"/>
      <c r="D14" s="77"/>
      <c r="E14" s="77"/>
      <c r="F14" s="78"/>
      <c r="G14" s="125"/>
      <c r="H14" s="79"/>
      <c r="I14" s="64"/>
      <c r="J14" s="65"/>
      <c r="K14" s="66"/>
      <c r="L14" s="67"/>
      <c r="M14" s="67"/>
      <c r="N14" s="68">
        <f t="shared" si="0"/>
        <v>0</v>
      </c>
      <c r="O14" s="69"/>
      <c r="P14" s="70"/>
      <c r="Q14" s="70"/>
      <c r="R14" s="71"/>
      <c r="S14" s="68">
        <f t="shared" si="1"/>
        <v>0</v>
      </c>
      <c r="T14" s="68">
        <f t="shared" si="2"/>
        <v>0</v>
      </c>
      <c r="U14" s="68">
        <f t="shared" si="3"/>
        <v>0</v>
      </c>
      <c r="V14" s="68">
        <f t="shared" si="4"/>
        <v>0</v>
      </c>
      <c r="W14" s="68">
        <f t="shared" si="5"/>
        <v>0</v>
      </c>
      <c r="X14" s="68">
        <f t="shared" si="6"/>
        <v>0</v>
      </c>
      <c r="Y14" s="68">
        <f t="shared" si="7"/>
        <v>0</v>
      </c>
      <c r="Z14" s="68">
        <f t="shared" si="8"/>
        <v>0</v>
      </c>
      <c r="AA14" s="68">
        <f t="shared" si="9"/>
        <v>0</v>
      </c>
      <c r="AB14" s="68">
        <f t="shared" si="10"/>
        <v>0</v>
      </c>
      <c r="AC14" s="72">
        <f t="shared" si="11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s="84" customFormat="1" ht="45" customHeight="1" x14ac:dyDescent="0.2">
      <c r="A15" s="59" t="s">
        <v>48</v>
      </c>
      <c r="B15" s="60"/>
      <c r="C15" s="76"/>
      <c r="D15" s="77"/>
      <c r="E15" s="77"/>
      <c r="F15" s="78"/>
      <c r="G15" s="125"/>
      <c r="H15" s="79"/>
      <c r="I15" s="64"/>
      <c r="J15" s="65"/>
      <c r="K15" s="66"/>
      <c r="L15" s="67"/>
      <c r="M15" s="67"/>
      <c r="N15" s="68">
        <f t="shared" si="0"/>
        <v>0</v>
      </c>
      <c r="O15" s="69"/>
      <c r="P15" s="70"/>
      <c r="Q15" s="70"/>
      <c r="R15" s="71"/>
      <c r="S15" s="68">
        <f t="shared" si="1"/>
        <v>0</v>
      </c>
      <c r="T15" s="68">
        <f t="shared" si="2"/>
        <v>0</v>
      </c>
      <c r="U15" s="68">
        <f t="shared" si="3"/>
        <v>0</v>
      </c>
      <c r="V15" s="68">
        <f t="shared" si="4"/>
        <v>0</v>
      </c>
      <c r="W15" s="68">
        <f t="shared" si="5"/>
        <v>0</v>
      </c>
      <c r="X15" s="68">
        <f t="shared" si="6"/>
        <v>0</v>
      </c>
      <c r="Y15" s="68">
        <f t="shared" si="7"/>
        <v>0</v>
      </c>
      <c r="Z15" s="68">
        <f t="shared" si="8"/>
        <v>0</v>
      </c>
      <c r="AA15" s="68">
        <f t="shared" si="9"/>
        <v>0</v>
      </c>
      <c r="AB15" s="68">
        <f t="shared" si="10"/>
        <v>0</v>
      </c>
      <c r="AC15" s="72">
        <f t="shared" si="11"/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s="84" customFormat="1" ht="45" customHeight="1" x14ac:dyDescent="0.2">
      <c r="A16" s="59" t="s">
        <v>49</v>
      </c>
      <c r="B16" s="60"/>
      <c r="C16" s="76"/>
      <c r="D16" s="77"/>
      <c r="E16" s="77"/>
      <c r="F16" s="78"/>
      <c r="G16" s="125"/>
      <c r="H16" s="79"/>
      <c r="I16" s="64"/>
      <c r="J16" s="65"/>
      <c r="K16" s="66"/>
      <c r="L16" s="67"/>
      <c r="M16" s="67"/>
      <c r="N16" s="68">
        <f t="shared" si="0"/>
        <v>0</v>
      </c>
      <c r="O16" s="69"/>
      <c r="P16" s="70"/>
      <c r="Q16" s="70"/>
      <c r="R16" s="71"/>
      <c r="S16" s="68">
        <f t="shared" si="1"/>
        <v>0</v>
      </c>
      <c r="T16" s="68">
        <f t="shared" si="2"/>
        <v>0</v>
      </c>
      <c r="U16" s="68">
        <f t="shared" si="3"/>
        <v>0</v>
      </c>
      <c r="V16" s="68">
        <f t="shared" si="4"/>
        <v>0</v>
      </c>
      <c r="W16" s="68">
        <f t="shared" si="5"/>
        <v>0</v>
      </c>
      <c r="X16" s="68">
        <f t="shared" si="6"/>
        <v>0</v>
      </c>
      <c r="Y16" s="68">
        <f t="shared" si="7"/>
        <v>0</v>
      </c>
      <c r="Z16" s="68">
        <f t="shared" si="8"/>
        <v>0</v>
      </c>
      <c r="AA16" s="68">
        <f t="shared" si="9"/>
        <v>0</v>
      </c>
      <c r="AB16" s="68">
        <f t="shared" si="10"/>
        <v>0</v>
      </c>
      <c r="AC16" s="72">
        <f t="shared" si="11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s="84" customFormat="1" ht="45" customHeight="1" x14ac:dyDescent="0.2">
      <c r="A17" s="59" t="s">
        <v>50</v>
      </c>
      <c r="B17" s="60"/>
      <c r="C17" s="76"/>
      <c r="D17" s="77"/>
      <c r="E17" s="77"/>
      <c r="F17" s="78"/>
      <c r="G17" s="125"/>
      <c r="H17" s="79"/>
      <c r="I17" s="64"/>
      <c r="J17" s="65"/>
      <c r="K17" s="66"/>
      <c r="L17" s="67"/>
      <c r="M17" s="67"/>
      <c r="N17" s="68">
        <f t="shared" si="0"/>
        <v>0</v>
      </c>
      <c r="O17" s="69"/>
      <c r="P17" s="70"/>
      <c r="Q17" s="70"/>
      <c r="R17" s="71"/>
      <c r="S17" s="68">
        <f t="shared" si="1"/>
        <v>0</v>
      </c>
      <c r="T17" s="68">
        <f t="shared" si="2"/>
        <v>0</v>
      </c>
      <c r="U17" s="68">
        <f t="shared" si="3"/>
        <v>0</v>
      </c>
      <c r="V17" s="68">
        <f t="shared" si="4"/>
        <v>0</v>
      </c>
      <c r="W17" s="68">
        <f t="shared" si="5"/>
        <v>0</v>
      </c>
      <c r="X17" s="68">
        <f t="shared" si="6"/>
        <v>0</v>
      </c>
      <c r="Y17" s="68">
        <f t="shared" si="7"/>
        <v>0</v>
      </c>
      <c r="Z17" s="68">
        <f t="shared" si="8"/>
        <v>0</v>
      </c>
      <c r="AA17" s="68">
        <f t="shared" si="9"/>
        <v>0</v>
      </c>
      <c r="AB17" s="68">
        <f t="shared" si="10"/>
        <v>0</v>
      </c>
      <c r="AC17" s="72">
        <f t="shared" si="11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s="84" customFormat="1" ht="45" customHeight="1" x14ac:dyDescent="0.2">
      <c r="A18" s="59" t="s">
        <v>51</v>
      </c>
      <c r="B18" s="60"/>
      <c r="C18" s="76"/>
      <c r="D18" s="77"/>
      <c r="E18" s="77"/>
      <c r="F18" s="78"/>
      <c r="G18" s="125"/>
      <c r="H18" s="79"/>
      <c r="I18" s="64"/>
      <c r="J18" s="65"/>
      <c r="K18" s="66"/>
      <c r="L18" s="67"/>
      <c r="M18" s="67"/>
      <c r="N18" s="68">
        <f t="shared" si="0"/>
        <v>0</v>
      </c>
      <c r="O18" s="69"/>
      <c r="P18" s="70"/>
      <c r="Q18" s="70"/>
      <c r="R18" s="71"/>
      <c r="S18" s="68">
        <f t="shared" si="1"/>
        <v>0</v>
      </c>
      <c r="T18" s="68">
        <f t="shared" si="2"/>
        <v>0</v>
      </c>
      <c r="U18" s="68">
        <f t="shared" si="3"/>
        <v>0</v>
      </c>
      <c r="V18" s="68">
        <f t="shared" si="4"/>
        <v>0</v>
      </c>
      <c r="W18" s="68">
        <f t="shared" si="5"/>
        <v>0</v>
      </c>
      <c r="X18" s="68">
        <f t="shared" si="6"/>
        <v>0</v>
      </c>
      <c r="Y18" s="68">
        <f t="shared" si="7"/>
        <v>0</v>
      </c>
      <c r="Z18" s="68">
        <f t="shared" si="8"/>
        <v>0</v>
      </c>
      <c r="AA18" s="68">
        <f t="shared" si="9"/>
        <v>0</v>
      </c>
      <c r="AB18" s="68">
        <f t="shared" si="10"/>
        <v>0</v>
      </c>
      <c r="AC18" s="72">
        <f t="shared" si="11"/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s="84" customFormat="1" ht="45" customHeight="1" x14ac:dyDescent="0.2">
      <c r="A19" s="59" t="s">
        <v>52</v>
      </c>
      <c r="B19" s="60"/>
      <c r="C19" s="76"/>
      <c r="D19" s="77"/>
      <c r="E19" s="77"/>
      <c r="F19" s="78"/>
      <c r="G19" s="125"/>
      <c r="H19" s="79"/>
      <c r="I19" s="64"/>
      <c r="J19" s="65"/>
      <c r="K19" s="66"/>
      <c r="L19" s="67"/>
      <c r="M19" s="67"/>
      <c r="N19" s="68">
        <f t="shared" si="0"/>
        <v>0</v>
      </c>
      <c r="O19" s="69"/>
      <c r="P19" s="70"/>
      <c r="Q19" s="70"/>
      <c r="R19" s="71"/>
      <c r="S19" s="68">
        <f t="shared" si="1"/>
        <v>0</v>
      </c>
      <c r="T19" s="68">
        <f t="shared" si="2"/>
        <v>0</v>
      </c>
      <c r="U19" s="68">
        <f t="shared" si="3"/>
        <v>0</v>
      </c>
      <c r="V19" s="68">
        <f t="shared" si="4"/>
        <v>0</v>
      </c>
      <c r="W19" s="68">
        <f t="shared" si="5"/>
        <v>0</v>
      </c>
      <c r="X19" s="68">
        <f t="shared" si="6"/>
        <v>0</v>
      </c>
      <c r="Y19" s="68">
        <f t="shared" si="7"/>
        <v>0</v>
      </c>
      <c r="Z19" s="68">
        <f t="shared" si="8"/>
        <v>0</v>
      </c>
      <c r="AA19" s="68">
        <f t="shared" si="9"/>
        <v>0</v>
      </c>
      <c r="AB19" s="68">
        <f t="shared" si="10"/>
        <v>0</v>
      </c>
      <c r="AC19" s="72">
        <f t="shared" si="11"/>
        <v>0</v>
      </c>
      <c r="AD19" s="140">
        <f t="shared" si="12"/>
        <v>0</v>
      </c>
      <c r="AE19" s="140">
        <f t="shared" si="13"/>
        <v>0</v>
      </c>
      <c r="AF19" s="140">
        <f t="shared" si="14"/>
        <v>0</v>
      </c>
      <c r="AG19" s="140"/>
      <c r="AH19" s="141"/>
      <c r="AI19" s="141">
        <f t="shared" si="15"/>
        <v>0</v>
      </c>
      <c r="AJ19" s="146">
        <f t="shared" si="16"/>
        <v>0</v>
      </c>
      <c r="AK19" s="147">
        <v>12</v>
      </c>
      <c r="AL19" s="148"/>
    </row>
    <row r="20" spans="1:38" s="84" customFormat="1" ht="45" customHeight="1" x14ac:dyDescent="0.2">
      <c r="A20" s="59" t="s">
        <v>53</v>
      </c>
      <c r="B20" s="60"/>
      <c r="C20" s="76"/>
      <c r="D20" s="77"/>
      <c r="E20" s="77"/>
      <c r="F20" s="78"/>
      <c r="G20" s="125"/>
      <c r="H20" s="79"/>
      <c r="I20" s="64"/>
      <c r="J20" s="65"/>
      <c r="K20" s="66"/>
      <c r="L20" s="67"/>
      <c r="M20" s="67"/>
      <c r="N20" s="68">
        <f t="shared" si="0"/>
        <v>0</v>
      </c>
      <c r="O20" s="69"/>
      <c r="P20" s="70"/>
      <c r="Q20" s="70"/>
      <c r="R20" s="71"/>
      <c r="S20" s="68">
        <f t="shared" si="1"/>
        <v>0</v>
      </c>
      <c r="T20" s="68">
        <f t="shared" si="2"/>
        <v>0</v>
      </c>
      <c r="U20" s="68">
        <f t="shared" si="3"/>
        <v>0</v>
      </c>
      <c r="V20" s="68">
        <f t="shared" si="4"/>
        <v>0</v>
      </c>
      <c r="W20" s="68">
        <f t="shared" si="5"/>
        <v>0</v>
      </c>
      <c r="X20" s="68">
        <f t="shared" si="6"/>
        <v>0</v>
      </c>
      <c r="Y20" s="68">
        <f t="shared" si="7"/>
        <v>0</v>
      </c>
      <c r="Z20" s="68">
        <f t="shared" si="8"/>
        <v>0</v>
      </c>
      <c r="AA20" s="68">
        <f t="shared" si="9"/>
        <v>0</v>
      </c>
      <c r="AB20" s="68">
        <f t="shared" si="10"/>
        <v>0</v>
      </c>
      <c r="AC20" s="72">
        <f t="shared" si="11"/>
        <v>0</v>
      </c>
      <c r="AD20" s="140">
        <f t="shared" si="12"/>
        <v>0</v>
      </c>
      <c r="AE20" s="140">
        <f t="shared" si="13"/>
        <v>0</v>
      </c>
      <c r="AF20" s="140">
        <f t="shared" si="14"/>
        <v>0</v>
      </c>
      <c r="AG20" s="140"/>
      <c r="AH20" s="141"/>
      <c r="AI20" s="141">
        <f t="shared" si="15"/>
        <v>0</v>
      </c>
      <c r="AJ20" s="146">
        <f t="shared" si="16"/>
        <v>0</v>
      </c>
      <c r="AK20" s="147">
        <v>13</v>
      </c>
      <c r="AL20" s="148"/>
    </row>
    <row r="21" spans="1:38" s="84" customFormat="1" ht="45" customHeight="1" x14ac:dyDescent="0.2">
      <c r="A21" s="59" t="s">
        <v>54</v>
      </c>
      <c r="B21" s="60"/>
      <c r="C21" s="76"/>
      <c r="D21" s="77"/>
      <c r="E21" s="77"/>
      <c r="F21" s="78"/>
      <c r="G21" s="126"/>
      <c r="H21" s="63"/>
      <c r="I21" s="64"/>
      <c r="J21" s="65"/>
      <c r="K21" s="66"/>
      <c r="L21" s="104"/>
      <c r="M21" s="67"/>
      <c r="N21" s="68">
        <f t="shared" si="0"/>
        <v>0</v>
      </c>
      <c r="O21" s="69"/>
      <c r="P21" s="70"/>
      <c r="Q21" s="70"/>
      <c r="R21" s="71"/>
      <c r="S21" s="68">
        <f t="shared" si="1"/>
        <v>0</v>
      </c>
      <c r="T21" s="68">
        <f t="shared" si="2"/>
        <v>0</v>
      </c>
      <c r="U21" s="68">
        <f t="shared" si="3"/>
        <v>0</v>
      </c>
      <c r="V21" s="68">
        <f t="shared" si="4"/>
        <v>0</v>
      </c>
      <c r="W21" s="68">
        <f t="shared" si="5"/>
        <v>0</v>
      </c>
      <c r="X21" s="68">
        <f t="shared" si="6"/>
        <v>0</v>
      </c>
      <c r="Y21" s="68">
        <f t="shared" si="7"/>
        <v>0</v>
      </c>
      <c r="Z21" s="68">
        <f t="shared" si="8"/>
        <v>0</v>
      </c>
      <c r="AA21" s="68">
        <f t="shared" si="9"/>
        <v>0</v>
      </c>
      <c r="AB21" s="68">
        <f t="shared" si="10"/>
        <v>0</v>
      </c>
      <c r="AC21" s="72">
        <f t="shared" si="11"/>
        <v>0</v>
      </c>
      <c r="AD21" s="140">
        <f t="shared" si="12"/>
        <v>0</v>
      </c>
      <c r="AE21" s="140">
        <f t="shared" si="13"/>
        <v>0</v>
      </c>
      <c r="AF21" s="140">
        <f t="shared" si="14"/>
        <v>0</v>
      </c>
      <c r="AG21" s="140"/>
      <c r="AH21" s="141"/>
      <c r="AI21" s="141">
        <f t="shared" si="15"/>
        <v>0</v>
      </c>
      <c r="AJ21" s="146">
        <f t="shared" si="16"/>
        <v>0</v>
      </c>
      <c r="AK21" s="147">
        <v>14</v>
      </c>
      <c r="AL21" s="148"/>
    </row>
    <row r="22" spans="1:38" s="84" customFormat="1" ht="45" customHeight="1" x14ac:dyDescent="0.2">
      <c r="A22" s="59" t="s">
        <v>65</v>
      </c>
      <c r="B22" s="60"/>
      <c r="C22" s="76"/>
      <c r="D22" s="77"/>
      <c r="E22" s="77"/>
      <c r="F22" s="78"/>
      <c r="G22" s="126"/>
      <c r="H22" s="63"/>
      <c r="I22" s="64"/>
      <c r="J22" s="65"/>
      <c r="K22" s="66"/>
      <c r="L22" s="104"/>
      <c r="M22" s="67"/>
      <c r="N22" s="68">
        <f t="shared" si="0"/>
        <v>0</v>
      </c>
      <c r="O22" s="69"/>
      <c r="P22" s="70"/>
      <c r="Q22" s="70"/>
      <c r="R22" s="71"/>
      <c r="S22" s="68">
        <f t="shared" si="1"/>
        <v>0</v>
      </c>
      <c r="T22" s="68">
        <f t="shared" si="2"/>
        <v>0</v>
      </c>
      <c r="U22" s="68">
        <f t="shared" si="3"/>
        <v>0</v>
      </c>
      <c r="V22" s="68">
        <f t="shared" si="4"/>
        <v>0</v>
      </c>
      <c r="W22" s="68">
        <f t="shared" si="5"/>
        <v>0</v>
      </c>
      <c r="X22" s="68">
        <f t="shared" si="6"/>
        <v>0</v>
      </c>
      <c r="Y22" s="68">
        <f t="shared" si="7"/>
        <v>0</v>
      </c>
      <c r="Z22" s="68">
        <f t="shared" si="8"/>
        <v>0</v>
      </c>
      <c r="AA22" s="68">
        <f t="shared" si="9"/>
        <v>0</v>
      </c>
      <c r="AB22" s="68">
        <f t="shared" si="10"/>
        <v>0</v>
      </c>
      <c r="AC22" s="72">
        <f t="shared" si="11"/>
        <v>0</v>
      </c>
      <c r="AD22" s="140">
        <f t="shared" si="12"/>
        <v>0</v>
      </c>
      <c r="AE22" s="140">
        <f t="shared" si="13"/>
        <v>0</v>
      </c>
      <c r="AF22" s="140">
        <f t="shared" si="14"/>
        <v>0</v>
      </c>
      <c r="AG22" s="140"/>
      <c r="AH22" s="141"/>
      <c r="AI22" s="141">
        <f t="shared" si="15"/>
        <v>0</v>
      </c>
      <c r="AJ22" s="146">
        <f t="shared" si="16"/>
        <v>0</v>
      </c>
      <c r="AK22" s="147">
        <v>15</v>
      </c>
      <c r="AL22" s="148"/>
    </row>
    <row r="23" spans="1:38" s="84" customFormat="1" ht="45" customHeight="1" x14ac:dyDescent="0.2">
      <c r="A23" s="59" t="s">
        <v>66</v>
      </c>
      <c r="B23" s="60"/>
      <c r="C23" s="76"/>
      <c r="D23" s="77"/>
      <c r="E23" s="77"/>
      <c r="F23" s="78"/>
      <c r="G23" s="126"/>
      <c r="H23" s="63"/>
      <c r="I23" s="64"/>
      <c r="J23" s="65"/>
      <c r="K23" s="66"/>
      <c r="L23" s="104"/>
      <c r="M23" s="67"/>
      <c r="N23" s="68">
        <f t="shared" si="0"/>
        <v>0</v>
      </c>
      <c r="O23" s="69"/>
      <c r="P23" s="70"/>
      <c r="Q23" s="70"/>
      <c r="R23" s="71"/>
      <c r="S23" s="68">
        <f t="shared" si="1"/>
        <v>0</v>
      </c>
      <c r="T23" s="68">
        <f t="shared" si="2"/>
        <v>0</v>
      </c>
      <c r="U23" s="68">
        <f t="shared" si="3"/>
        <v>0</v>
      </c>
      <c r="V23" s="68">
        <f t="shared" si="4"/>
        <v>0</v>
      </c>
      <c r="W23" s="68">
        <f t="shared" si="5"/>
        <v>0</v>
      </c>
      <c r="X23" s="68">
        <f t="shared" si="6"/>
        <v>0</v>
      </c>
      <c r="Y23" s="68">
        <f t="shared" si="7"/>
        <v>0</v>
      </c>
      <c r="Z23" s="68">
        <f t="shared" si="8"/>
        <v>0</v>
      </c>
      <c r="AA23" s="68">
        <f t="shared" si="9"/>
        <v>0</v>
      </c>
      <c r="AB23" s="68">
        <f t="shared" si="10"/>
        <v>0</v>
      </c>
      <c r="AC23" s="72">
        <f t="shared" si="11"/>
        <v>0</v>
      </c>
      <c r="AD23" s="140">
        <f t="shared" si="12"/>
        <v>0</v>
      </c>
      <c r="AE23" s="140">
        <f t="shared" si="13"/>
        <v>0</v>
      </c>
      <c r="AF23" s="140">
        <f t="shared" si="14"/>
        <v>0</v>
      </c>
      <c r="AG23" s="140"/>
      <c r="AH23" s="141"/>
      <c r="AI23" s="141">
        <f t="shared" si="15"/>
        <v>0</v>
      </c>
      <c r="AJ23" s="146">
        <f t="shared" si="16"/>
        <v>0</v>
      </c>
      <c r="AK23" s="147">
        <v>16</v>
      </c>
      <c r="AL23" s="148"/>
    </row>
    <row r="24" spans="1:38" s="84" customFormat="1" ht="45" customHeight="1" x14ac:dyDescent="0.2">
      <c r="A24" s="59" t="s">
        <v>67</v>
      </c>
      <c r="B24" s="60"/>
      <c r="C24" s="76"/>
      <c r="D24" s="77"/>
      <c r="E24" s="77"/>
      <c r="F24" s="78"/>
      <c r="G24" s="126"/>
      <c r="H24" s="63"/>
      <c r="I24" s="64"/>
      <c r="J24" s="65"/>
      <c r="K24" s="66"/>
      <c r="L24" s="104"/>
      <c r="M24" s="67"/>
      <c r="N24" s="68">
        <f t="shared" si="0"/>
        <v>0</v>
      </c>
      <c r="O24" s="69"/>
      <c r="P24" s="70"/>
      <c r="Q24" s="70"/>
      <c r="R24" s="71"/>
      <c r="S24" s="68">
        <f t="shared" si="1"/>
        <v>0</v>
      </c>
      <c r="T24" s="68">
        <f t="shared" si="2"/>
        <v>0</v>
      </c>
      <c r="U24" s="68">
        <f t="shared" si="3"/>
        <v>0</v>
      </c>
      <c r="V24" s="68">
        <f t="shared" si="4"/>
        <v>0</v>
      </c>
      <c r="W24" s="68">
        <f t="shared" si="5"/>
        <v>0</v>
      </c>
      <c r="X24" s="68">
        <f t="shared" si="6"/>
        <v>0</v>
      </c>
      <c r="Y24" s="68">
        <f t="shared" si="7"/>
        <v>0</v>
      </c>
      <c r="Z24" s="68">
        <f t="shared" si="8"/>
        <v>0</v>
      </c>
      <c r="AA24" s="68">
        <f t="shared" si="9"/>
        <v>0</v>
      </c>
      <c r="AB24" s="68">
        <f t="shared" si="10"/>
        <v>0</v>
      </c>
      <c r="AC24" s="72">
        <f t="shared" si="11"/>
        <v>0</v>
      </c>
      <c r="AD24" s="140">
        <f t="shared" si="12"/>
        <v>0</v>
      </c>
      <c r="AE24" s="140">
        <f t="shared" si="13"/>
        <v>0</v>
      </c>
      <c r="AF24" s="140">
        <f t="shared" si="14"/>
        <v>0</v>
      </c>
      <c r="AG24" s="140"/>
      <c r="AH24" s="141"/>
      <c r="AI24" s="141">
        <f t="shared" si="15"/>
        <v>0</v>
      </c>
      <c r="AJ24" s="146">
        <f t="shared" si="16"/>
        <v>0</v>
      </c>
      <c r="AK24" s="147">
        <v>17</v>
      </c>
      <c r="AL24" s="148"/>
    </row>
    <row r="25" spans="1:38" s="84" customFormat="1" ht="45" customHeight="1" x14ac:dyDescent="0.2">
      <c r="A25" s="59" t="s">
        <v>68</v>
      </c>
      <c r="B25" s="60"/>
      <c r="C25" s="76"/>
      <c r="D25" s="77"/>
      <c r="E25" s="77"/>
      <c r="F25" s="78"/>
      <c r="G25" s="126"/>
      <c r="H25" s="63"/>
      <c r="I25" s="64"/>
      <c r="J25" s="65"/>
      <c r="K25" s="66"/>
      <c r="L25" s="67"/>
      <c r="M25" s="67"/>
      <c r="N25" s="68">
        <f t="shared" si="0"/>
        <v>0</v>
      </c>
      <c r="O25" s="69"/>
      <c r="P25" s="70"/>
      <c r="Q25" s="70"/>
      <c r="R25" s="71"/>
      <c r="S25" s="68">
        <f t="shared" si="1"/>
        <v>0</v>
      </c>
      <c r="T25" s="68">
        <f t="shared" si="2"/>
        <v>0</v>
      </c>
      <c r="U25" s="68">
        <f t="shared" si="3"/>
        <v>0</v>
      </c>
      <c r="V25" s="68">
        <f t="shared" si="4"/>
        <v>0</v>
      </c>
      <c r="W25" s="68">
        <f t="shared" si="5"/>
        <v>0</v>
      </c>
      <c r="X25" s="68">
        <f t="shared" si="6"/>
        <v>0</v>
      </c>
      <c r="Y25" s="68">
        <f t="shared" si="7"/>
        <v>0</v>
      </c>
      <c r="Z25" s="68">
        <f t="shared" si="8"/>
        <v>0</v>
      </c>
      <c r="AA25" s="68">
        <f t="shared" si="9"/>
        <v>0</v>
      </c>
      <c r="AB25" s="68">
        <f t="shared" si="10"/>
        <v>0</v>
      </c>
      <c r="AC25" s="72">
        <f t="shared" si="11"/>
        <v>0</v>
      </c>
      <c r="AD25" s="140">
        <f t="shared" si="12"/>
        <v>0</v>
      </c>
      <c r="AE25" s="140">
        <f t="shared" si="13"/>
        <v>0</v>
      </c>
      <c r="AF25" s="140">
        <f t="shared" si="14"/>
        <v>0</v>
      </c>
      <c r="AG25" s="140"/>
      <c r="AH25" s="141"/>
      <c r="AI25" s="141">
        <f t="shared" si="15"/>
        <v>0</v>
      </c>
      <c r="AJ25" s="146">
        <f t="shared" si="16"/>
        <v>0</v>
      </c>
      <c r="AK25" s="147">
        <v>18</v>
      </c>
      <c r="AL25" s="148"/>
    </row>
    <row r="26" spans="1:38" s="84" customFormat="1" ht="45" customHeight="1" x14ac:dyDescent="0.2">
      <c r="A26" s="59" t="s">
        <v>69</v>
      </c>
      <c r="B26" s="60"/>
      <c r="C26" s="76"/>
      <c r="D26" s="77"/>
      <c r="E26" s="77"/>
      <c r="F26" s="78"/>
      <c r="G26" s="125"/>
      <c r="H26" s="79"/>
      <c r="I26" s="64"/>
      <c r="J26" s="65"/>
      <c r="K26" s="66"/>
      <c r="L26" s="67"/>
      <c r="M26" s="67"/>
      <c r="N26" s="68">
        <f t="shared" si="0"/>
        <v>0</v>
      </c>
      <c r="O26" s="69"/>
      <c r="P26" s="70"/>
      <c r="Q26" s="70"/>
      <c r="R26" s="71"/>
      <c r="S26" s="68">
        <f t="shared" si="1"/>
        <v>0</v>
      </c>
      <c r="T26" s="68">
        <f t="shared" si="2"/>
        <v>0</v>
      </c>
      <c r="U26" s="68">
        <f t="shared" si="3"/>
        <v>0</v>
      </c>
      <c r="V26" s="68">
        <f t="shared" si="4"/>
        <v>0</v>
      </c>
      <c r="W26" s="68">
        <f t="shared" si="5"/>
        <v>0</v>
      </c>
      <c r="X26" s="68">
        <f t="shared" si="6"/>
        <v>0</v>
      </c>
      <c r="Y26" s="68">
        <f t="shared" si="7"/>
        <v>0</v>
      </c>
      <c r="Z26" s="68">
        <f t="shared" si="8"/>
        <v>0</v>
      </c>
      <c r="AA26" s="68">
        <f t="shared" si="9"/>
        <v>0</v>
      </c>
      <c r="AB26" s="68">
        <f t="shared" si="10"/>
        <v>0</v>
      </c>
      <c r="AC26" s="72">
        <f t="shared" si="11"/>
        <v>0</v>
      </c>
      <c r="AD26" s="140">
        <f t="shared" si="12"/>
        <v>0</v>
      </c>
      <c r="AE26" s="140">
        <f t="shared" si="13"/>
        <v>0</v>
      </c>
      <c r="AF26" s="140">
        <f t="shared" si="14"/>
        <v>0</v>
      </c>
      <c r="AG26" s="140"/>
      <c r="AH26" s="141"/>
      <c r="AI26" s="141">
        <f t="shared" si="15"/>
        <v>0</v>
      </c>
      <c r="AJ26" s="146">
        <f t="shared" si="16"/>
        <v>0</v>
      </c>
      <c r="AK26" s="147">
        <v>19</v>
      </c>
      <c r="AL26" s="148"/>
    </row>
    <row r="27" spans="1:38" s="84" customFormat="1" ht="45" customHeight="1" x14ac:dyDescent="0.2">
      <c r="A27" s="59" t="s">
        <v>70</v>
      </c>
      <c r="B27" s="60"/>
      <c r="C27" s="76"/>
      <c r="D27" s="77"/>
      <c r="E27" s="77"/>
      <c r="F27" s="78"/>
      <c r="G27" s="125"/>
      <c r="H27" s="79"/>
      <c r="I27" s="64"/>
      <c r="J27" s="65"/>
      <c r="K27" s="66"/>
      <c r="L27" s="67"/>
      <c r="M27" s="67"/>
      <c r="N27" s="68">
        <f t="shared" si="0"/>
        <v>0</v>
      </c>
      <c r="O27" s="69"/>
      <c r="P27" s="70"/>
      <c r="Q27" s="70"/>
      <c r="R27" s="71"/>
      <c r="S27" s="68">
        <f t="shared" si="1"/>
        <v>0</v>
      </c>
      <c r="T27" s="68">
        <f t="shared" si="2"/>
        <v>0</v>
      </c>
      <c r="U27" s="68">
        <f t="shared" si="3"/>
        <v>0</v>
      </c>
      <c r="V27" s="68">
        <f t="shared" si="4"/>
        <v>0</v>
      </c>
      <c r="W27" s="68">
        <f t="shared" si="5"/>
        <v>0</v>
      </c>
      <c r="X27" s="68">
        <f t="shared" si="6"/>
        <v>0</v>
      </c>
      <c r="Y27" s="68">
        <f t="shared" si="7"/>
        <v>0</v>
      </c>
      <c r="Z27" s="68">
        <f t="shared" si="8"/>
        <v>0</v>
      </c>
      <c r="AA27" s="68">
        <f t="shared" si="9"/>
        <v>0</v>
      </c>
      <c r="AB27" s="68">
        <f t="shared" si="10"/>
        <v>0</v>
      </c>
      <c r="AC27" s="72">
        <f t="shared" si="11"/>
        <v>0</v>
      </c>
      <c r="AD27" s="140">
        <f t="shared" si="12"/>
        <v>0</v>
      </c>
      <c r="AE27" s="140">
        <f t="shared" si="13"/>
        <v>0</v>
      </c>
      <c r="AF27" s="140">
        <f t="shared" si="14"/>
        <v>0</v>
      </c>
      <c r="AG27" s="140"/>
      <c r="AH27" s="141"/>
      <c r="AI27" s="141">
        <f t="shared" si="15"/>
        <v>0</v>
      </c>
      <c r="AJ27" s="146">
        <f t="shared" si="16"/>
        <v>0</v>
      </c>
      <c r="AK27" s="147">
        <v>20</v>
      </c>
      <c r="AL27" s="148"/>
    </row>
    <row r="28" spans="1:38" s="84" customFormat="1" ht="45" customHeight="1" x14ac:dyDescent="0.2">
      <c r="A28" s="59" t="s">
        <v>71</v>
      </c>
      <c r="B28" s="60"/>
      <c r="C28" s="76"/>
      <c r="D28" s="77"/>
      <c r="E28" s="77"/>
      <c r="F28" s="78"/>
      <c r="G28" s="125"/>
      <c r="H28" s="79"/>
      <c r="I28" s="64"/>
      <c r="J28" s="65"/>
      <c r="K28" s="66"/>
      <c r="L28" s="67"/>
      <c r="M28" s="67"/>
      <c r="N28" s="68">
        <f t="shared" si="0"/>
        <v>0</v>
      </c>
      <c r="O28" s="69"/>
      <c r="P28" s="70"/>
      <c r="Q28" s="70"/>
      <c r="R28" s="71"/>
      <c r="S28" s="68">
        <f t="shared" si="1"/>
        <v>0</v>
      </c>
      <c r="T28" s="68">
        <f t="shared" si="2"/>
        <v>0</v>
      </c>
      <c r="U28" s="68">
        <f t="shared" si="3"/>
        <v>0</v>
      </c>
      <c r="V28" s="68">
        <f t="shared" si="4"/>
        <v>0</v>
      </c>
      <c r="W28" s="68">
        <f t="shared" si="5"/>
        <v>0</v>
      </c>
      <c r="X28" s="68">
        <f t="shared" si="6"/>
        <v>0</v>
      </c>
      <c r="Y28" s="68">
        <f t="shared" si="7"/>
        <v>0</v>
      </c>
      <c r="Z28" s="68">
        <f t="shared" si="8"/>
        <v>0</v>
      </c>
      <c r="AA28" s="68">
        <f t="shared" si="9"/>
        <v>0</v>
      </c>
      <c r="AB28" s="68">
        <f t="shared" si="10"/>
        <v>0</v>
      </c>
      <c r="AC28" s="72">
        <f t="shared" si="11"/>
        <v>0</v>
      </c>
      <c r="AD28" s="140">
        <f t="shared" si="12"/>
        <v>0</v>
      </c>
      <c r="AE28" s="140">
        <f t="shared" si="13"/>
        <v>0</v>
      </c>
      <c r="AF28" s="140">
        <f t="shared" si="14"/>
        <v>0</v>
      </c>
      <c r="AG28" s="140"/>
      <c r="AH28" s="141"/>
      <c r="AI28" s="141">
        <f t="shared" si="15"/>
        <v>0</v>
      </c>
      <c r="AJ28" s="146">
        <f t="shared" si="16"/>
        <v>0</v>
      </c>
      <c r="AK28" s="147">
        <v>21</v>
      </c>
      <c r="AL28" s="148"/>
    </row>
    <row r="29" spans="1:38" s="84" customFormat="1" ht="45" customHeight="1" x14ac:dyDescent="0.2">
      <c r="A29" s="59" t="s">
        <v>72</v>
      </c>
      <c r="B29" s="60"/>
      <c r="C29" s="76"/>
      <c r="D29" s="77"/>
      <c r="E29" s="77"/>
      <c r="F29" s="78"/>
      <c r="G29" s="125"/>
      <c r="H29" s="79"/>
      <c r="I29" s="64"/>
      <c r="J29" s="65"/>
      <c r="K29" s="66"/>
      <c r="L29" s="67"/>
      <c r="M29" s="67"/>
      <c r="N29" s="68">
        <f t="shared" si="0"/>
        <v>0</v>
      </c>
      <c r="O29" s="69"/>
      <c r="P29" s="70"/>
      <c r="Q29" s="70"/>
      <c r="R29" s="71"/>
      <c r="S29" s="68">
        <f t="shared" si="1"/>
        <v>0</v>
      </c>
      <c r="T29" s="68">
        <f t="shared" si="2"/>
        <v>0</v>
      </c>
      <c r="U29" s="68">
        <f t="shared" si="3"/>
        <v>0</v>
      </c>
      <c r="V29" s="68">
        <f t="shared" si="4"/>
        <v>0</v>
      </c>
      <c r="W29" s="68">
        <f t="shared" si="5"/>
        <v>0</v>
      </c>
      <c r="X29" s="68">
        <f t="shared" si="6"/>
        <v>0</v>
      </c>
      <c r="Y29" s="68">
        <f t="shared" si="7"/>
        <v>0</v>
      </c>
      <c r="Z29" s="68">
        <f t="shared" si="8"/>
        <v>0</v>
      </c>
      <c r="AA29" s="68">
        <f t="shared" si="9"/>
        <v>0</v>
      </c>
      <c r="AB29" s="68">
        <f t="shared" si="10"/>
        <v>0</v>
      </c>
      <c r="AC29" s="72">
        <f t="shared" si="11"/>
        <v>0</v>
      </c>
      <c r="AD29" s="140">
        <f t="shared" si="12"/>
        <v>0</v>
      </c>
      <c r="AE29" s="140">
        <f t="shared" si="13"/>
        <v>0</v>
      </c>
      <c r="AF29" s="140">
        <f t="shared" si="14"/>
        <v>0</v>
      </c>
      <c r="AG29" s="140"/>
      <c r="AH29" s="141"/>
      <c r="AI29" s="141">
        <f t="shared" si="15"/>
        <v>0</v>
      </c>
      <c r="AJ29" s="146">
        <f t="shared" si="16"/>
        <v>0</v>
      </c>
      <c r="AK29" s="147">
        <v>22</v>
      </c>
      <c r="AL29" s="148"/>
    </row>
    <row r="30" spans="1:38" s="84" customFormat="1" ht="45" customHeight="1" x14ac:dyDescent="0.2">
      <c r="A30" s="59" t="s">
        <v>73</v>
      </c>
      <c r="B30" s="60"/>
      <c r="C30" s="76"/>
      <c r="D30" s="77"/>
      <c r="E30" s="77"/>
      <c r="F30" s="78"/>
      <c r="G30" s="125"/>
      <c r="H30" s="79"/>
      <c r="I30" s="64"/>
      <c r="J30" s="65"/>
      <c r="K30" s="66"/>
      <c r="L30" s="67"/>
      <c r="M30" s="67"/>
      <c r="N30" s="68">
        <f t="shared" si="0"/>
        <v>0</v>
      </c>
      <c r="O30" s="69"/>
      <c r="P30" s="70"/>
      <c r="Q30" s="70"/>
      <c r="R30" s="71"/>
      <c r="S30" s="68">
        <f t="shared" si="1"/>
        <v>0</v>
      </c>
      <c r="T30" s="68">
        <f t="shared" si="2"/>
        <v>0</v>
      </c>
      <c r="U30" s="68">
        <f t="shared" si="3"/>
        <v>0</v>
      </c>
      <c r="V30" s="68">
        <f t="shared" si="4"/>
        <v>0</v>
      </c>
      <c r="W30" s="68">
        <f t="shared" si="5"/>
        <v>0</v>
      </c>
      <c r="X30" s="68">
        <f t="shared" si="6"/>
        <v>0</v>
      </c>
      <c r="Y30" s="68">
        <f t="shared" si="7"/>
        <v>0</v>
      </c>
      <c r="Z30" s="68">
        <f t="shared" si="8"/>
        <v>0</v>
      </c>
      <c r="AA30" s="68">
        <f t="shared" si="9"/>
        <v>0</v>
      </c>
      <c r="AB30" s="68">
        <f t="shared" si="10"/>
        <v>0</v>
      </c>
      <c r="AC30" s="72">
        <f t="shared" si="11"/>
        <v>0</v>
      </c>
      <c r="AD30" s="140">
        <f t="shared" si="12"/>
        <v>0</v>
      </c>
      <c r="AE30" s="140">
        <f t="shared" si="13"/>
        <v>0</v>
      </c>
      <c r="AF30" s="140">
        <f t="shared" si="14"/>
        <v>0</v>
      </c>
      <c r="AG30" s="140"/>
      <c r="AH30" s="141"/>
      <c r="AI30" s="141">
        <f t="shared" si="15"/>
        <v>0</v>
      </c>
      <c r="AJ30" s="146">
        <f t="shared" si="16"/>
        <v>0</v>
      </c>
      <c r="AK30" s="147">
        <v>23</v>
      </c>
      <c r="AL30" s="148"/>
    </row>
    <row r="31" spans="1:38" s="84" customFormat="1" ht="45" customHeight="1" x14ac:dyDescent="0.2">
      <c r="A31" s="59" t="s">
        <v>74</v>
      </c>
      <c r="B31" s="60"/>
      <c r="C31" s="76"/>
      <c r="D31" s="77"/>
      <c r="E31" s="77"/>
      <c r="F31" s="78"/>
      <c r="G31" s="125"/>
      <c r="H31" s="79"/>
      <c r="I31" s="64"/>
      <c r="J31" s="65"/>
      <c r="K31" s="66"/>
      <c r="L31" s="67"/>
      <c r="M31" s="67"/>
      <c r="N31" s="68">
        <f t="shared" si="0"/>
        <v>0</v>
      </c>
      <c r="O31" s="69"/>
      <c r="P31" s="70"/>
      <c r="Q31" s="70"/>
      <c r="R31" s="71"/>
      <c r="S31" s="68">
        <f t="shared" si="1"/>
        <v>0</v>
      </c>
      <c r="T31" s="68">
        <f t="shared" si="2"/>
        <v>0</v>
      </c>
      <c r="U31" s="68">
        <f t="shared" si="3"/>
        <v>0</v>
      </c>
      <c r="V31" s="68">
        <f t="shared" si="4"/>
        <v>0</v>
      </c>
      <c r="W31" s="68">
        <f t="shared" si="5"/>
        <v>0</v>
      </c>
      <c r="X31" s="68">
        <f t="shared" si="6"/>
        <v>0</v>
      </c>
      <c r="Y31" s="68">
        <f t="shared" si="7"/>
        <v>0</v>
      </c>
      <c r="Z31" s="68">
        <f t="shared" si="8"/>
        <v>0</v>
      </c>
      <c r="AA31" s="68">
        <f t="shared" si="9"/>
        <v>0</v>
      </c>
      <c r="AB31" s="68">
        <f t="shared" si="10"/>
        <v>0</v>
      </c>
      <c r="AC31" s="72">
        <f t="shared" si="11"/>
        <v>0</v>
      </c>
      <c r="AD31" s="140">
        <f t="shared" si="12"/>
        <v>0</v>
      </c>
      <c r="AE31" s="140">
        <f t="shared" si="13"/>
        <v>0</v>
      </c>
      <c r="AF31" s="140">
        <f t="shared" si="14"/>
        <v>0</v>
      </c>
      <c r="AG31" s="140"/>
      <c r="AH31" s="141"/>
      <c r="AI31" s="141">
        <f t="shared" si="15"/>
        <v>0</v>
      </c>
      <c r="AJ31" s="146">
        <f t="shared" si="16"/>
        <v>0</v>
      </c>
      <c r="AK31" s="147">
        <v>24</v>
      </c>
      <c r="AL31" s="148"/>
    </row>
    <row r="32" spans="1:38" s="84" customFormat="1" ht="45" customHeight="1" x14ac:dyDescent="0.2">
      <c r="A32" s="59" t="s">
        <v>75</v>
      </c>
      <c r="B32" s="60"/>
      <c r="C32" s="76"/>
      <c r="D32" s="77"/>
      <c r="E32" s="77"/>
      <c r="F32" s="78"/>
      <c r="G32" s="126"/>
      <c r="H32" s="63"/>
      <c r="I32" s="64"/>
      <c r="J32" s="65"/>
      <c r="K32" s="66"/>
      <c r="L32" s="104"/>
      <c r="M32" s="67"/>
      <c r="N32" s="68">
        <f t="shared" si="0"/>
        <v>0</v>
      </c>
      <c r="O32" s="69"/>
      <c r="P32" s="70"/>
      <c r="Q32" s="70"/>
      <c r="R32" s="71"/>
      <c r="S32" s="68">
        <f t="shared" si="1"/>
        <v>0</v>
      </c>
      <c r="T32" s="68">
        <f t="shared" si="2"/>
        <v>0</v>
      </c>
      <c r="U32" s="68">
        <f t="shared" si="3"/>
        <v>0</v>
      </c>
      <c r="V32" s="68">
        <f t="shared" si="4"/>
        <v>0</v>
      </c>
      <c r="W32" s="68">
        <f t="shared" si="5"/>
        <v>0</v>
      </c>
      <c r="X32" s="68">
        <f t="shared" si="6"/>
        <v>0</v>
      </c>
      <c r="Y32" s="68">
        <f t="shared" si="7"/>
        <v>0</v>
      </c>
      <c r="Z32" s="68">
        <f t="shared" si="8"/>
        <v>0</v>
      </c>
      <c r="AA32" s="68">
        <f t="shared" si="9"/>
        <v>0</v>
      </c>
      <c r="AB32" s="68">
        <f t="shared" si="10"/>
        <v>0</v>
      </c>
      <c r="AC32" s="72">
        <f t="shared" si="11"/>
        <v>0</v>
      </c>
      <c r="AD32" s="140">
        <f t="shared" si="12"/>
        <v>0</v>
      </c>
      <c r="AE32" s="140">
        <f t="shared" si="13"/>
        <v>0</v>
      </c>
      <c r="AF32" s="140">
        <f t="shared" si="14"/>
        <v>0</v>
      </c>
      <c r="AG32" s="140"/>
      <c r="AH32" s="141"/>
      <c r="AI32" s="141">
        <f t="shared" si="15"/>
        <v>0</v>
      </c>
      <c r="AJ32" s="146">
        <f t="shared" si="16"/>
        <v>0</v>
      </c>
      <c r="AK32" s="147">
        <v>25</v>
      </c>
      <c r="AL32" s="148"/>
    </row>
    <row r="33" spans="1:38" s="84" customFormat="1" ht="45" customHeight="1" x14ac:dyDescent="0.2">
      <c r="A33" s="59" t="s">
        <v>76</v>
      </c>
      <c r="B33" s="60"/>
      <c r="C33" s="76"/>
      <c r="D33" s="77"/>
      <c r="E33" s="77"/>
      <c r="F33" s="78"/>
      <c r="G33" s="126"/>
      <c r="H33" s="63"/>
      <c r="I33" s="64"/>
      <c r="J33" s="65"/>
      <c r="K33" s="66"/>
      <c r="L33" s="104"/>
      <c r="M33" s="67"/>
      <c r="N33" s="68">
        <f t="shared" si="0"/>
        <v>0</v>
      </c>
      <c r="O33" s="69"/>
      <c r="P33" s="70"/>
      <c r="Q33" s="70"/>
      <c r="R33" s="71"/>
      <c r="S33" s="68">
        <f t="shared" si="1"/>
        <v>0</v>
      </c>
      <c r="T33" s="68">
        <f t="shared" si="2"/>
        <v>0</v>
      </c>
      <c r="U33" s="68">
        <f t="shared" si="3"/>
        <v>0</v>
      </c>
      <c r="V33" s="68">
        <f t="shared" si="4"/>
        <v>0</v>
      </c>
      <c r="W33" s="68">
        <f t="shared" si="5"/>
        <v>0</v>
      </c>
      <c r="X33" s="68">
        <f t="shared" si="6"/>
        <v>0</v>
      </c>
      <c r="Y33" s="68">
        <f t="shared" si="7"/>
        <v>0</v>
      </c>
      <c r="Z33" s="68">
        <f t="shared" si="8"/>
        <v>0</v>
      </c>
      <c r="AA33" s="68">
        <f t="shared" si="9"/>
        <v>0</v>
      </c>
      <c r="AB33" s="68">
        <f t="shared" si="10"/>
        <v>0</v>
      </c>
      <c r="AC33" s="72">
        <f t="shared" si="11"/>
        <v>0</v>
      </c>
      <c r="AD33" s="140">
        <f t="shared" si="12"/>
        <v>0</v>
      </c>
      <c r="AE33" s="140">
        <f t="shared" si="13"/>
        <v>0</v>
      </c>
      <c r="AF33" s="140">
        <f t="shared" si="14"/>
        <v>0</v>
      </c>
      <c r="AG33" s="140"/>
      <c r="AH33" s="141"/>
      <c r="AI33" s="141">
        <f t="shared" si="15"/>
        <v>0</v>
      </c>
      <c r="AJ33" s="146">
        <f t="shared" si="16"/>
        <v>0</v>
      </c>
      <c r="AK33" s="147">
        <v>26</v>
      </c>
      <c r="AL33" s="148"/>
    </row>
    <row r="34" spans="1:38" s="84" customFormat="1" ht="45" customHeight="1" x14ac:dyDescent="0.2">
      <c r="A34" s="59" t="s">
        <v>77</v>
      </c>
      <c r="B34" s="60"/>
      <c r="C34" s="76"/>
      <c r="D34" s="77"/>
      <c r="E34" s="77"/>
      <c r="F34" s="78"/>
      <c r="G34" s="126"/>
      <c r="H34" s="63"/>
      <c r="I34" s="64"/>
      <c r="J34" s="65"/>
      <c r="K34" s="66"/>
      <c r="L34" s="104"/>
      <c r="M34" s="67"/>
      <c r="N34" s="68">
        <f t="shared" si="0"/>
        <v>0</v>
      </c>
      <c r="O34" s="69"/>
      <c r="P34" s="70"/>
      <c r="Q34" s="70"/>
      <c r="R34" s="71"/>
      <c r="S34" s="68">
        <f t="shared" si="1"/>
        <v>0</v>
      </c>
      <c r="T34" s="68">
        <f t="shared" si="2"/>
        <v>0</v>
      </c>
      <c r="U34" s="68">
        <f t="shared" si="3"/>
        <v>0</v>
      </c>
      <c r="V34" s="68">
        <f t="shared" si="4"/>
        <v>0</v>
      </c>
      <c r="W34" s="68">
        <f t="shared" si="5"/>
        <v>0</v>
      </c>
      <c r="X34" s="68">
        <f t="shared" si="6"/>
        <v>0</v>
      </c>
      <c r="Y34" s="68">
        <f t="shared" si="7"/>
        <v>0</v>
      </c>
      <c r="Z34" s="68">
        <f t="shared" si="8"/>
        <v>0</v>
      </c>
      <c r="AA34" s="68">
        <f t="shared" si="9"/>
        <v>0</v>
      </c>
      <c r="AB34" s="68">
        <f t="shared" si="10"/>
        <v>0</v>
      </c>
      <c r="AC34" s="72">
        <f t="shared" si="11"/>
        <v>0</v>
      </c>
      <c r="AD34" s="140">
        <f t="shared" si="12"/>
        <v>0</v>
      </c>
      <c r="AE34" s="140">
        <f t="shared" si="13"/>
        <v>0</v>
      </c>
      <c r="AF34" s="140">
        <f t="shared" si="14"/>
        <v>0</v>
      </c>
      <c r="AG34" s="140"/>
      <c r="AH34" s="141"/>
      <c r="AI34" s="141">
        <f t="shared" si="15"/>
        <v>0</v>
      </c>
      <c r="AJ34" s="146">
        <f t="shared" si="16"/>
        <v>0</v>
      </c>
      <c r="AK34" s="147">
        <v>27</v>
      </c>
      <c r="AL34" s="148"/>
    </row>
    <row r="35" spans="1:38" s="84" customFormat="1" ht="45" customHeight="1" x14ac:dyDescent="0.2">
      <c r="A35" s="59" t="s">
        <v>78</v>
      </c>
      <c r="B35" s="60"/>
      <c r="C35" s="76"/>
      <c r="D35" s="77"/>
      <c r="E35" s="77"/>
      <c r="F35" s="78"/>
      <c r="G35" s="126"/>
      <c r="H35" s="63"/>
      <c r="I35" s="64"/>
      <c r="J35" s="65"/>
      <c r="K35" s="66"/>
      <c r="L35" s="104"/>
      <c r="M35" s="67"/>
      <c r="N35" s="68">
        <f t="shared" si="0"/>
        <v>0</v>
      </c>
      <c r="O35" s="69"/>
      <c r="P35" s="70"/>
      <c r="Q35" s="70"/>
      <c r="R35" s="71"/>
      <c r="S35" s="68">
        <f t="shared" si="1"/>
        <v>0</v>
      </c>
      <c r="T35" s="68">
        <f t="shared" si="2"/>
        <v>0</v>
      </c>
      <c r="U35" s="68">
        <f t="shared" si="3"/>
        <v>0</v>
      </c>
      <c r="V35" s="68">
        <f t="shared" si="4"/>
        <v>0</v>
      </c>
      <c r="W35" s="68">
        <f t="shared" si="5"/>
        <v>0</v>
      </c>
      <c r="X35" s="68">
        <f t="shared" si="6"/>
        <v>0</v>
      </c>
      <c r="Y35" s="68">
        <f t="shared" si="7"/>
        <v>0</v>
      </c>
      <c r="Z35" s="68">
        <f t="shared" si="8"/>
        <v>0</v>
      </c>
      <c r="AA35" s="68">
        <f t="shared" si="9"/>
        <v>0</v>
      </c>
      <c r="AB35" s="68">
        <f t="shared" si="10"/>
        <v>0</v>
      </c>
      <c r="AC35" s="72">
        <f t="shared" si="11"/>
        <v>0</v>
      </c>
      <c r="AD35" s="140">
        <f t="shared" si="12"/>
        <v>0</v>
      </c>
      <c r="AE35" s="140">
        <f t="shared" si="13"/>
        <v>0</v>
      </c>
      <c r="AF35" s="140">
        <f t="shared" si="14"/>
        <v>0</v>
      </c>
      <c r="AG35" s="140"/>
      <c r="AH35" s="141"/>
      <c r="AI35" s="141">
        <f t="shared" si="15"/>
        <v>0</v>
      </c>
      <c r="AJ35" s="146">
        <f t="shared" si="16"/>
        <v>0</v>
      </c>
      <c r="AK35" s="147">
        <v>28</v>
      </c>
      <c r="AL35" s="148"/>
    </row>
    <row r="36" spans="1:38" s="84" customFormat="1" ht="45" customHeight="1" x14ac:dyDescent="0.2">
      <c r="A36" s="59" t="s">
        <v>84</v>
      </c>
      <c r="B36" s="60"/>
      <c r="C36" s="76"/>
      <c r="D36" s="77"/>
      <c r="E36" s="77"/>
      <c r="F36" s="78"/>
      <c r="G36" s="126"/>
      <c r="H36" s="63"/>
      <c r="I36" s="64"/>
      <c r="J36" s="65"/>
      <c r="K36" s="66"/>
      <c r="L36" s="67"/>
      <c r="M36" s="67"/>
      <c r="N36" s="68">
        <f t="shared" si="0"/>
        <v>0</v>
      </c>
      <c r="O36" s="69"/>
      <c r="P36" s="70"/>
      <c r="Q36" s="70"/>
      <c r="R36" s="71"/>
      <c r="S36" s="68">
        <f t="shared" si="1"/>
        <v>0</v>
      </c>
      <c r="T36" s="68">
        <f t="shared" si="2"/>
        <v>0</v>
      </c>
      <c r="U36" s="68">
        <f t="shared" si="3"/>
        <v>0</v>
      </c>
      <c r="V36" s="68">
        <f t="shared" si="4"/>
        <v>0</v>
      </c>
      <c r="W36" s="68">
        <f t="shared" si="5"/>
        <v>0</v>
      </c>
      <c r="X36" s="68">
        <f t="shared" si="6"/>
        <v>0</v>
      </c>
      <c r="Y36" s="68">
        <f t="shared" si="7"/>
        <v>0</v>
      </c>
      <c r="Z36" s="68">
        <f t="shared" si="8"/>
        <v>0</v>
      </c>
      <c r="AA36" s="68">
        <f t="shared" si="9"/>
        <v>0</v>
      </c>
      <c r="AB36" s="68">
        <f t="shared" si="10"/>
        <v>0</v>
      </c>
      <c r="AC36" s="72">
        <f t="shared" si="11"/>
        <v>0</v>
      </c>
      <c r="AD36" s="140">
        <f t="shared" si="12"/>
        <v>0</v>
      </c>
      <c r="AE36" s="140">
        <f t="shared" si="13"/>
        <v>0</v>
      </c>
      <c r="AF36" s="140">
        <f t="shared" si="14"/>
        <v>0</v>
      </c>
      <c r="AG36" s="140"/>
      <c r="AH36" s="141"/>
      <c r="AI36" s="141">
        <f t="shared" si="15"/>
        <v>0</v>
      </c>
      <c r="AJ36" s="146">
        <f t="shared" si="16"/>
        <v>0</v>
      </c>
      <c r="AK36" s="147">
        <v>29</v>
      </c>
      <c r="AL36" s="148"/>
    </row>
    <row r="37" spans="1:38" s="84" customFormat="1" ht="45" customHeight="1" x14ac:dyDescent="0.2">
      <c r="A37" s="59" t="s">
        <v>85</v>
      </c>
      <c r="B37" s="60"/>
      <c r="C37" s="76"/>
      <c r="D37" s="77"/>
      <c r="E37" s="77"/>
      <c r="F37" s="78"/>
      <c r="G37" s="126"/>
      <c r="H37" s="63"/>
      <c r="I37" s="64"/>
      <c r="J37" s="65"/>
      <c r="K37" s="66"/>
      <c r="L37" s="104"/>
      <c r="M37" s="67"/>
      <c r="N37" s="68">
        <f t="shared" si="0"/>
        <v>0</v>
      </c>
      <c r="O37" s="69"/>
      <c r="P37" s="70"/>
      <c r="Q37" s="70"/>
      <c r="R37" s="71"/>
      <c r="S37" s="68">
        <f t="shared" si="1"/>
        <v>0</v>
      </c>
      <c r="T37" s="68">
        <f t="shared" si="2"/>
        <v>0</v>
      </c>
      <c r="U37" s="68">
        <f t="shared" si="3"/>
        <v>0</v>
      </c>
      <c r="V37" s="68">
        <f t="shared" si="4"/>
        <v>0</v>
      </c>
      <c r="W37" s="68">
        <f t="shared" si="5"/>
        <v>0</v>
      </c>
      <c r="X37" s="68">
        <f t="shared" si="6"/>
        <v>0</v>
      </c>
      <c r="Y37" s="68">
        <f t="shared" si="7"/>
        <v>0</v>
      </c>
      <c r="Z37" s="68">
        <f t="shared" si="8"/>
        <v>0</v>
      </c>
      <c r="AA37" s="68">
        <f t="shared" si="9"/>
        <v>0</v>
      </c>
      <c r="AB37" s="68">
        <f t="shared" si="10"/>
        <v>0</v>
      </c>
      <c r="AC37" s="72">
        <f t="shared" si="11"/>
        <v>0</v>
      </c>
      <c r="AD37" s="140">
        <f t="shared" si="12"/>
        <v>0</v>
      </c>
      <c r="AE37" s="140">
        <f t="shared" si="13"/>
        <v>0</v>
      </c>
      <c r="AF37" s="140">
        <f t="shared" si="14"/>
        <v>0</v>
      </c>
      <c r="AG37" s="140"/>
      <c r="AH37" s="141"/>
      <c r="AI37" s="141">
        <f t="shared" si="15"/>
        <v>0</v>
      </c>
      <c r="AJ37" s="146">
        <f t="shared" si="16"/>
        <v>0</v>
      </c>
      <c r="AK37" s="147">
        <v>30</v>
      </c>
      <c r="AL37" s="148"/>
    </row>
    <row r="38" spans="1:38" s="84" customFormat="1" x14ac:dyDescent="0.2">
      <c r="A38" s="83"/>
      <c r="K38" s="85"/>
      <c r="L38" s="86"/>
      <c r="M38" s="86"/>
      <c r="N38" s="68">
        <f>I38*(SUM(K38:M38))</f>
        <v>0</v>
      </c>
      <c r="O38" s="87"/>
      <c r="P38" s="88"/>
      <c r="Q38" s="88"/>
      <c r="R38" s="88"/>
      <c r="S38" s="89"/>
      <c r="T38" s="88">
        <f>SUM(T8:T37)</f>
        <v>0</v>
      </c>
      <c r="U38" s="89"/>
      <c r="V38" s="89"/>
      <c r="W38" s="89"/>
      <c r="X38" s="88">
        <f>SUM(X8:X37)</f>
        <v>0</v>
      </c>
      <c r="Y38" s="89"/>
      <c r="Z38" s="88">
        <f>SUM(Z8:Z37)</f>
        <v>0</v>
      </c>
      <c r="AA38" s="89"/>
      <c r="AB38" s="88">
        <f t="shared" ref="AB38:AJ38" si="17">SUM(AB8:AB37)</f>
        <v>0</v>
      </c>
      <c r="AC38" s="88">
        <f t="shared" si="17"/>
        <v>0</v>
      </c>
      <c r="AD38" s="88">
        <f t="shared" si="17"/>
        <v>0</v>
      </c>
      <c r="AE38" s="88">
        <f t="shared" si="17"/>
        <v>0</v>
      </c>
      <c r="AF38" s="88">
        <f t="shared" si="17"/>
        <v>0</v>
      </c>
      <c r="AG38" s="88">
        <f t="shared" si="17"/>
        <v>0</v>
      </c>
      <c r="AH38" s="88">
        <f t="shared" si="17"/>
        <v>0</v>
      </c>
      <c r="AI38" s="88">
        <f t="shared" si="17"/>
        <v>0</v>
      </c>
      <c r="AJ38" s="88">
        <f t="shared" si="17"/>
        <v>0</v>
      </c>
    </row>
    <row r="39" spans="1:38" x14ac:dyDescent="0.2">
      <c r="B39" s="7"/>
      <c r="C39" s="7"/>
      <c r="D39" s="7"/>
      <c r="E39" s="7"/>
      <c r="F39" s="7"/>
      <c r="G39" s="7"/>
      <c r="H39" s="7"/>
      <c r="I39" s="7"/>
      <c r="K39" s="15"/>
      <c r="L39" s="7"/>
      <c r="M39" s="7"/>
      <c r="N39" s="99"/>
      <c r="O39" s="100"/>
      <c r="P39" s="101"/>
      <c r="Q39" s="101"/>
      <c r="R39" s="101"/>
      <c r="S39" s="102"/>
      <c r="T39" s="101"/>
      <c r="U39" s="102"/>
      <c r="V39" s="102"/>
      <c r="W39" s="102"/>
      <c r="X39" s="101"/>
      <c r="Y39" s="102"/>
      <c r="Z39" s="101"/>
      <c r="AA39" s="102"/>
      <c r="AB39" s="101"/>
      <c r="AC39" s="101"/>
    </row>
    <row r="40" spans="1:38" x14ac:dyDescent="0.2">
      <c r="B40" s="7"/>
      <c r="C40" s="7"/>
      <c r="D40" s="7"/>
      <c r="E40" s="7"/>
      <c r="F40" s="7"/>
      <c r="G40" s="7"/>
      <c r="H40" s="7"/>
      <c r="I40" s="7"/>
      <c r="K40" s="15"/>
      <c r="L40" s="7"/>
      <c r="M40" s="7"/>
      <c r="N40" s="99"/>
      <c r="O40" s="100"/>
      <c r="P40" s="101"/>
      <c r="Q40" s="101"/>
      <c r="R40" s="101"/>
      <c r="S40" s="102"/>
      <c r="T40" s="101"/>
      <c r="U40" s="102"/>
      <c r="V40" s="102"/>
      <c r="W40" s="102"/>
      <c r="X40" s="101"/>
      <c r="Y40" s="102"/>
      <c r="Z40" s="101"/>
      <c r="AA40" s="102"/>
      <c r="AB40" s="101"/>
      <c r="AC40" s="101"/>
    </row>
    <row r="41" spans="1:38" x14ac:dyDescent="0.2">
      <c r="B41" s="7"/>
      <c r="C41" s="7"/>
      <c r="D41" s="7"/>
      <c r="E41" s="7"/>
      <c r="F41" s="7"/>
      <c r="G41" s="7"/>
      <c r="H41" s="7"/>
      <c r="I41" s="7"/>
      <c r="K41" s="15"/>
      <c r="L41" s="7"/>
      <c r="M41" s="7"/>
      <c r="N41" s="99"/>
      <c r="O41" s="100"/>
      <c r="P41" s="101"/>
      <c r="Q41" s="101"/>
      <c r="R41" s="101"/>
      <c r="S41" s="102"/>
      <c r="T41" s="101"/>
      <c r="U41" s="102"/>
      <c r="V41" s="102"/>
      <c r="W41" s="102"/>
      <c r="X41" s="101"/>
      <c r="Y41" s="102"/>
      <c r="Z41" s="101"/>
      <c r="AA41" s="102"/>
      <c r="AB41" s="101"/>
      <c r="AC41" s="101"/>
    </row>
    <row r="42" spans="1:38" x14ac:dyDescent="0.2">
      <c r="B42" s="7"/>
      <c r="C42" s="7"/>
      <c r="D42" s="7"/>
      <c r="E42" s="7"/>
      <c r="F42" s="7"/>
      <c r="G42" s="7"/>
      <c r="H42" s="7"/>
      <c r="I42" s="7"/>
      <c r="K42" s="15"/>
      <c r="L42" s="7"/>
      <c r="M42" s="7"/>
      <c r="N42" s="99"/>
      <c r="O42" s="100"/>
      <c r="P42" s="101"/>
      <c r="Q42" s="101"/>
      <c r="R42" s="101"/>
      <c r="S42" s="102"/>
      <c r="T42" s="101"/>
      <c r="U42" s="102"/>
      <c r="V42" s="102"/>
      <c r="W42" s="102"/>
      <c r="X42" s="101"/>
      <c r="Y42" s="102"/>
      <c r="Z42" s="101"/>
      <c r="AA42" s="102"/>
      <c r="AB42" s="101"/>
      <c r="AC42" s="101"/>
    </row>
    <row r="43" spans="1:38" x14ac:dyDescent="0.2">
      <c r="B43" s="7"/>
      <c r="C43" s="7"/>
      <c r="D43" s="7"/>
      <c r="E43" s="7"/>
      <c r="F43" s="7"/>
      <c r="G43" s="7"/>
      <c r="H43" s="7"/>
      <c r="I43" s="7"/>
      <c r="K43" s="15"/>
      <c r="L43" s="7"/>
      <c r="M43" s="7"/>
    </row>
    <row r="44" spans="1:38" ht="19" customHeight="1" x14ac:dyDescent="0.25">
      <c r="B44" s="174" t="s">
        <v>55</v>
      </c>
      <c r="C44" s="175"/>
      <c r="D44" s="175"/>
      <c r="E44" s="175"/>
      <c r="F44" s="175"/>
      <c r="G44" s="175"/>
      <c r="H44" s="175"/>
      <c r="I44" s="175"/>
      <c r="J44" s="175"/>
      <c r="K44" s="175"/>
      <c r="L44" s="175"/>
      <c r="M44" s="175"/>
      <c r="N44" s="175"/>
      <c r="O44" s="176"/>
      <c r="P44" s="175"/>
      <c r="Q44" s="175"/>
      <c r="R44" s="175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</row>
    <row r="45" spans="1:38" ht="14.5" customHeight="1" x14ac:dyDescent="0.25">
      <c r="B45" s="174" t="s">
        <v>56</v>
      </c>
      <c r="C45" s="175"/>
      <c r="D45" s="175"/>
      <c r="E45" s="175"/>
      <c r="F45" s="175"/>
      <c r="G45" s="175"/>
      <c r="H45" s="175"/>
      <c r="I45" s="175"/>
      <c r="J45" s="175"/>
      <c r="K45" s="175"/>
      <c r="L45" s="175"/>
      <c r="M45" s="175"/>
      <c r="N45" s="175"/>
      <c r="O45" s="176"/>
      <c r="P45" s="175"/>
      <c r="Q45" s="175"/>
      <c r="R45" s="175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1"/>
    </row>
    <row r="46" spans="1:38" ht="19" customHeight="1" x14ac:dyDescent="0.25"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2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3"/>
    </row>
    <row r="47" spans="1:38" ht="19" customHeight="1" x14ac:dyDescent="0.25"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2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3"/>
    </row>
    <row r="48" spans="1:38" ht="19" customHeight="1" x14ac:dyDescent="0.25">
      <c r="B48" s="50"/>
      <c r="C48" s="50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2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0"/>
      <c r="AC48" s="55"/>
    </row>
    <row r="49" spans="2:29" ht="19" customHeight="1" x14ac:dyDescent="0.25">
      <c r="B49" s="50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2"/>
      <c r="P49" s="50"/>
      <c r="Q49" s="50"/>
      <c r="R49" s="50"/>
      <c r="S49" s="50"/>
      <c r="T49" s="52"/>
      <c r="U49" s="52"/>
      <c r="V49" s="50"/>
      <c r="W49" s="50"/>
      <c r="X49" s="50"/>
      <c r="Y49" s="50"/>
      <c r="Z49" s="50"/>
      <c r="AA49" s="50"/>
      <c r="AB49" s="50"/>
      <c r="AC49" s="50"/>
    </row>
    <row r="50" spans="2:29" ht="19" customHeight="1" x14ac:dyDescent="0.25">
      <c r="B50" s="199" t="s">
        <v>58</v>
      </c>
      <c r="C50" s="175"/>
      <c r="D50" s="175"/>
      <c r="E50" s="175"/>
      <c r="F50" s="175"/>
      <c r="G50" s="175"/>
      <c r="H50" s="175"/>
      <c r="I50" s="175"/>
      <c r="J50" s="175"/>
      <c r="K50" s="175"/>
      <c r="L50" s="175"/>
      <c r="M50" s="175"/>
      <c r="N50" s="175"/>
      <c r="O50" s="176"/>
      <c r="P50" s="175"/>
      <c r="Q50" s="175"/>
      <c r="R50" s="175"/>
      <c r="S50" s="56"/>
      <c r="T50" s="56"/>
      <c r="U50" s="56"/>
      <c r="V50" s="56"/>
      <c r="W50" s="56"/>
      <c r="X50" s="50"/>
      <c r="Y50" s="50"/>
      <c r="Z50" s="50"/>
      <c r="AA50" s="50"/>
      <c r="AB50" s="50"/>
      <c r="AC50" s="50"/>
    </row>
    <row r="51" spans="2:29" ht="19" customHeight="1" x14ac:dyDescent="0.25">
      <c r="B51" s="174" t="s">
        <v>60</v>
      </c>
      <c r="C51" s="175"/>
      <c r="D51" s="175"/>
      <c r="E51" s="175"/>
      <c r="F51" s="175"/>
      <c r="G51" s="175"/>
      <c r="H51" s="175"/>
      <c r="I51" s="175"/>
      <c r="J51" s="175"/>
      <c r="K51" s="175"/>
      <c r="L51" s="175"/>
      <c r="M51" s="175"/>
      <c r="N51" s="175"/>
      <c r="O51" s="176"/>
      <c r="P51" s="175"/>
      <c r="Q51" s="175"/>
      <c r="R51" s="175"/>
      <c r="S51" s="56"/>
      <c r="T51" s="56"/>
      <c r="U51" s="56"/>
      <c r="V51" s="56"/>
      <c r="W51" s="56"/>
      <c r="X51" s="50"/>
      <c r="Y51" s="50"/>
      <c r="Z51" s="50"/>
      <c r="AA51" s="50"/>
      <c r="AB51" s="50"/>
      <c r="AC51" s="50"/>
    </row>
    <row r="52" spans="2:29" x14ac:dyDescent="0.2">
      <c r="X52" s="7"/>
      <c r="Y52" s="7"/>
      <c r="Z52" s="7"/>
      <c r="AA52" s="7"/>
      <c r="AB52" s="7"/>
      <c r="AC52" s="7"/>
    </row>
    <row r="53" spans="2:29" x14ac:dyDescent="0.2">
      <c r="V53" s="7"/>
      <c r="W53" s="7"/>
      <c r="X53" s="7"/>
      <c r="Y53" s="7"/>
      <c r="Z53" s="7"/>
      <c r="AA53" s="7"/>
      <c r="AB53" s="7"/>
      <c r="AC53" s="18" t="s">
        <v>62</v>
      </c>
    </row>
    <row r="54" spans="2:29" x14ac:dyDescent="0.2">
      <c r="V54" s="7"/>
      <c r="W54" s="7"/>
      <c r="X54" s="7"/>
      <c r="Y54" s="7"/>
      <c r="Z54" s="7"/>
      <c r="AA54" s="7"/>
      <c r="AB54" s="7"/>
      <c r="AC54" s="18"/>
    </row>
    <row r="55" spans="2:29" x14ac:dyDescent="0.2">
      <c r="V55" s="7"/>
      <c r="W55" s="7"/>
      <c r="X55" s="7"/>
      <c r="Y55" s="7"/>
      <c r="Z55" s="7"/>
      <c r="AA55" s="7"/>
      <c r="AB55" s="7"/>
      <c r="AC55" s="19"/>
    </row>
    <row r="56" spans="2:29" x14ac:dyDescent="0.2">
      <c r="V56" s="7"/>
      <c r="W56" s="7"/>
      <c r="X56" s="7"/>
      <c r="Y56" s="7"/>
      <c r="Z56" s="7"/>
      <c r="AA56" s="7"/>
      <c r="AB56" s="7"/>
      <c r="AC56" s="18"/>
    </row>
    <row r="57" spans="2:29" x14ac:dyDescent="0.2">
      <c r="V57" s="7"/>
      <c r="W57" s="7"/>
      <c r="X57" s="7"/>
      <c r="Y57" s="7"/>
      <c r="Z57" s="7"/>
      <c r="AA57" s="7"/>
      <c r="AB57" s="7"/>
      <c r="AC57" s="18"/>
    </row>
    <row r="58" spans="2:29" x14ac:dyDescent="0.2">
      <c r="V58" s="7"/>
      <c r="W58" s="7"/>
      <c r="X58" s="7"/>
      <c r="Y58" s="7"/>
      <c r="Z58" s="7"/>
      <c r="AA58" s="7"/>
      <c r="AB58" s="7"/>
      <c r="AC58" s="7"/>
    </row>
    <row r="59" spans="2:29" x14ac:dyDescent="0.2">
      <c r="T59" s="20"/>
      <c r="V59" s="7"/>
      <c r="W59" s="7"/>
      <c r="X59" s="20"/>
      <c r="Y59" s="7"/>
      <c r="Z59" s="20"/>
      <c r="AA59" s="7"/>
      <c r="AB59" s="20"/>
      <c r="AC59" s="20"/>
    </row>
    <row r="60" spans="2:29" x14ac:dyDescent="0.2">
      <c r="T60" s="21"/>
      <c r="U60" s="21"/>
      <c r="V60" s="18"/>
      <c r="W60" s="18"/>
      <c r="X60" s="18"/>
      <c r="Y60" s="18"/>
      <c r="Z60" s="18"/>
      <c r="AA60" s="18"/>
      <c r="AB60" s="18"/>
      <c r="AC60" s="18"/>
    </row>
    <row r="61" spans="2:29" x14ac:dyDescent="0.2">
      <c r="T61" s="21"/>
      <c r="U61" s="21"/>
      <c r="V61" s="18"/>
      <c r="W61" s="18"/>
      <c r="X61" s="21"/>
      <c r="Y61" s="18"/>
      <c r="Z61" s="21"/>
      <c r="AA61" s="18"/>
      <c r="AB61" s="21"/>
      <c r="AC61" s="21"/>
    </row>
    <row r="62" spans="2:29" x14ac:dyDescent="0.2">
      <c r="T62" s="21"/>
      <c r="U62" s="22"/>
      <c r="V62" s="23"/>
      <c r="W62" s="23"/>
      <c r="X62" s="21"/>
      <c r="Y62" s="23"/>
      <c r="Z62" s="21"/>
      <c r="AA62" s="23"/>
      <c r="AB62" s="21"/>
      <c r="AC62" s="21"/>
    </row>
    <row r="63" spans="2:29" x14ac:dyDescent="0.2">
      <c r="T63" s="22"/>
      <c r="U63" s="22"/>
      <c r="V63" s="23"/>
      <c r="W63" s="23"/>
      <c r="X63" s="23"/>
      <c r="Y63" s="23"/>
      <c r="Z63" s="23"/>
      <c r="AA63" s="23"/>
      <c r="AB63" s="23"/>
      <c r="AC63" s="23"/>
    </row>
    <row r="64" spans="2:29" x14ac:dyDescent="0.2">
      <c r="T64" s="22"/>
      <c r="U64" s="22"/>
      <c r="V64" s="23"/>
      <c r="W64" s="23"/>
      <c r="X64" s="23"/>
      <c r="Y64" s="23"/>
      <c r="Z64" s="23"/>
      <c r="AA64" s="23"/>
      <c r="AB64" s="23"/>
      <c r="AC64" s="23"/>
    </row>
    <row r="65" spans="22:29" x14ac:dyDescent="0.2">
      <c r="V65" s="7"/>
      <c r="W65" s="7"/>
      <c r="X65" s="7"/>
      <c r="Y65" s="7"/>
      <c r="Z65" s="7"/>
      <c r="AA65" s="7"/>
      <c r="AB65" s="7"/>
      <c r="AC65" s="7"/>
    </row>
    <row r="66" spans="22:29" x14ac:dyDescent="0.2">
      <c r="V66" s="7"/>
      <c r="W66" s="7"/>
      <c r="X66" s="7"/>
      <c r="Y66" s="7"/>
      <c r="Z66" s="7"/>
      <c r="AA66" s="7"/>
      <c r="AB66" s="7"/>
      <c r="AC66" s="7"/>
    </row>
    <row r="67" spans="22:29" x14ac:dyDescent="0.2">
      <c r="V67" s="7"/>
      <c r="W67" s="7"/>
      <c r="X67" s="7"/>
      <c r="Y67" s="7"/>
      <c r="Z67" s="7"/>
      <c r="AA67" s="7"/>
      <c r="AB67" s="7"/>
      <c r="AC67" s="7"/>
    </row>
    <row r="68" spans="22:29" x14ac:dyDescent="0.2">
      <c r="V68" s="7"/>
      <c r="W68" s="7"/>
      <c r="X68" s="7"/>
      <c r="Y68" s="7"/>
      <c r="Z68" s="7"/>
      <c r="AA68" s="7"/>
      <c r="AB68" s="7"/>
      <c r="AC68" s="7"/>
    </row>
    <row r="69" spans="22:29" x14ac:dyDescent="0.2">
      <c r="V69" s="7"/>
      <c r="W69" s="7"/>
      <c r="X69" s="7"/>
      <c r="Y69" s="7"/>
      <c r="Z69" s="7"/>
      <c r="AA69" s="7"/>
      <c r="AB69" s="7"/>
      <c r="AC69" s="7"/>
    </row>
    <row r="70" spans="22:29" x14ac:dyDescent="0.2">
      <c r="V70" s="7"/>
      <c r="W70" s="7"/>
      <c r="X70" s="7"/>
      <c r="Y70" s="7"/>
      <c r="Z70" s="7"/>
      <c r="AA70" s="7"/>
      <c r="AB70" s="7"/>
      <c r="AC70" s="7"/>
    </row>
    <row r="71" spans="22:29" x14ac:dyDescent="0.2">
      <c r="V71" s="7"/>
      <c r="W71" s="7"/>
      <c r="X71" s="7"/>
      <c r="Y71" s="7"/>
      <c r="Z71" s="7"/>
      <c r="AA71" s="7"/>
      <c r="AB71" s="7"/>
      <c r="AC71" s="7"/>
    </row>
    <row r="72" spans="22:29" x14ac:dyDescent="0.2">
      <c r="V72" s="7"/>
      <c r="W72" s="7"/>
      <c r="X72" s="7"/>
      <c r="Y72" s="7"/>
      <c r="Z72" s="7"/>
      <c r="AA72" s="7"/>
      <c r="AB72" s="7"/>
      <c r="AC72" s="7"/>
    </row>
    <row r="73" spans="22:29" x14ac:dyDescent="0.2">
      <c r="V73" s="7"/>
      <c r="W73" s="7"/>
      <c r="X73" s="7"/>
      <c r="Y73" s="7"/>
      <c r="Z73" s="7"/>
      <c r="AA73" s="7"/>
      <c r="AB73" s="7"/>
      <c r="AC73" s="7"/>
    </row>
    <row r="74" spans="22:29" x14ac:dyDescent="0.2">
      <c r="V74" s="7"/>
      <c r="W74" s="7"/>
      <c r="X74" s="7"/>
      <c r="Y74" s="7"/>
      <c r="Z74" s="7"/>
      <c r="AA74" s="7"/>
      <c r="AB74" s="7"/>
      <c r="AC74" s="7"/>
    </row>
    <row r="75" spans="22:29" x14ac:dyDescent="0.2">
      <c r="V75" s="7"/>
      <c r="W75" s="7"/>
      <c r="X75" s="7"/>
      <c r="Y75" s="7"/>
      <c r="Z75" s="7"/>
      <c r="AA75" s="7"/>
      <c r="AB75" s="7"/>
      <c r="AC75" s="7"/>
    </row>
    <row r="76" spans="22:29" x14ac:dyDescent="0.2">
      <c r="V76" s="7"/>
      <c r="W76" s="7"/>
      <c r="X76" s="7"/>
      <c r="Y76" s="7"/>
      <c r="Z76" s="7"/>
      <c r="AA76" s="7"/>
      <c r="AB76" s="7"/>
      <c r="AC76" s="7"/>
    </row>
    <row r="77" spans="22:29" x14ac:dyDescent="0.2">
      <c r="V77" s="7"/>
      <c r="W77" s="7"/>
      <c r="X77" s="7"/>
      <c r="Y77" s="7"/>
      <c r="Z77" s="7"/>
      <c r="AA77" s="7"/>
      <c r="AB77" s="7"/>
      <c r="AC77" s="7"/>
    </row>
    <row r="78" spans="22:29" x14ac:dyDescent="0.2">
      <c r="V78" s="7"/>
      <c r="W78" s="7"/>
      <c r="X78" s="7"/>
      <c r="Y78" s="7"/>
      <c r="Z78" s="7"/>
      <c r="AA78" s="7"/>
      <c r="AB78" s="7"/>
      <c r="AC78" s="7"/>
    </row>
  </sheetData>
  <mergeCells count="44">
    <mergeCell ref="B51:R51"/>
    <mergeCell ref="K6:K7"/>
    <mergeCell ref="O6:O7"/>
    <mergeCell ref="B45:R45"/>
    <mergeCell ref="AK5:AL7"/>
    <mergeCell ref="A3:AC3"/>
    <mergeCell ref="AC6:AC7"/>
    <mergeCell ref="L6:L7"/>
    <mergeCell ref="C5:C7"/>
    <mergeCell ref="T6:T7"/>
    <mergeCell ref="E5:E7"/>
    <mergeCell ref="AH5:AH7"/>
    <mergeCell ref="F5:F7"/>
    <mergeCell ref="Z6:Z7"/>
    <mergeCell ref="AB6:AB7"/>
    <mergeCell ref="U6:W6"/>
    <mergeCell ref="N5:N7"/>
    <mergeCell ref="S5:AC5"/>
    <mergeCell ref="A1:AC1"/>
    <mergeCell ref="R5:R7"/>
    <mergeCell ref="M6:M7"/>
    <mergeCell ref="AG5:AG7"/>
    <mergeCell ref="Q6:Q7"/>
    <mergeCell ref="H5:H7"/>
    <mergeCell ref="J5:M5"/>
    <mergeCell ref="Y6:Y7"/>
    <mergeCell ref="AD5:AD7"/>
    <mergeCell ref="A2:AC2"/>
    <mergeCell ref="A5:A7"/>
    <mergeCell ref="AJ5:AJ7"/>
    <mergeCell ref="G5:G7"/>
    <mergeCell ref="B5:B7"/>
    <mergeCell ref="X6:X7"/>
    <mergeCell ref="AE5:AE7"/>
    <mergeCell ref="AI5:AI7"/>
    <mergeCell ref="AF5:AF7"/>
    <mergeCell ref="I5:I7"/>
    <mergeCell ref="O5:Q5"/>
    <mergeCell ref="B50:R50"/>
    <mergeCell ref="D5:D7"/>
    <mergeCell ref="J6:J7"/>
    <mergeCell ref="P6:P7"/>
    <mergeCell ref="AA6:AA7"/>
    <mergeCell ref="B44:R44"/>
  </mergeCells>
  <pageMargins left="0.25" right="0.25" top="0.75" bottom="0.75" header="0.3" footer="0.3"/>
  <pageSetup paperSize="14" scale="49" orientation="landscape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L61"/>
  <sheetViews>
    <sheetView topLeftCell="I1" zoomScale="75" zoomScaleNormal="75" workbookViewId="0">
      <selection activeCell="R4" sqref="R1:R1048576"/>
    </sheetView>
  </sheetViews>
  <sheetFormatPr baseColWidth="10" defaultColWidth="8.83203125" defaultRowHeight="16" x14ac:dyDescent="0.2"/>
  <cols>
    <col min="1" max="1" width="4.5" style="3" customWidth="1"/>
    <col min="2" max="2" width="21.1640625" customWidth="1"/>
    <col min="3" max="3" width="20.1640625" customWidth="1"/>
    <col min="4" max="4" width="19.5" customWidth="1"/>
    <col min="5" max="5" width="18.33203125" customWidth="1"/>
    <col min="6" max="6" width="24.83203125" customWidth="1"/>
    <col min="7" max="7" width="7.832031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0.5" customWidth="1"/>
    <col min="20" max="20" width="11.6640625" customWidth="1"/>
    <col min="21" max="21" width="11.1640625" customWidth="1"/>
    <col min="22" max="22" width="10.6640625" customWidth="1"/>
    <col min="23" max="23" width="10.33203125" customWidth="1"/>
    <col min="24" max="24" width="12.6640625" customWidth="1"/>
    <col min="25" max="26" width="11.33203125" customWidth="1"/>
    <col min="27" max="28" width="10.1640625" customWidth="1"/>
    <col min="29" max="29" width="16.5" customWidth="1"/>
    <col min="30" max="30" width="16.1640625" customWidth="1"/>
    <col min="31" max="31" width="16.6640625" customWidth="1"/>
    <col min="32" max="32" width="14.83203125" customWidth="1"/>
    <col min="33" max="33" width="16.33203125" customWidth="1"/>
    <col min="34" max="34" width="14" customWidth="1"/>
    <col min="35" max="35" width="16.83203125" customWidth="1"/>
    <col min="36" max="36" width="19" customWidth="1"/>
  </cols>
  <sheetData>
    <row r="1" spans="1:38" ht="28" customHeight="1" x14ac:dyDescent="0.2">
      <c r="A1" s="188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6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"/>
    </row>
    <row r="2" spans="1:38" ht="28" customHeight="1" x14ac:dyDescent="0.2">
      <c r="A2" s="188" t="s">
        <v>1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  <c r="L2" s="175"/>
      <c r="M2" s="175"/>
      <c r="N2" s="175"/>
      <c r="O2" s="176"/>
      <c r="P2" s="175"/>
      <c r="Q2" s="175"/>
      <c r="R2" s="175"/>
      <c r="S2" s="175"/>
      <c r="T2" s="175"/>
      <c r="U2" s="175"/>
      <c r="V2" s="175"/>
      <c r="W2" s="175"/>
      <c r="X2" s="175"/>
      <c r="Y2" s="175"/>
      <c r="Z2" s="175"/>
      <c r="AA2" s="175"/>
      <c r="AB2" s="175"/>
      <c r="AC2" s="175"/>
      <c r="AD2" s="2"/>
    </row>
    <row r="3" spans="1:38" ht="28" customHeight="1" x14ac:dyDescent="0.2">
      <c r="A3" s="188" t="s">
        <v>86</v>
      </c>
      <c r="B3" s="175"/>
      <c r="C3" s="175"/>
      <c r="D3" s="175"/>
      <c r="E3" s="175"/>
      <c r="F3" s="175"/>
      <c r="G3" s="175"/>
      <c r="H3" s="175"/>
      <c r="I3" s="175"/>
      <c r="J3" s="175"/>
      <c r="K3" s="175"/>
      <c r="L3" s="175"/>
      <c r="M3" s="175"/>
      <c r="N3" s="175"/>
      <c r="O3" s="176"/>
      <c r="P3" s="175"/>
      <c r="Q3" s="175"/>
      <c r="R3" s="175"/>
      <c r="S3" s="175"/>
      <c r="T3" s="175"/>
      <c r="U3" s="175"/>
      <c r="V3" s="175"/>
      <c r="W3" s="175"/>
      <c r="X3" s="175"/>
      <c r="Y3" s="175"/>
      <c r="Z3" s="175"/>
      <c r="AA3" s="175"/>
      <c r="AB3" s="175"/>
      <c r="AC3" s="175"/>
      <c r="AD3" s="2"/>
    </row>
    <row r="4" spans="1:38" x14ac:dyDescent="0.2">
      <c r="D4" t="s">
        <v>3</v>
      </c>
    </row>
    <row r="5" spans="1:38" x14ac:dyDescent="0.2">
      <c r="A5" s="211" t="s">
        <v>4</v>
      </c>
      <c r="B5" s="211" t="s">
        <v>5</v>
      </c>
      <c r="C5" s="216" t="s">
        <v>6</v>
      </c>
      <c r="D5" s="207" t="s">
        <v>7</v>
      </c>
      <c r="E5" s="211" t="s">
        <v>8</v>
      </c>
      <c r="F5" s="218" t="s">
        <v>9</v>
      </c>
      <c r="G5" s="211" t="s">
        <v>10</v>
      </c>
      <c r="H5" s="214" t="s">
        <v>11</v>
      </c>
      <c r="I5" s="205" t="s">
        <v>12</v>
      </c>
      <c r="J5" s="205" t="s">
        <v>13</v>
      </c>
      <c r="K5" s="172"/>
      <c r="L5" s="172"/>
      <c r="M5" s="173"/>
      <c r="N5" s="208" t="s">
        <v>14</v>
      </c>
      <c r="O5" s="206" t="s">
        <v>15</v>
      </c>
      <c r="P5" s="172"/>
      <c r="Q5" s="173"/>
      <c r="R5" s="213" t="s">
        <v>16</v>
      </c>
      <c r="S5" s="220" t="s">
        <v>64</v>
      </c>
      <c r="T5" s="172"/>
      <c r="U5" s="172"/>
      <c r="V5" s="172"/>
      <c r="W5" s="172"/>
      <c r="X5" s="172"/>
      <c r="Y5" s="172"/>
      <c r="Z5" s="172"/>
      <c r="AA5" s="172"/>
      <c r="AB5" s="172"/>
      <c r="AC5" s="173"/>
      <c r="AD5" s="186" t="s">
        <v>17</v>
      </c>
      <c r="AE5" s="186" t="s">
        <v>18</v>
      </c>
      <c r="AF5" s="165" t="s">
        <v>19</v>
      </c>
      <c r="AG5" s="190" t="s">
        <v>20</v>
      </c>
      <c r="AH5" s="190" t="s">
        <v>21</v>
      </c>
      <c r="AI5" s="190" t="s">
        <v>22</v>
      </c>
      <c r="AJ5" s="181" t="s">
        <v>23</v>
      </c>
      <c r="AK5" s="192" t="s">
        <v>24</v>
      </c>
      <c r="AL5" s="193"/>
    </row>
    <row r="6" spans="1:38" ht="14.5" customHeight="1" x14ac:dyDescent="0.2">
      <c r="A6" s="169"/>
      <c r="B6" s="169"/>
      <c r="C6" s="169"/>
      <c r="D6" s="169"/>
      <c r="E6" s="169"/>
      <c r="F6" s="169"/>
      <c r="G6" s="169"/>
      <c r="H6" s="169"/>
      <c r="I6" s="169"/>
      <c r="J6" s="208" t="s">
        <v>25</v>
      </c>
      <c r="K6" s="208" t="s">
        <v>26</v>
      </c>
      <c r="L6" s="208" t="s">
        <v>27</v>
      </c>
      <c r="M6" s="208" t="s">
        <v>28</v>
      </c>
      <c r="N6" s="169"/>
      <c r="O6" s="209" t="s">
        <v>29</v>
      </c>
      <c r="P6" s="209" t="s">
        <v>30</v>
      </c>
      <c r="Q6" s="209" t="s">
        <v>31</v>
      </c>
      <c r="R6" s="169"/>
      <c r="S6" s="138"/>
      <c r="T6" s="217" t="s">
        <v>32</v>
      </c>
      <c r="U6" s="219" t="s">
        <v>26</v>
      </c>
      <c r="V6" s="172"/>
      <c r="W6" s="173"/>
      <c r="X6" s="212" t="s">
        <v>33</v>
      </c>
      <c r="Y6" s="215" t="s">
        <v>27</v>
      </c>
      <c r="Z6" s="215" t="s">
        <v>34</v>
      </c>
      <c r="AA6" s="210" t="s">
        <v>28</v>
      </c>
      <c r="AB6" s="210" t="s">
        <v>35</v>
      </c>
      <c r="AC6" s="202" t="s">
        <v>36</v>
      </c>
      <c r="AD6" s="166"/>
      <c r="AE6" s="166"/>
      <c r="AF6" s="166"/>
      <c r="AG6" s="166"/>
      <c r="AH6" s="166"/>
      <c r="AI6" s="166"/>
      <c r="AJ6" s="182"/>
      <c r="AK6" s="194"/>
      <c r="AL6" s="195"/>
    </row>
    <row r="7" spans="1:38" ht="34" customHeight="1" x14ac:dyDescent="0.2">
      <c r="A7" s="170"/>
      <c r="B7" s="170"/>
      <c r="C7" s="169"/>
      <c r="D7" s="169"/>
      <c r="E7" s="170"/>
      <c r="F7" s="170"/>
      <c r="G7" s="170"/>
      <c r="H7" s="170"/>
      <c r="I7" s="170"/>
      <c r="J7" s="169"/>
      <c r="K7" s="169"/>
      <c r="L7" s="169"/>
      <c r="M7" s="169"/>
      <c r="N7" s="169"/>
      <c r="O7" s="169"/>
      <c r="P7" s="169"/>
      <c r="Q7" s="169"/>
      <c r="R7" s="170"/>
      <c r="S7" s="5" t="s">
        <v>37</v>
      </c>
      <c r="T7" s="170"/>
      <c r="U7" s="4" t="s">
        <v>38</v>
      </c>
      <c r="V7" s="4" t="s">
        <v>39</v>
      </c>
      <c r="W7" s="4" t="s">
        <v>40</v>
      </c>
      <c r="X7" s="170"/>
      <c r="Y7" s="170"/>
      <c r="Z7" s="170"/>
      <c r="AA7" s="170"/>
      <c r="AB7" s="170"/>
      <c r="AC7" s="170"/>
      <c r="AD7" s="167"/>
      <c r="AE7" s="167"/>
      <c r="AF7" s="167"/>
      <c r="AG7" s="167"/>
      <c r="AH7" s="167"/>
      <c r="AI7" s="167"/>
      <c r="AJ7" s="183"/>
      <c r="AK7" s="196"/>
      <c r="AL7" s="197"/>
    </row>
    <row r="8" spans="1:38" s="84" customFormat="1" ht="45" customHeight="1" x14ac:dyDescent="0.2">
      <c r="A8" s="124" t="s">
        <v>41</v>
      </c>
      <c r="B8" s="60"/>
      <c r="C8" s="76"/>
      <c r="D8" s="77"/>
      <c r="E8" s="77"/>
      <c r="F8" s="78"/>
      <c r="G8" s="78"/>
      <c r="H8" s="79"/>
      <c r="I8" s="64"/>
      <c r="J8" s="65"/>
      <c r="K8" s="66"/>
      <c r="L8" s="67"/>
      <c r="M8" s="67"/>
      <c r="N8" s="68">
        <f t="shared" ref="N8:N20" si="0">ROUND(I8*(SUM(J8:M8)),0)</f>
        <v>0</v>
      </c>
      <c r="O8" s="69"/>
      <c r="P8" s="70"/>
      <c r="Q8" s="70"/>
      <c r="R8" s="71"/>
      <c r="S8" s="68">
        <f t="shared" ref="S8:S20" si="1">I8*J8</f>
        <v>0</v>
      </c>
      <c r="T8" s="68">
        <f t="shared" ref="T8:T20" si="2">SUM(S8:S8)</f>
        <v>0</v>
      </c>
      <c r="U8" s="68">
        <f t="shared" ref="U8:U20" si="3">I8*K8*40%*O8</f>
        <v>0</v>
      </c>
      <c r="V8" s="68">
        <f t="shared" ref="V8:V20" si="4">IF(P8&gt;=6750,(I8*K8*40%),0)</f>
        <v>0</v>
      </c>
      <c r="W8" s="68">
        <f t="shared" ref="W8:W20" si="5">IF(P8&lt;6750,0,IF(Q8="",0,IF(OR(Q8="KURANG",Q8="SANGAT KURANG"),I8*K8*10%,I8*K8*20%)))</f>
        <v>0</v>
      </c>
      <c r="X8" s="68">
        <f t="shared" ref="X8:X20" si="6">SUM(U8:W8)</f>
        <v>0</v>
      </c>
      <c r="Y8" s="68">
        <f t="shared" ref="Y8:Y20" si="7">I8*L8</f>
        <v>0</v>
      </c>
      <c r="Z8" s="68">
        <f t="shared" ref="Z8:Z20" si="8">Y8</f>
        <v>0</v>
      </c>
      <c r="AA8" s="68">
        <f t="shared" ref="AA8:AA20" si="9">I8*M8</f>
        <v>0</v>
      </c>
      <c r="AB8" s="68">
        <f t="shared" ref="AB8:AB20" si="10">AA8</f>
        <v>0</v>
      </c>
      <c r="AC8" s="72">
        <f t="shared" ref="AC8:AC20" si="11">ROUND((T8+X8+Z8+AB8),0)</f>
        <v>0</v>
      </c>
      <c r="AD8" s="140">
        <f t="shared" ref="AD8:AD20" si="12">AG8</f>
        <v>0</v>
      </c>
      <c r="AE8" s="140">
        <f t="shared" ref="AE8:AE20" si="13">AI8</f>
        <v>0</v>
      </c>
      <c r="AF8" s="140">
        <f t="shared" ref="AF8:AF20" si="14">AC8+AD8+AE8</f>
        <v>0</v>
      </c>
      <c r="AG8" s="140"/>
      <c r="AH8" s="141"/>
      <c r="AI8" s="141">
        <f t="shared" ref="AI8:AI20" si="15">AH8*4</f>
        <v>0</v>
      </c>
      <c r="AJ8" s="146">
        <f t="shared" ref="AJ8:AJ20" si="16">AF8-AG8-AH8-AI8</f>
        <v>0</v>
      </c>
      <c r="AK8" s="147">
        <v>1</v>
      </c>
      <c r="AL8" s="148"/>
    </row>
    <row r="9" spans="1:38" s="84" customFormat="1" ht="45" customHeight="1" x14ac:dyDescent="0.2">
      <c r="A9" s="124" t="s">
        <v>42</v>
      </c>
      <c r="B9" s="60"/>
      <c r="C9" s="76"/>
      <c r="D9" s="77"/>
      <c r="E9" s="77"/>
      <c r="F9" s="78"/>
      <c r="G9" s="78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si="1"/>
        <v>0</v>
      </c>
      <c r="T9" s="68">
        <f t="shared" si="2"/>
        <v>0</v>
      </c>
      <c r="U9" s="68">
        <f t="shared" si="3"/>
        <v>0</v>
      </c>
      <c r="V9" s="68">
        <f t="shared" si="4"/>
        <v>0</v>
      </c>
      <c r="W9" s="68">
        <f t="shared" si="5"/>
        <v>0</v>
      </c>
      <c r="X9" s="68">
        <f t="shared" si="6"/>
        <v>0</v>
      </c>
      <c r="Y9" s="68">
        <f t="shared" si="7"/>
        <v>0</v>
      </c>
      <c r="Z9" s="68">
        <f t="shared" si="8"/>
        <v>0</v>
      </c>
      <c r="AA9" s="68">
        <f t="shared" si="9"/>
        <v>0</v>
      </c>
      <c r="AB9" s="68">
        <f t="shared" si="10"/>
        <v>0</v>
      </c>
      <c r="AC9" s="72">
        <f t="shared" si="11"/>
        <v>0</v>
      </c>
      <c r="AD9" s="140">
        <f t="shared" si="12"/>
        <v>0</v>
      </c>
      <c r="AE9" s="140">
        <f t="shared" si="13"/>
        <v>0</v>
      </c>
      <c r="AF9" s="140">
        <f t="shared" si="14"/>
        <v>0</v>
      </c>
      <c r="AG9" s="140"/>
      <c r="AH9" s="141"/>
      <c r="AI9" s="141">
        <f t="shared" si="15"/>
        <v>0</v>
      </c>
      <c r="AJ9" s="146">
        <f t="shared" si="16"/>
        <v>0</v>
      </c>
      <c r="AK9" s="147">
        <v>2</v>
      </c>
      <c r="AL9" s="148"/>
    </row>
    <row r="10" spans="1:38" s="84" customFormat="1" ht="45" customHeight="1" x14ac:dyDescent="0.2">
      <c r="A10" s="124" t="s">
        <v>43</v>
      </c>
      <c r="B10" s="60"/>
      <c r="C10" s="76"/>
      <c r="D10" s="77"/>
      <c r="E10" s="77"/>
      <c r="F10" s="78"/>
      <c r="G10" s="78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1"/>
        <v>0</v>
      </c>
      <c r="T10" s="68">
        <f t="shared" si="2"/>
        <v>0</v>
      </c>
      <c r="U10" s="68">
        <f t="shared" si="3"/>
        <v>0</v>
      </c>
      <c r="V10" s="68">
        <f t="shared" si="4"/>
        <v>0</v>
      </c>
      <c r="W10" s="68">
        <f t="shared" si="5"/>
        <v>0</v>
      </c>
      <c r="X10" s="68">
        <f t="shared" si="6"/>
        <v>0</v>
      </c>
      <c r="Y10" s="68">
        <f t="shared" si="7"/>
        <v>0</v>
      </c>
      <c r="Z10" s="68">
        <f t="shared" si="8"/>
        <v>0</v>
      </c>
      <c r="AA10" s="68">
        <f t="shared" si="9"/>
        <v>0</v>
      </c>
      <c r="AB10" s="68">
        <f t="shared" si="10"/>
        <v>0</v>
      </c>
      <c r="AC10" s="72">
        <f t="shared" si="11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s="84" customFormat="1" ht="45" customHeight="1" x14ac:dyDescent="0.2">
      <c r="A11" s="124" t="s">
        <v>44</v>
      </c>
      <c r="B11" s="60"/>
      <c r="C11" s="76"/>
      <c r="D11" s="77"/>
      <c r="E11" s="77"/>
      <c r="F11" s="78"/>
      <c r="G11" s="62"/>
      <c r="H11" s="63"/>
      <c r="I11" s="64"/>
      <c r="J11" s="65"/>
      <c r="K11" s="66"/>
      <c r="L11" s="67"/>
      <c r="M11" s="67"/>
      <c r="N11" s="68">
        <f t="shared" si="0"/>
        <v>0</v>
      </c>
      <c r="O11" s="69"/>
      <c r="P11" s="70"/>
      <c r="Q11" s="70"/>
      <c r="R11" s="71"/>
      <c r="S11" s="68">
        <f t="shared" si="1"/>
        <v>0</v>
      </c>
      <c r="T11" s="68">
        <f t="shared" si="2"/>
        <v>0</v>
      </c>
      <c r="U11" s="68">
        <f t="shared" si="3"/>
        <v>0</v>
      </c>
      <c r="V11" s="68">
        <f t="shared" si="4"/>
        <v>0</v>
      </c>
      <c r="W11" s="68">
        <f t="shared" si="5"/>
        <v>0</v>
      </c>
      <c r="X11" s="68">
        <f t="shared" si="6"/>
        <v>0</v>
      </c>
      <c r="Y11" s="68">
        <f t="shared" si="7"/>
        <v>0</v>
      </c>
      <c r="Z11" s="68">
        <f t="shared" si="8"/>
        <v>0</v>
      </c>
      <c r="AA11" s="68">
        <f t="shared" si="9"/>
        <v>0</v>
      </c>
      <c r="AB11" s="68">
        <f t="shared" si="10"/>
        <v>0</v>
      </c>
      <c r="AC11" s="72">
        <f t="shared" si="11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s="84" customFormat="1" ht="45" customHeight="1" x14ac:dyDescent="0.2">
      <c r="A12" s="124" t="s">
        <v>45</v>
      </c>
      <c r="B12" s="60"/>
      <c r="C12" s="76"/>
      <c r="D12" s="77"/>
      <c r="E12" s="77"/>
      <c r="F12" s="78"/>
      <c r="G12" s="62"/>
      <c r="H12" s="63"/>
      <c r="I12" s="64"/>
      <c r="J12" s="65"/>
      <c r="K12" s="66"/>
      <c r="L12" s="67"/>
      <c r="M12" s="67"/>
      <c r="N12" s="68">
        <f t="shared" si="0"/>
        <v>0</v>
      </c>
      <c r="O12" s="69"/>
      <c r="P12" s="70"/>
      <c r="Q12" s="70"/>
      <c r="R12" s="71"/>
      <c r="S12" s="68">
        <f t="shared" si="1"/>
        <v>0</v>
      </c>
      <c r="T12" s="68">
        <f t="shared" si="2"/>
        <v>0</v>
      </c>
      <c r="U12" s="68">
        <f t="shared" si="3"/>
        <v>0</v>
      </c>
      <c r="V12" s="68">
        <f t="shared" si="4"/>
        <v>0</v>
      </c>
      <c r="W12" s="68">
        <f t="shared" si="5"/>
        <v>0</v>
      </c>
      <c r="X12" s="68">
        <f t="shared" si="6"/>
        <v>0</v>
      </c>
      <c r="Y12" s="68">
        <f t="shared" si="7"/>
        <v>0</v>
      </c>
      <c r="Z12" s="68">
        <f t="shared" si="8"/>
        <v>0</v>
      </c>
      <c r="AA12" s="68">
        <f t="shared" si="9"/>
        <v>0</v>
      </c>
      <c r="AB12" s="68">
        <f t="shared" si="10"/>
        <v>0</v>
      </c>
      <c r="AC12" s="72">
        <f t="shared" si="11"/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s="84" customFormat="1" ht="45" customHeight="1" x14ac:dyDescent="0.2">
      <c r="A13" s="124" t="s">
        <v>46</v>
      </c>
      <c r="B13" s="60"/>
      <c r="C13" s="76"/>
      <c r="D13" s="77"/>
      <c r="E13" s="77"/>
      <c r="F13" s="78"/>
      <c r="G13" s="62"/>
      <c r="H13" s="63"/>
      <c r="I13" s="64"/>
      <c r="J13" s="65"/>
      <c r="K13" s="66"/>
      <c r="L13" s="67"/>
      <c r="M13" s="67"/>
      <c r="N13" s="68">
        <f t="shared" si="0"/>
        <v>0</v>
      </c>
      <c r="O13" s="69"/>
      <c r="P13" s="70"/>
      <c r="Q13" s="70"/>
      <c r="R13" s="71"/>
      <c r="S13" s="68">
        <f t="shared" si="1"/>
        <v>0</v>
      </c>
      <c r="T13" s="68">
        <f t="shared" si="2"/>
        <v>0</v>
      </c>
      <c r="U13" s="68">
        <f t="shared" si="3"/>
        <v>0</v>
      </c>
      <c r="V13" s="68">
        <f t="shared" si="4"/>
        <v>0</v>
      </c>
      <c r="W13" s="68">
        <f t="shared" si="5"/>
        <v>0</v>
      </c>
      <c r="X13" s="68">
        <f t="shared" si="6"/>
        <v>0</v>
      </c>
      <c r="Y13" s="68">
        <f t="shared" si="7"/>
        <v>0</v>
      </c>
      <c r="Z13" s="68">
        <f t="shared" si="8"/>
        <v>0</v>
      </c>
      <c r="AA13" s="68">
        <f t="shared" si="9"/>
        <v>0</v>
      </c>
      <c r="AB13" s="68">
        <f t="shared" si="10"/>
        <v>0</v>
      </c>
      <c r="AC13" s="72">
        <f t="shared" si="11"/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s="84" customFormat="1" ht="45" customHeight="1" x14ac:dyDescent="0.2">
      <c r="A14" s="124" t="s">
        <v>47</v>
      </c>
      <c r="B14" s="60"/>
      <c r="C14" s="76"/>
      <c r="D14" s="77"/>
      <c r="E14" s="77"/>
      <c r="F14" s="78"/>
      <c r="G14" s="62"/>
      <c r="H14" s="63"/>
      <c r="I14" s="64"/>
      <c r="J14" s="65"/>
      <c r="K14" s="66"/>
      <c r="L14" s="67"/>
      <c r="M14" s="67"/>
      <c r="N14" s="68">
        <f t="shared" si="0"/>
        <v>0</v>
      </c>
      <c r="O14" s="69"/>
      <c r="P14" s="70"/>
      <c r="Q14" s="70"/>
      <c r="R14" s="71"/>
      <c r="S14" s="68">
        <f t="shared" si="1"/>
        <v>0</v>
      </c>
      <c r="T14" s="68">
        <f t="shared" si="2"/>
        <v>0</v>
      </c>
      <c r="U14" s="68">
        <f t="shared" si="3"/>
        <v>0</v>
      </c>
      <c r="V14" s="68">
        <f t="shared" si="4"/>
        <v>0</v>
      </c>
      <c r="W14" s="68">
        <f t="shared" si="5"/>
        <v>0</v>
      </c>
      <c r="X14" s="68">
        <f t="shared" si="6"/>
        <v>0</v>
      </c>
      <c r="Y14" s="68">
        <f t="shared" si="7"/>
        <v>0</v>
      </c>
      <c r="Z14" s="68">
        <f t="shared" si="8"/>
        <v>0</v>
      </c>
      <c r="AA14" s="68">
        <f t="shared" si="9"/>
        <v>0</v>
      </c>
      <c r="AB14" s="68">
        <f t="shared" si="10"/>
        <v>0</v>
      </c>
      <c r="AC14" s="72">
        <f t="shared" si="11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s="84" customFormat="1" ht="45" customHeight="1" x14ac:dyDescent="0.2">
      <c r="A15" s="124" t="s">
        <v>48</v>
      </c>
      <c r="B15" s="60"/>
      <c r="C15" s="76"/>
      <c r="D15" s="77"/>
      <c r="E15" s="77"/>
      <c r="F15" s="78"/>
      <c r="G15" s="78"/>
      <c r="H15" s="79"/>
      <c r="I15" s="64"/>
      <c r="J15" s="65"/>
      <c r="K15" s="66"/>
      <c r="L15" s="67"/>
      <c r="M15" s="67"/>
      <c r="N15" s="68">
        <f t="shared" si="0"/>
        <v>0</v>
      </c>
      <c r="O15" s="69"/>
      <c r="P15" s="70"/>
      <c r="Q15" s="70"/>
      <c r="R15" s="71"/>
      <c r="S15" s="68">
        <f t="shared" si="1"/>
        <v>0</v>
      </c>
      <c r="T15" s="68">
        <f t="shared" si="2"/>
        <v>0</v>
      </c>
      <c r="U15" s="68">
        <f t="shared" si="3"/>
        <v>0</v>
      </c>
      <c r="V15" s="68">
        <f t="shared" si="4"/>
        <v>0</v>
      </c>
      <c r="W15" s="68">
        <f t="shared" si="5"/>
        <v>0</v>
      </c>
      <c r="X15" s="68">
        <f t="shared" si="6"/>
        <v>0</v>
      </c>
      <c r="Y15" s="68">
        <f t="shared" si="7"/>
        <v>0</v>
      </c>
      <c r="Z15" s="68">
        <f t="shared" si="8"/>
        <v>0</v>
      </c>
      <c r="AA15" s="68">
        <f t="shared" si="9"/>
        <v>0</v>
      </c>
      <c r="AB15" s="68">
        <f t="shared" si="10"/>
        <v>0</v>
      </c>
      <c r="AC15" s="72">
        <f t="shared" si="11"/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s="84" customFormat="1" ht="45" customHeight="1" x14ac:dyDescent="0.2">
      <c r="A16" s="124" t="s">
        <v>49</v>
      </c>
      <c r="B16" s="60"/>
      <c r="C16" s="76"/>
      <c r="D16" s="77"/>
      <c r="E16" s="77"/>
      <c r="F16" s="78"/>
      <c r="G16" s="62"/>
      <c r="H16" s="63"/>
      <c r="I16" s="64"/>
      <c r="J16" s="65"/>
      <c r="K16" s="66"/>
      <c r="L16" s="67"/>
      <c r="M16" s="67"/>
      <c r="N16" s="68">
        <f t="shared" si="0"/>
        <v>0</v>
      </c>
      <c r="O16" s="69"/>
      <c r="P16" s="70"/>
      <c r="Q16" s="70"/>
      <c r="R16" s="71"/>
      <c r="S16" s="68">
        <f t="shared" si="1"/>
        <v>0</v>
      </c>
      <c r="T16" s="68">
        <f t="shared" si="2"/>
        <v>0</v>
      </c>
      <c r="U16" s="68">
        <f t="shared" si="3"/>
        <v>0</v>
      </c>
      <c r="V16" s="68">
        <f t="shared" si="4"/>
        <v>0</v>
      </c>
      <c r="W16" s="68">
        <f t="shared" si="5"/>
        <v>0</v>
      </c>
      <c r="X16" s="68">
        <f t="shared" si="6"/>
        <v>0</v>
      </c>
      <c r="Y16" s="68">
        <f t="shared" si="7"/>
        <v>0</v>
      </c>
      <c r="Z16" s="68">
        <f t="shared" si="8"/>
        <v>0</v>
      </c>
      <c r="AA16" s="68">
        <f t="shared" si="9"/>
        <v>0</v>
      </c>
      <c r="AB16" s="68">
        <f t="shared" si="10"/>
        <v>0</v>
      </c>
      <c r="AC16" s="72">
        <f t="shared" si="11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s="84" customFormat="1" ht="45" customHeight="1" x14ac:dyDescent="0.2">
      <c r="A17" s="124" t="s">
        <v>50</v>
      </c>
      <c r="B17" s="60"/>
      <c r="C17" s="76"/>
      <c r="D17" s="77"/>
      <c r="E17" s="77"/>
      <c r="F17" s="78"/>
      <c r="G17" s="62"/>
      <c r="H17" s="63"/>
      <c r="I17" s="64"/>
      <c r="J17" s="65"/>
      <c r="K17" s="66"/>
      <c r="L17" s="67"/>
      <c r="M17" s="67"/>
      <c r="N17" s="68">
        <f t="shared" si="0"/>
        <v>0</v>
      </c>
      <c r="O17" s="69"/>
      <c r="P17" s="70"/>
      <c r="Q17" s="70"/>
      <c r="R17" s="71"/>
      <c r="S17" s="68">
        <f t="shared" si="1"/>
        <v>0</v>
      </c>
      <c r="T17" s="68">
        <f t="shared" si="2"/>
        <v>0</v>
      </c>
      <c r="U17" s="68">
        <f t="shared" si="3"/>
        <v>0</v>
      </c>
      <c r="V17" s="68">
        <f t="shared" si="4"/>
        <v>0</v>
      </c>
      <c r="W17" s="68">
        <f t="shared" si="5"/>
        <v>0</v>
      </c>
      <c r="X17" s="68">
        <f t="shared" si="6"/>
        <v>0</v>
      </c>
      <c r="Y17" s="68">
        <f t="shared" si="7"/>
        <v>0</v>
      </c>
      <c r="Z17" s="68">
        <f t="shared" si="8"/>
        <v>0</v>
      </c>
      <c r="AA17" s="68">
        <f t="shared" si="9"/>
        <v>0</v>
      </c>
      <c r="AB17" s="68">
        <f t="shared" si="10"/>
        <v>0</v>
      </c>
      <c r="AC17" s="72">
        <f t="shared" si="11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s="84" customFormat="1" ht="45" customHeight="1" x14ac:dyDescent="0.2">
      <c r="A18" s="124" t="s">
        <v>51</v>
      </c>
      <c r="B18" s="60"/>
      <c r="C18" s="76"/>
      <c r="D18" s="77"/>
      <c r="E18" s="77"/>
      <c r="F18" s="78"/>
      <c r="G18" s="62"/>
      <c r="H18" s="63"/>
      <c r="I18" s="64"/>
      <c r="J18" s="65"/>
      <c r="K18" s="66"/>
      <c r="L18" s="67"/>
      <c r="M18" s="67"/>
      <c r="N18" s="68">
        <f t="shared" si="0"/>
        <v>0</v>
      </c>
      <c r="O18" s="69"/>
      <c r="P18" s="70"/>
      <c r="Q18" s="70"/>
      <c r="R18" s="71"/>
      <c r="S18" s="68">
        <f t="shared" si="1"/>
        <v>0</v>
      </c>
      <c r="T18" s="68">
        <f t="shared" si="2"/>
        <v>0</v>
      </c>
      <c r="U18" s="68">
        <f t="shared" si="3"/>
        <v>0</v>
      </c>
      <c r="V18" s="68">
        <f t="shared" si="4"/>
        <v>0</v>
      </c>
      <c r="W18" s="68">
        <f t="shared" si="5"/>
        <v>0</v>
      </c>
      <c r="X18" s="68">
        <f t="shared" si="6"/>
        <v>0</v>
      </c>
      <c r="Y18" s="68">
        <f t="shared" si="7"/>
        <v>0</v>
      </c>
      <c r="Z18" s="68">
        <f t="shared" si="8"/>
        <v>0</v>
      </c>
      <c r="AA18" s="68">
        <f t="shared" si="9"/>
        <v>0</v>
      </c>
      <c r="AB18" s="68">
        <f t="shared" si="10"/>
        <v>0</v>
      </c>
      <c r="AC18" s="72">
        <f t="shared" si="11"/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s="84" customFormat="1" ht="45" customHeight="1" x14ac:dyDescent="0.2">
      <c r="A19" s="124" t="s">
        <v>52</v>
      </c>
      <c r="B19" s="60"/>
      <c r="C19" s="76"/>
      <c r="D19" s="77"/>
      <c r="E19" s="77"/>
      <c r="F19" s="78"/>
      <c r="G19" s="62"/>
      <c r="H19" s="63"/>
      <c r="I19" s="64"/>
      <c r="J19" s="65"/>
      <c r="K19" s="66"/>
      <c r="L19" s="67"/>
      <c r="M19" s="67"/>
      <c r="N19" s="68">
        <f t="shared" si="0"/>
        <v>0</v>
      </c>
      <c r="O19" s="69"/>
      <c r="P19" s="70"/>
      <c r="Q19" s="70"/>
      <c r="R19" s="71"/>
      <c r="S19" s="68">
        <f t="shared" si="1"/>
        <v>0</v>
      </c>
      <c r="T19" s="68">
        <f t="shared" si="2"/>
        <v>0</v>
      </c>
      <c r="U19" s="68">
        <f t="shared" si="3"/>
        <v>0</v>
      </c>
      <c r="V19" s="68">
        <f t="shared" si="4"/>
        <v>0</v>
      </c>
      <c r="W19" s="68">
        <f t="shared" si="5"/>
        <v>0</v>
      </c>
      <c r="X19" s="68">
        <f t="shared" si="6"/>
        <v>0</v>
      </c>
      <c r="Y19" s="68">
        <f t="shared" si="7"/>
        <v>0</v>
      </c>
      <c r="Z19" s="68">
        <f t="shared" si="8"/>
        <v>0</v>
      </c>
      <c r="AA19" s="68">
        <f t="shared" si="9"/>
        <v>0</v>
      </c>
      <c r="AB19" s="68">
        <f t="shared" si="10"/>
        <v>0</v>
      </c>
      <c r="AC19" s="72">
        <f t="shared" si="11"/>
        <v>0</v>
      </c>
      <c r="AD19" s="140">
        <f t="shared" si="12"/>
        <v>0</v>
      </c>
      <c r="AE19" s="140">
        <f t="shared" si="13"/>
        <v>0</v>
      </c>
      <c r="AF19" s="140">
        <f t="shared" si="14"/>
        <v>0</v>
      </c>
      <c r="AG19" s="140"/>
      <c r="AH19" s="141"/>
      <c r="AI19" s="141">
        <f t="shared" si="15"/>
        <v>0</v>
      </c>
      <c r="AJ19" s="146">
        <f t="shared" si="16"/>
        <v>0</v>
      </c>
      <c r="AK19" s="147">
        <v>12</v>
      </c>
      <c r="AL19" s="148"/>
    </row>
    <row r="20" spans="1:38" s="84" customFormat="1" ht="45" customHeight="1" x14ac:dyDescent="0.2">
      <c r="A20" s="124" t="s">
        <v>53</v>
      </c>
      <c r="B20" s="60"/>
      <c r="C20" s="76"/>
      <c r="D20" s="77"/>
      <c r="E20" s="77"/>
      <c r="F20" s="78"/>
      <c r="G20" s="78"/>
      <c r="H20" s="103"/>
      <c r="I20" s="64"/>
      <c r="J20" s="65"/>
      <c r="K20" s="66"/>
      <c r="L20" s="104"/>
      <c r="M20" s="67"/>
      <c r="N20" s="68">
        <f t="shared" si="0"/>
        <v>0</v>
      </c>
      <c r="O20" s="69"/>
      <c r="P20" s="70"/>
      <c r="Q20" s="70"/>
      <c r="R20" s="71"/>
      <c r="S20" s="68">
        <f t="shared" si="1"/>
        <v>0</v>
      </c>
      <c r="T20" s="68">
        <f t="shared" si="2"/>
        <v>0</v>
      </c>
      <c r="U20" s="68">
        <f t="shared" si="3"/>
        <v>0</v>
      </c>
      <c r="V20" s="68">
        <f t="shared" si="4"/>
        <v>0</v>
      </c>
      <c r="W20" s="68">
        <f t="shared" si="5"/>
        <v>0</v>
      </c>
      <c r="X20" s="68">
        <f t="shared" si="6"/>
        <v>0</v>
      </c>
      <c r="Y20" s="68">
        <f t="shared" si="7"/>
        <v>0</v>
      </c>
      <c r="Z20" s="68">
        <f t="shared" si="8"/>
        <v>0</v>
      </c>
      <c r="AA20" s="68">
        <f t="shared" si="9"/>
        <v>0</v>
      </c>
      <c r="AB20" s="68">
        <f t="shared" si="10"/>
        <v>0</v>
      </c>
      <c r="AC20" s="157">
        <f t="shared" si="11"/>
        <v>0</v>
      </c>
      <c r="AD20" s="142">
        <f t="shared" si="12"/>
        <v>0</v>
      </c>
      <c r="AE20" s="142">
        <f t="shared" si="13"/>
        <v>0</v>
      </c>
      <c r="AF20" s="142">
        <f t="shared" si="14"/>
        <v>0</v>
      </c>
      <c r="AG20" s="142"/>
      <c r="AH20" s="143"/>
      <c r="AI20" s="143">
        <f t="shared" si="15"/>
        <v>0</v>
      </c>
      <c r="AJ20" s="149">
        <f t="shared" si="16"/>
        <v>0</v>
      </c>
      <c r="AK20" s="150">
        <v>13</v>
      </c>
      <c r="AL20" s="151"/>
    </row>
    <row r="21" spans="1:38" s="84" customFormat="1" x14ac:dyDescent="0.2">
      <c r="A21" s="127"/>
      <c r="B21" s="128"/>
      <c r="C21" s="128"/>
      <c r="D21" s="128"/>
      <c r="E21" s="128"/>
      <c r="F21" s="128"/>
      <c r="G21" s="128"/>
      <c r="K21" s="85"/>
      <c r="L21" s="86"/>
      <c r="M21" s="86"/>
      <c r="N21" s="68">
        <f>I21*(SUM(K21:M21))</f>
        <v>0</v>
      </c>
      <c r="O21" s="87"/>
      <c r="P21" s="88"/>
      <c r="Q21" s="88"/>
      <c r="R21" s="88"/>
      <c r="S21" s="89"/>
      <c r="T21" s="88">
        <f>SUM(T8:T20)</f>
        <v>0</v>
      </c>
      <c r="U21" s="89"/>
      <c r="V21" s="89"/>
      <c r="W21" s="89"/>
      <c r="X21" s="88">
        <f>SUM(X8:X20)</f>
        <v>0</v>
      </c>
      <c r="Y21" s="89"/>
      <c r="Z21" s="88">
        <f>SUM(Z8:Z20)</f>
        <v>0</v>
      </c>
      <c r="AA21" s="89"/>
      <c r="AB21" s="156">
        <f t="shared" ref="AB21:AJ21" si="17">SUM(AB8:AB20)</f>
        <v>0</v>
      </c>
      <c r="AC21" s="161">
        <f t="shared" si="17"/>
        <v>0</v>
      </c>
      <c r="AD21" s="161">
        <f t="shared" si="17"/>
        <v>0</v>
      </c>
      <c r="AE21" s="161">
        <f t="shared" si="17"/>
        <v>0</v>
      </c>
      <c r="AF21" s="161">
        <f t="shared" si="17"/>
        <v>0</v>
      </c>
      <c r="AG21" s="161">
        <f t="shared" si="17"/>
        <v>0</v>
      </c>
      <c r="AH21" s="161">
        <f t="shared" si="17"/>
        <v>0</v>
      </c>
      <c r="AI21" s="161">
        <f t="shared" si="17"/>
        <v>0</v>
      </c>
      <c r="AJ21" s="161">
        <f t="shared" si="17"/>
        <v>0</v>
      </c>
      <c r="AK21" s="159"/>
      <c r="AL21" s="160"/>
    </row>
    <row r="22" spans="1:38" x14ac:dyDescent="0.2">
      <c r="B22" s="7"/>
      <c r="C22" s="7"/>
      <c r="D22" s="7"/>
      <c r="E22" s="7"/>
      <c r="F22" s="7"/>
      <c r="G22" s="7"/>
      <c r="H22" s="7"/>
      <c r="I22" s="7"/>
      <c r="K22" s="15"/>
      <c r="L22" s="7"/>
      <c r="M22" s="7"/>
      <c r="N22" s="99"/>
      <c r="O22" s="100"/>
      <c r="P22" s="101"/>
      <c r="Q22" s="101"/>
      <c r="R22" s="101"/>
      <c r="S22" s="102"/>
      <c r="T22" s="101"/>
      <c r="U22" s="102"/>
      <c r="V22" s="102"/>
      <c r="W22" s="102"/>
      <c r="X22" s="101"/>
      <c r="Y22" s="102"/>
      <c r="Z22" s="101"/>
      <c r="AA22" s="102"/>
      <c r="AB22" s="101"/>
      <c r="AC22" s="101"/>
      <c r="AD22" s="144"/>
      <c r="AE22" s="144"/>
      <c r="AF22" s="144"/>
      <c r="AG22" s="144"/>
      <c r="AH22" s="145"/>
      <c r="AI22" s="145"/>
      <c r="AJ22" s="152"/>
      <c r="AK22" s="153"/>
      <c r="AL22" s="154"/>
    </row>
    <row r="23" spans="1:38" x14ac:dyDescent="0.2">
      <c r="B23" s="7"/>
      <c r="C23" s="7"/>
      <c r="D23" s="7"/>
      <c r="E23" s="7"/>
      <c r="F23" s="7"/>
      <c r="G23" s="7"/>
      <c r="H23" s="7"/>
      <c r="I23" s="7"/>
      <c r="K23" s="15"/>
      <c r="L23" s="7"/>
      <c r="M23" s="7"/>
      <c r="N23" s="99"/>
      <c r="O23" s="100"/>
      <c r="P23" s="101"/>
      <c r="Q23" s="101"/>
      <c r="R23" s="101"/>
      <c r="S23" s="102"/>
      <c r="T23" s="101"/>
      <c r="U23" s="102"/>
      <c r="V23" s="102"/>
      <c r="W23" s="102"/>
      <c r="X23" s="101"/>
      <c r="Y23" s="102"/>
      <c r="Z23" s="101"/>
      <c r="AA23" s="102"/>
      <c r="AB23" s="101"/>
      <c r="AC23" s="101"/>
      <c r="AD23" s="144"/>
      <c r="AE23" s="144"/>
      <c r="AF23" s="144"/>
      <c r="AG23" s="144"/>
      <c r="AH23" s="145"/>
      <c r="AI23" s="145"/>
      <c r="AJ23" s="152"/>
      <c r="AK23" s="153"/>
      <c r="AL23" s="154"/>
    </row>
    <row r="24" spans="1:38" x14ac:dyDescent="0.2">
      <c r="B24" s="7"/>
      <c r="C24" s="7"/>
      <c r="D24" s="7"/>
      <c r="E24" s="7"/>
      <c r="F24" s="7"/>
      <c r="G24" s="7"/>
      <c r="H24" s="7"/>
      <c r="I24" s="7"/>
      <c r="K24" s="15"/>
      <c r="L24" s="7"/>
      <c r="M24" s="7"/>
      <c r="N24" s="99"/>
      <c r="O24" s="100"/>
      <c r="P24" s="101"/>
      <c r="Q24" s="101"/>
      <c r="R24" s="101"/>
      <c r="S24" s="102"/>
      <c r="T24" s="101"/>
      <c r="U24" s="102"/>
      <c r="V24" s="102"/>
      <c r="W24" s="102"/>
      <c r="X24" s="101"/>
      <c r="Y24" s="102"/>
      <c r="Z24" s="101"/>
      <c r="AA24" s="102"/>
      <c r="AB24" s="101"/>
      <c r="AC24" s="101"/>
      <c r="AD24" s="144"/>
      <c r="AE24" s="144"/>
      <c r="AF24" s="144"/>
      <c r="AG24" s="144"/>
      <c r="AH24" s="145"/>
      <c r="AI24" s="145"/>
      <c r="AJ24" s="152"/>
      <c r="AK24" s="153"/>
      <c r="AL24" s="154"/>
    </row>
    <row r="25" spans="1:38" x14ac:dyDescent="0.2">
      <c r="B25" s="7"/>
      <c r="C25" s="7"/>
      <c r="D25" s="7"/>
      <c r="E25" s="7"/>
      <c r="F25" s="7"/>
      <c r="G25" s="7"/>
      <c r="H25" s="7"/>
      <c r="I25" s="7"/>
      <c r="K25" s="15"/>
      <c r="L25" s="7"/>
      <c r="M25" s="7"/>
      <c r="N25" s="99"/>
      <c r="O25" s="100"/>
      <c r="P25" s="101"/>
      <c r="Q25" s="101"/>
      <c r="R25" s="101"/>
      <c r="S25" s="102"/>
      <c r="T25" s="101"/>
      <c r="U25" s="102"/>
      <c r="V25" s="102"/>
      <c r="W25" s="102"/>
      <c r="X25" s="101"/>
      <c r="Y25" s="102"/>
      <c r="Z25" s="101"/>
      <c r="AA25" s="102"/>
      <c r="AB25" s="101"/>
      <c r="AC25" s="101"/>
      <c r="AD25" s="144"/>
      <c r="AE25" s="144"/>
      <c r="AF25" s="144"/>
      <c r="AG25" s="144"/>
      <c r="AH25" s="145"/>
      <c r="AI25" s="145"/>
      <c r="AJ25" s="152"/>
      <c r="AK25" s="153"/>
      <c r="AL25" s="154"/>
    </row>
    <row r="26" spans="1:38" x14ac:dyDescent="0.2">
      <c r="B26" s="7"/>
      <c r="C26" s="7"/>
      <c r="D26" s="7"/>
      <c r="E26" s="7"/>
      <c r="F26" s="7"/>
      <c r="G26" s="7"/>
      <c r="H26" s="7"/>
      <c r="I26" s="7"/>
      <c r="K26" s="15"/>
      <c r="L26" s="7"/>
      <c r="M26" s="7"/>
      <c r="AD26" s="144"/>
      <c r="AE26" s="144"/>
      <c r="AF26" s="144"/>
      <c r="AG26" s="144"/>
      <c r="AH26" s="145"/>
      <c r="AI26" s="145"/>
      <c r="AJ26" s="152"/>
      <c r="AK26" s="153"/>
      <c r="AL26" s="154"/>
    </row>
    <row r="27" spans="1:38" ht="19" customHeight="1" x14ac:dyDescent="0.25">
      <c r="B27" s="174" t="s">
        <v>55</v>
      </c>
      <c r="C27" s="175"/>
      <c r="D27" s="175"/>
      <c r="E27" s="175"/>
      <c r="F27" s="175"/>
      <c r="G27" s="175"/>
      <c r="H27" s="175"/>
      <c r="I27" s="175"/>
      <c r="J27" s="175"/>
      <c r="K27" s="175"/>
      <c r="L27" s="175"/>
      <c r="M27" s="175"/>
      <c r="N27" s="175"/>
      <c r="O27" s="176"/>
      <c r="P27" s="175"/>
      <c r="Q27" s="175"/>
      <c r="R27" s="175"/>
      <c r="S27" s="175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144"/>
      <c r="AE27" s="144"/>
      <c r="AF27" s="144"/>
      <c r="AG27" s="144"/>
      <c r="AH27" s="145"/>
      <c r="AI27" s="145"/>
      <c r="AJ27" s="152"/>
      <c r="AK27" s="153"/>
      <c r="AL27" s="154"/>
    </row>
    <row r="28" spans="1:38" ht="14.5" customHeight="1" x14ac:dyDescent="0.25">
      <c r="B28" s="174" t="s">
        <v>56</v>
      </c>
      <c r="C28" s="175"/>
      <c r="D28" s="175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6"/>
      <c r="P28" s="175"/>
      <c r="Q28" s="175"/>
      <c r="R28" s="175"/>
      <c r="S28" s="175"/>
      <c r="T28" s="50"/>
      <c r="U28" s="50"/>
      <c r="V28" s="50"/>
      <c r="W28" s="50"/>
      <c r="X28" s="50"/>
      <c r="Y28" s="50"/>
      <c r="Z28" s="50"/>
      <c r="AA28" s="50"/>
      <c r="AB28" s="50"/>
      <c r="AC28" s="51"/>
      <c r="AD28" s="144"/>
      <c r="AE28" s="144"/>
      <c r="AF28" s="144"/>
      <c r="AG28" s="144"/>
      <c r="AH28" s="145"/>
      <c r="AI28" s="145"/>
      <c r="AJ28" s="152"/>
      <c r="AK28" s="153"/>
      <c r="AL28" s="154"/>
    </row>
    <row r="29" spans="1:38" ht="19" customHeight="1" x14ac:dyDescent="0.25"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2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3"/>
      <c r="AD29" s="144"/>
      <c r="AE29" s="144"/>
      <c r="AF29" s="144"/>
      <c r="AG29" s="144"/>
      <c r="AH29" s="145"/>
      <c r="AI29" s="145"/>
      <c r="AJ29" s="152"/>
      <c r="AK29" s="153"/>
      <c r="AL29" s="154"/>
    </row>
    <row r="30" spans="1:38" ht="19" customHeight="1" x14ac:dyDescent="0.25"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2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3"/>
      <c r="AD30" s="144"/>
      <c r="AE30" s="144"/>
      <c r="AF30" s="144"/>
      <c r="AG30" s="144"/>
      <c r="AH30" s="145"/>
      <c r="AI30" s="145"/>
      <c r="AJ30" s="152"/>
      <c r="AK30" s="153"/>
      <c r="AL30" s="154"/>
    </row>
    <row r="31" spans="1:38" ht="19" customHeight="1" x14ac:dyDescent="0.25"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2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5"/>
      <c r="AD31" s="144"/>
      <c r="AE31" s="144"/>
      <c r="AF31" s="144"/>
      <c r="AG31" s="144"/>
      <c r="AH31" s="145"/>
      <c r="AI31" s="145"/>
      <c r="AJ31" s="152"/>
      <c r="AK31" s="153"/>
      <c r="AL31" s="154"/>
    </row>
    <row r="32" spans="1:38" ht="19" customHeight="1" x14ac:dyDescent="0.25"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2"/>
      <c r="P32" s="50"/>
      <c r="Q32" s="50"/>
      <c r="R32" s="50"/>
      <c r="S32" s="50"/>
      <c r="T32" s="52"/>
      <c r="U32" s="52"/>
      <c r="V32" s="50"/>
      <c r="W32" s="50"/>
      <c r="X32" s="50"/>
      <c r="Y32" s="50"/>
      <c r="Z32" s="50"/>
      <c r="AA32" s="50"/>
      <c r="AB32" s="50"/>
      <c r="AC32" s="50"/>
      <c r="AD32" s="144"/>
      <c r="AE32" s="144"/>
      <c r="AF32" s="144"/>
      <c r="AG32" s="144"/>
      <c r="AH32" s="145"/>
      <c r="AI32" s="145"/>
      <c r="AJ32" s="152"/>
      <c r="AK32" s="153"/>
      <c r="AL32" s="154"/>
    </row>
    <row r="33" spans="2:38" ht="19" customHeight="1" x14ac:dyDescent="0.25">
      <c r="B33" s="199" t="s">
        <v>58</v>
      </c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6"/>
      <c r="P33" s="175"/>
      <c r="Q33" s="175"/>
      <c r="R33" s="175"/>
      <c r="S33" s="175"/>
      <c r="T33" s="56"/>
      <c r="U33" s="56"/>
      <c r="V33" s="56"/>
      <c r="W33" s="56"/>
      <c r="X33" s="50"/>
      <c r="Y33" s="50"/>
      <c r="Z33" s="50"/>
      <c r="AA33" s="50"/>
      <c r="AB33" s="50"/>
      <c r="AC33" s="50"/>
      <c r="AD33" s="144"/>
      <c r="AE33" s="144"/>
      <c r="AF33" s="144"/>
      <c r="AG33" s="144"/>
      <c r="AH33" s="145"/>
      <c r="AI33" s="145"/>
      <c r="AJ33" s="152"/>
      <c r="AK33" s="153"/>
      <c r="AL33" s="154"/>
    </row>
    <row r="34" spans="2:38" ht="19" customHeight="1" x14ac:dyDescent="0.25">
      <c r="B34" s="174" t="s">
        <v>60</v>
      </c>
      <c r="C34" s="175"/>
      <c r="D34" s="175"/>
      <c r="E34" s="175"/>
      <c r="F34" s="175"/>
      <c r="G34" s="175"/>
      <c r="H34" s="175"/>
      <c r="I34" s="175"/>
      <c r="J34" s="175"/>
      <c r="K34" s="175"/>
      <c r="L34" s="175"/>
      <c r="M34" s="175"/>
      <c r="N34" s="175"/>
      <c r="O34" s="176"/>
      <c r="P34" s="175"/>
      <c r="Q34" s="175"/>
      <c r="R34" s="175"/>
      <c r="S34" s="175"/>
      <c r="T34" s="56"/>
      <c r="U34" s="56"/>
      <c r="V34" s="56"/>
      <c r="W34" s="56"/>
      <c r="X34" s="50"/>
      <c r="Y34" s="50"/>
      <c r="Z34" s="50"/>
      <c r="AA34" s="50"/>
      <c r="AB34" s="50"/>
      <c r="AC34" s="50"/>
      <c r="AD34" s="144"/>
      <c r="AE34" s="144"/>
      <c r="AF34" s="144"/>
      <c r="AG34" s="144"/>
      <c r="AH34" s="145"/>
      <c r="AI34" s="145"/>
      <c r="AJ34" s="152"/>
      <c r="AK34" s="153"/>
      <c r="AL34" s="154"/>
    </row>
    <row r="35" spans="2:38" x14ac:dyDescent="0.2">
      <c r="X35" s="7"/>
      <c r="Y35" s="7"/>
      <c r="Z35" s="7"/>
      <c r="AA35" s="7"/>
      <c r="AB35" s="7"/>
      <c r="AC35" s="7"/>
      <c r="AD35" s="144"/>
      <c r="AE35" s="144"/>
      <c r="AF35" s="144"/>
      <c r="AG35" s="144"/>
      <c r="AH35" s="145"/>
      <c r="AI35" s="145"/>
      <c r="AJ35" s="152"/>
      <c r="AK35" s="153"/>
      <c r="AL35" s="154"/>
    </row>
    <row r="36" spans="2:38" x14ac:dyDescent="0.2">
      <c r="V36" s="7"/>
      <c r="W36" s="7"/>
      <c r="X36" s="7"/>
      <c r="Y36" s="7"/>
      <c r="Z36" s="7"/>
      <c r="AA36" s="7"/>
      <c r="AB36" s="7"/>
      <c r="AC36" s="18"/>
    </row>
    <row r="37" spans="2:38" x14ac:dyDescent="0.2">
      <c r="V37" s="7"/>
      <c r="W37" s="7"/>
      <c r="X37" s="7"/>
      <c r="Y37" s="7"/>
      <c r="Z37" s="7"/>
      <c r="AA37" s="7"/>
      <c r="AB37" s="7"/>
      <c r="AC37" s="18"/>
    </row>
    <row r="38" spans="2:38" x14ac:dyDescent="0.2">
      <c r="V38" s="7"/>
      <c r="W38" s="7"/>
      <c r="X38" s="7"/>
      <c r="Y38" s="7"/>
      <c r="Z38" s="7"/>
      <c r="AA38" s="7"/>
      <c r="AB38" s="7"/>
      <c r="AC38" s="19"/>
    </row>
    <row r="39" spans="2:38" x14ac:dyDescent="0.2">
      <c r="V39" s="7"/>
      <c r="W39" s="7"/>
      <c r="X39" s="7"/>
      <c r="Y39" s="7"/>
      <c r="Z39" s="7"/>
      <c r="AA39" s="7"/>
      <c r="AB39" s="7"/>
      <c r="AC39" s="18"/>
    </row>
    <row r="40" spans="2:38" x14ac:dyDescent="0.2">
      <c r="V40" s="7"/>
      <c r="W40" s="7"/>
      <c r="X40" s="7"/>
      <c r="Y40" s="7"/>
      <c r="Z40" s="7"/>
      <c r="AA40" s="7"/>
      <c r="AB40" s="7"/>
      <c r="AC40" s="18"/>
    </row>
    <row r="41" spans="2:38" x14ac:dyDescent="0.2">
      <c r="V41" s="7"/>
      <c r="W41" s="7"/>
      <c r="X41" s="7"/>
      <c r="Y41" s="7"/>
      <c r="Z41" s="7"/>
      <c r="AA41" s="7"/>
      <c r="AB41" s="7"/>
      <c r="AC41" s="7"/>
    </row>
    <row r="42" spans="2:38" x14ac:dyDescent="0.2">
      <c r="T42" s="20"/>
      <c r="V42" s="7"/>
      <c r="W42" s="7"/>
      <c r="X42" s="20"/>
      <c r="Y42" s="7"/>
      <c r="Z42" s="20"/>
      <c r="AA42" s="7"/>
      <c r="AB42" s="20"/>
      <c r="AC42" s="20"/>
    </row>
    <row r="43" spans="2:38" x14ac:dyDescent="0.2">
      <c r="T43" s="21"/>
      <c r="U43" s="21"/>
      <c r="V43" s="18"/>
      <c r="W43" s="18"/>
      <c r="X43" s="18"/>
      <c r="Y43" s="18"/>
      <c r="Z43" s="18"/>
      <c r="AA43" s="18"/>
      <c r="AB43" s="18"/>
      <c r="AC43" s="18"/>
    </row>
    <row r="44" spans="2:38" x14ac:dyDescent="0.2">
      <c r="T44" s="21"/>
      <c r="U44" s="21"/>
      <c r="V44" s="18"/>
      <c r="W44" s="18"/>
      <c r="X44" s="21"/>
      <c r="Y44" s="18"/>
      <c r="Z44" s="21"/>
      <c r="AA44" s="18"/>
      <c r="AB44" s="21"/>
      <c r="AC44" s="21"/>
    </row>
    <row r="45" spans="2:38" x14ac:dyDescent="0.2">
      <c r="T45" s="21"/>
      <c r="U45" s="22"/>
      <c r="V45" s="23"/>
      <c r="W45" s="23"/>
      <c r="X45" s="21"/>
      <c r="Y45" s="23"/>
      <c r="Z45" s="21"/>
      <c r="AA45" s="23"/>
      <c r="AB45" s="21"/>
      <c r="AC45" s="21"/>
    </row>
    <row r="46" spans="2:38" x14ac:dyDescent="0.2">
      <c r="T46" s="22"/>
      <c r="U46" s="22"/>
      <c r="V46" s="23"/>
      <c r="W46" s="23"/>
      <c r="X46" s="23"/>
      <c r="Y46" s="23"/>
      <c r="Z46" s="23"/>
      <c r="AA46" s="23"/>
      <c r="AB46" s="23"/>
      <c r="AC46" s="23"/>
    </row>
    <row r="47" spans="2:38" x14ac:dyDescent="0.2">
      <c r="T47" s="22"/>
      <c r="U47" s="22"/>
      <c r="V47" s="23"/>
      <c r="W47" s="23"/>
      <c r="X47" s="23"/>
      <c r="Y47" s="23"/>
      <c r="Z47" s="23"/>
      <c r="AA47" s="23"/>
      <c r="AB47" s="23"/>
      <c r="AC47" s="23"/>
    </row>
    <row r="48" spans="2:38" x14ac:dyDescent="0.2">
      <c r="V48" s="7"/>
      <c r="W48" s="7"/>
      <c r="X48" s="7"/>
      <c r="Y48" s="7"/>
      <c r="Z48" s="7"/>
      <c r="AA48" s="7"/>
      <c r="AB48" s="7"/>
      <c r="AC48" s="7"/>
    </row>
    <row r="49" spans="22:29" x14ac:dyDescent="0.2">
      <c r="V49" s="7"/>
      <c r="W49" s="7"/>
      <c r="X49" s="7"/>
      <c r="Y49" s="7"/>
      <c r="Z49" s="7"/>
      <c r="AA49" s="7"/>
      <c r="AB49" s="7"/>
      <c r="AC49" s="7"/>
    </row>
    <row r="50" spans="22:29" x14ac:dyDescent="0.2">
      <c r="V50" s="7"/>
      <c r="W50" s="7"/>
      <c r="X50" s="7"/>
      <c r="Y50" s="7"/>
      <c r="Z50" s="7"/>
      <c r="AA50" s="7"/>
      <c r="AB50" s="7"/>
      <c r="AC50" s="7"/>
    </row>
    <row r="51" spans="22:29" x14ac:dyDescent="0.2">
      <c r="V51" s="7"/>
      <c r="W51" s="7"/>
      <c r="X51" s="7"/>
      <c r="Y51" s="7"/>
      <c r="Z51" s="7"/>
      <c r="AA51" s="7"/>
      <c r="AB51" s="7"/>
      <c r="AC51" s="7"/>
    </row>
    <row r="52" spans="22:29" x14ac:dyDescent="0.2">
      <c r="V52" s="7"/>
      <c r="W52" s="7"/>
      <c r="X52" s="7"/>
      <c r="Y52" s="7"/>
      <c r="Z52" s="7"/>
      <c r="AA52" s="7"/>
      <c r="AB52" s="7"/>
      <c r="AC52" s="7"/>
    </row>
    <row r="53" spans="22:29" x14ac:dyDescent="0.2">
      <c r="V53" s="7"/>
      <c r="W53" s="7"/>
      <c r="X53" s="7"/>
      <c r="Y53" s="7"/>
      <c r="Z53" s="7"/>
      <c r="AA53" s="7"/>
      <c r="AB53" s="7"/>
      <c r="AC53" s="7"/>
    </row>
    <row r="54" spans="22:29" x14ac:dyDescent="0.2">
      <c r="V54" s="7"/>
      <c r="W54" s="7"/>
      <c r="X54" s="7"/>
      <c r="Y54" s="7"/>
      <c r="Z54" s="7"/>
      <c r="AA54" s="7"/>
      <c r="AB54" s="7"/>
      <c r="AC54" s="7"/>
    </row>
    <row r="55" spans="22:29" x14ac:dyDescent="0.2">
      <c r="V55" s="7"/>
      <c r="W55" s="7"/>
      <c r="X55" s="7"/>
      <c r="Y55" s="7"/>
      <c r="Z55" s="7"/>
      <c r="AA55" s="7"/>
      <c r="AB55" s="7"/>
      <c r="AC55" s="7"/>
    </row>
    <row r="56" spans="22:29" x14ac:dyDescent="0.2">
      <c r="V56" s="7"/>
      <c r="W56" s="7"/>
      <c r="X56" s="7"/>
      <c r="Y56" s="7"/>
      <c r="Z56" s="7"/>
      <c r="AA56" s="7"/>
      <c r="AB56" s="7"/>
      <c r="AC56" s="7"/>
    </row>
    <row r="57" spans="22:29" x14ac:dyDescent="0.2">
      <c r="V57" s="7"/>
      <c r="W57" s="7"/>
      <c r="X57" s="7"/>
      <c r="Y57" s="7"/>
      <c r="Z57" s="7"/>
      <c r="AA57" s="7"/>
      <c r="AB57" s="7"/>
      <c r="AC57" s="7"/>
    </row>
    <row r="58" spans="22:29" x14ac:dyDescent="0.2">
      <c r="V58" s="7"/>
      <c r="W58" s="7"/>
      <c r="X58" s="7"/>
      <c r="Y58" s="7"/>
      <c r="Z58" s="7"/>
      <c r="AA58" s="7"/>
      <c r="AB58" s="7"/>
      <c r="AC58" s="7"/>
    </row>
    <row r="59" spans="22:29" x14ac:dyDescent="0.2">
      <c r="V59" s="7"/>
      <c r="W59" s="7"/>
      <c r="X59" s="7"/>
      <c r="Y59" s="7"/>
      <c r="Z59" s="7"/>
      <c r="AA59" s="7"/>
      <c r="AB59" s="7"/>
      <c r="AC59" s="7"/>
    </row>
    <row r="60" spans="22:29" x14ac:dyDescent="0.2">
      <c r="V60" s="7"/>
      <c r="W60" s="7"/>
      <c r="X60" s="7"/>
      <c r="Y60" s="7"/>
      <c r="Z60" s="7"/>
      <c r="AA60" s="7"/>
      <c r="AB60" s="7"/>
      <c r="AC60" s="7"/>
    </row>
    <row r="61" spans="22:29" x14ac:dyDescent="0.2">
      <c r="V61" s="7"/>
      <c r="W61" s="7"/>
      <c r="X61" s="7"/>
      <c r="Y61" s="7"/>
      <c r="Z61" s="7"/>
      <c r="AA61" s="7"/>
      <c r="AB61" s="7"/>
      <c r="AC61" s="7"/>
    </row>
  </sheetData>
  <mergeCells count="44">
    <mergeCell ref="AK5:AL7"/>
    <mergeCell ref="A3:AC3"/>
    <mergeCell ref="AC6:AC7"/>
    <mergeCell ref="L6:L7"/>
    <mergeCell ref="C5:C7"/>
    <mergeCell ref="T6:T7"/>
    <mergeCell ref="E5:E7"/>
    <mergeCell ref="AH5:AH7"/>
    <mergeCell ref="F5:F7"/>
    <mergeCell ref="Z6:Z7"/>
    <mergeCell ref="AB6:AB7"/>
    <mergeCell ref="U6:W6"/>
    <mergeCell ref="N5:N7"/>
    <mergeCell ref="S5:AC5"/>
    <mergeCell ref="K6:K7"/>
    <mergeCell ref="O6:O7"/>
    <mergeCell ref="A1:AC1"/>
    <mergeCell ref="R5:R7"/>
    <mergeCell ref="B34:S34"/>
    <mergeCell ref="B28:S28"/>
    <mergeCell ref="M6:M7"/>
    <mergeCell ref="Q6:Q7"/>
    <mergeCell ref="H5:H7"/>
    <mergeCell ref="J5:M5"/>
    <mergeCell ref="Y6:Y7"/>
    <mergeCell ref="B33:S33"/>
    <mergeCell ref="A2:AC2"/>
    <mergeCell ref="B27:S27"/>
    <mergeCell ref="A5:A7"/>
    <mergeCell ref="AJ5:AJ7"/>
    <mergeCell ref="G5:G7"/>
    <mergeCell ref="B5:B7"/>
    <mergeCell ref="X6:X7"/>
    <mergeCell ref="AE5:AE7"/>
    <mergeCell ref="AG5:AG7"/>
    <mergeCell ref="AI5:AI7"/>
    <mergeCell ref="AD5:AD7"/>
    <mergeCell ref="AF5:AF7"/>
    <mergeCell ref="I5:I7"/>
    <mergeCell ref="O5:Q5"/>
    <mergeCell ref="D5:D7"/>
    <mergeCell ref="J6:J7"/>
    <mergeCell ref="P6:P7"/>
    <mergeCell ref="AA6:AA7"/>
  </mergeCells>
  <pageMargins left="0.25" right="0.25" top="0.75" bottom="0.75" header="0.3" footer="0.3"/>
  <pageSetup paperSize="14" scale="49" orientation="landscape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L60"/>
  <sheetViews>
    <sheetView topLeftCell="C1" zoomScale="77" zoomScaleNormal="77" workbookViewId="0">
      <selection activeCell="R4" sqref="R1:R1048576"/>
    </sheetView>
  </sheetViews>
  <sheetFormatPr baseColWidth="10" defaultColWidth="8.83203125" defaultRowHeight="16" x14ac:dyDescent="0.2"/>
  <cols>
    <col min="1" max="1" width="4.5" style="3" customWidth="1"/>
    <col min="2" max="2" width="20.6640625" customWidth="1"/>
    <col min="3" max="3" width="20.1640625" customWidth="1"/>
    <col min="4" max="4" width="16.6640625" customWidth="1"/>
    <col min="5" max="5" width="18.83203125" customWidth="1"/>
    <col min="6" max="6" width="17.1640625" customWidth="1"/>
    <col min="7" max="7" width="7.16406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0.5" customWidth="1"/>
    <col min="20" max="20" width="11.83203125" customWidth="1"/>
    <col min="21" max="22" width="10.6640625" customWidth="1"/>
    <col min="23" max="23" width="10.5" customWidth="1"/>
    <col min="24" max="24" width="12.33203125" customWidth="1"/>
    <col min="25" max="25" width="10.83203125" customWidth="1"/>
    <col min="26" max="26" width="11.6640625" customWidth="1"/>
    <col min="27" max="28" width="10.1640625" customWidth="1"/>
    <col min="29" max="29" width="18.5" customWidth="1"/>
    <col min="30" max="30" width="18.33203125" customWidth="1"/>
    <col min="31" max="31" width="17.33203125" customWidth="1"/>
    <col min="32" max="32" width="16" customWidth="1"/>
    <col min="33" max="33" width="17.33203125" customWidth="1"/>
    <col min="34" max="34" width="14" customWidth="1"/>
    <col min="35" max="35" width="13.6640625" customWidth="1"/>
    <col min="36" max="36" width="16" customWidth="1"/>
  </cols>
  <sheetData>
    <row r="1" spans="1:38" ht="28" customHeight="1" x14ac:dyDescent="0.2">
      <c r="A1" s="188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6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"/>
    </row>
    <row r="2" spans="1:38" ht="28" customHeight="1" x14ac:dyDescent="0.2">
      <c r="A2" s="188" t="s">
        <v>1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  <c r="L2" s="175"/>
      <c r="M2" s="175"/>
      <c r="N2" s="175"/>
      <c r="O2" s="176"/>
      <c r="P2" s="175"/>
      <c r="Q2" s="175"/>
      <c r="R2" s="175"/>
      <c r="S2" s="175"/>
      <c r="T2" s="175"/>
      <c r="U2" s="175"/>
      <c r="V2" s="175"/>
      <c r="W2" s="175"/>
      <c r="X2" s="175"/>
      <c r="Y2" s="175"/>
      <c r="Z2" s="175"/>
      <c r="AA2" s="175"/>
      <c r="AB2" s="175"/>
      <c r="AC2" s="175"/>
      <c r="AD2" s="2"/>
    </row>
    <row r="3" spans="1:38" ht="28" customHeight="1" x14ac:dyDescent="0.2">
      <c r="A3" s="221" t="s">
        <v>87</v>
      </c>
      <c r="B3" s="175"/>
      <c r="C3" s="175"/>
      <c r="D3" s="175"/>
      <c r="E3" s="175"/>
      <c r="F3" s="175"/>
      <c r="G3" s="175"/>
      <c r="H3" s="175"/>
      <c r="I3" s="175"/>
      <c r="J3" s="175"/>
      <c r="K3" s="175"/>
      <c r="L3" s="175"/>
      <c r="M3" s="175"/>
      <c r="N3" s="175"/>
      <c r="O3" s="176"/>
      <c r="P3" s="175"/>
      <c r="Q3" s="175"/>
      <c r="R3" s="175"/>
      <c r="S3" s="175"/>
      <c r="T3" s="175"/>
      <c r="U3" s="175"/>
      <c r="V3" s="175"/>
      <c r="W3" s="175"/>
      <c r="X3" s="175"/>
      <c r="Y3" s="175"/>
      <c r="Z3" s="175"/>
      <c r="AA3" s="175"/>
      <c r="AB3" s="175"/>
      <c r="AC3" s="175"/>
      <c r="AD3" s="2"/>
    </row>
    <row r="4" spans="1:38" x14ac:dyDescent="0.2">
      <c r="D4" t="s">
        <v>3</v>
      </c>
    </row>
    <row r="5" spans="1:38" x14ac:dyDescent="0.2">
      <c r="A5" s="211" t="s">
        <v>4</v>
      </c>
      <c r="B5" s="211" t="s">
        <v>5</v>
      </c>
      <c r="C5" s="216" t="s">
        <v>6</v>
      </c>
      <c r="D5" s="207" t="s">
        <v>7</v>
      </c>
      <c r="E5" s="211" t="s">
        <v>8</v>
      </c>
      <c r="F5" s="218" t="s">
        <v>9</v>
      </c>
      <c r="G5" s="211" t="s">
        <v>10</v>
      </c>
      <c r="H5" s="214" t="s">
        <v>11</v>
      </c>
      <c r="I5" s="205" t="s">
        <v>12</v>
      </c>
      <c r="J5" s="205" t="s">
        <v>13</v>
      </c>
      <c r="K5" s="172"/>
      <c r="L5" s="172"/>
      <c r="M5" s="173"/>
      <c r="N5" s="208" t="s">
        <v>14</v>
      </c>
      <c r="O5" s="206" t="s">
        <v>15</v>
      </c>
      <c r="P5" s="172"/>
      <c r="Q5" s="173"/>
      <c r="R5" s="213" t="s">
        <v>16</v>
      </c>
      <c r="S5" s="220" t="s">
        <v>64</v>
      </c>
      <c r="T5" s="172"/>
      <c r="U5" s="172"/>
      <c r="V5" s="172"/>
      <c r="W5" s="172"/>
      <c r="X5" s="172"/>
      <c r="Y5" s="172"/>
      <c r="Z5" s="172"/>
      <c r="AA5" s="172"/>
      <c r="AB5" s="172"/>
      <c r="AC5" s="173"/>
      <c r="AD5" s="186" t="s">
        <v>17</v>
      </c>
      <c r="AE5" s="186" t="s">
        <v>18</v>
      </c>
      <c r="AF5" s="165" t="s">
        <v>19</v>
      </c>
      <c r="AG5" s="190" t="s">
        <v>20</v>
      </c>
      <c r="AH5" s="190" t="s">
        <v>21</v>
      </c>
      <c r="AI5" s="190" t="s">
        <v>22</v>
      </c>
      <c r="AJ5" s="181" t="s">
        <v>23</v>
      </c>
      <c r="AK5" s="192" t="s">
        <v>24</v>
      </c>
      <c r="AL5" s="193"/>
    </row>
    <row r="6" spans="1:38" ht="14.5" customHeight="1" x14ac:dyDescent="0.2">
      <c r="A6" s="169"/>
      <c r="B6" s="169"/>
      <c r="C6" s="169"/>
      <c r="D6" s="169"/>
      <c r="E6" s="169"/>
      <c r="F6" s="169"/>
      <c r="G6" s="169"/>
      <c r="H6" s="169"/>
      <c r="I6" s="169"/>
      <c r="J6" s="208" t="s">
        <v>25</v>
      </c>
      <c r="K6" s="208" t="s">
        <v>26</v>
      </c>
      <c r="L6" s="208" t="s">
        <v>27</v>
      </c>
      <c r="M6" s="208" t="s">
        <v>28</v>
      </c>
      <c r="N6" s="169"/>
      <c r="O6" s="209" t="s">
        <v>29</v>
      </c>
      <c r="P6" s="209" t="s">
        <v>30</v>
      </c>
      <c r="Q6" s="209" t="s">
        <v>31</v>
      </c>
      <c r="R6" s="169"/>
      <c r="S6" s="138"/>
      <c r="T6" s="217" t="s">
        <v>32</v>
      </c>
      <c r="U6" s="219" t="s">
        <v>26</v>
      </c>
      <c r="V6" s="172"/>
      <c r="W6" s="173"/>
      <c r="X6" s="212" t="s">
        <v>33</v>
      </c>
      <c r="Y6" s="215" t="s">
        <v>27</v>
      </c>
      <c r="Z6" s="215" t="s">
        <v>34</v>
      </c>
      <c r="AA6" s="210" t="s">
        <v>28</v>
      </c>
      <c r="AB6" s="210" t="s">
        <v>35</v>
      </c>
      <c r="AC6" s="202" t="s">
        <v>36</v>
      </c>
      <c r="AD6" s="166"/>
      <c r="AE6" s="166"/>
      <c r="AF6" s="166"/>
      <c r="AG6" s="166"/>
      <c r="AH6" s="166"/>
      <c r="AI6" s="166"/>
      <c r="AJ6" s="182"/>
      <c r="AK6" s="194"/>
      <c r="AL6" s="195"/>
    </row>
    <row r="7" spans="1:38" ht="34" customHeight="1" x14ac:dyDescent="0.2">
      <c r="A7" s="170"/>
      <c r="B7" s="170"/>
      <c r="C7" s="169"/>
      <c r="D7" s="169"/>
      <c r="E7" s="170"/>
      <c r="F7" s="170"/>
      <c r="G7" s="170"/>
      <c r="H7" s="170"/>
      <c r="I7" s="170"/>
      <c r="J7" s="169"/>
      <c r="K7" s="169"/>
      <c r="L7" s="169"/>
      <c r="M7" s="169"/>
      <c r="N7" s="169"/>
      <c r="O7" s="169"/>
      <c r="P7" s="169"/>
      <c r="Q7" s="169"/>
      <c r="R7" s="170"/>
      <c r="S7" s="138" t="s">
        <v>25</v>
      </c>
      <c r="T7" s="170"/>
      <c r="U7" s="4" t="s">
        <v>38</v>
      </c>
      <c r="V7" s="4" t="s">
        <v>39</v>
      </c>
      <c r="W7" s="4" t="s">
        <v>40</v>
      </c>
      <c r="X7" s="170"/>
      <c r="Y7" s="170"/>
      <c r="Z7" s="170"/>
      <c r="AA7" s="170"/>
      <c r="AB7" s="170"/>
      <c r="AC7" s="170"/>
      <c r="AD7" s="167"/>
      <c r="AE7" s="167"/>
      <c r="AF7" s="167"/>
      <c r="AG7" s="167"/>
      <c r="AH7" s="167"/>
      <c r="AI7" s="167"/>
      <c r="AJ7" s="183"/>
      <c r="AK7" s="196"/>
      <c r="AL7" s="197"/>
    </row>
    <row r="8" spans="1:38" s="84" customFormat="1" ht="45" customHeight="1" x14ac:dyDescent="0.2">
      <c r="A8" s="124" t="s">
        <v>41</v>
      </c>
      <c r="B8" s="60"/>
      <c r="C8" s="76"/>
      <c r="D8" s="77"/>
      <c r="E8" s="77"/>
      <c r="F8" s="78"/>
      <c r="G8" s="78"/>
      <c r="H8" s="79"/>
      <c r="I8" s="64"/>
      <c r="J8" s="65"/>
      <c r="K8" s="66"/>
      <c r="L8" s="67"/>
      <c r="M8" s="67"/>
      <c r="N8" s="68">
        <f t="shared" ref="N8:N19" si="0">ROUND(I8*(SUM(J8:M8)),0)</f>
        <v>0</v>
      </c>
      <c r="O8" s="69"/>
      <c r="P8" s="70"/>
      <c r="Q8" s="70"/>
      <c r="R8" s="71"/>
      <c r="S8" s="68">
        <f t="shared" ref="S8:S19" si="1">I8*J8</f>
        <v>0</v>
      </c>
      <c r="T8" s="68">
        <f t="shared" ref="T8:T19" si="2">SUM(S8:S8)</f>
        <v>0</v>
      </c>
      <c r="U8" s="68">
        <f t="shared" ref="U8:U19" si="3">I8*K8*40%*O8</f>
        <v>0</v>
      </c>
      <c r="V8" s="68">
        <f t="shared" ref="V8:V19" si="4">IF(P8&gt;=6750,(I8*K8*40%),0)</f>
        <v>0</v>
      </c>
      <c r="W8" s="68">
        <f t="shared" ref="W8:W19" si="5">IF(P8&lt;6750,0,IF(Q8="",0,IF(OR(Q8="KURANG",Q8="SANGAT KURANG"),I8*K8*10%,I8*K8*20%)))</f>
        <v>0</v>
      </c>
      <c r="X8" s="68">
        <f t="shared" ref="X8:X19" si="6">SUM(U8:W8)</f>
        <v>0</v>
      </c>
      <c r="Y8" s="68">
        <f t="shared" ref="Y8:Y19" si="7">I8*L8</f>
        <v>0</v>
      </c>
      <c r="Z8" s="68">
        <f t="shared" ref="Z8:Z19" si="8">Y8</f>
        <v>0</v>
      </c>
      <c r="AA8" s="68">
        <f t="shared" ref="AA8:AA19" si="9">I8*M8</f>
        <v>0</v>
      </c>
      <c r="AB8" s="68">
        <f t="shared" ref="AB8:AB19" si="10">AA8</f>
        <v>0</v>
      </c>
      <c r="AC8" s="72">
        <f t="shared" ref="AC8:AC19" si="11">ROUND((T8+X8+Z8+AB8),0)</f>
        <v>0</v>
      </c>
      <c r="AD8" s="140">
        <f t="shared" ref="AD8:AD19" si="12">AG8</f>
        <v>0</v>
      </c>
      <c r="AE8" s="140">
        <f t="shared" ref="AE8:AE19" si="13">AI8</f>
        <v>0</v>
      </c>
      <c r="AF8" s="140">
        <f t="shared" ref="AF8:AF19" si="14">AC8+AD8+AE8</f>
        <v>0</v>
      </c>
      <c r="AG8" s="140"/>
      <c r="AH8" s="141"/>
      <c r="AI8" s="141">
        <f t="shared" ref="AI8:AI19" si="15">AH8*4</f>
        <v>0</v>
      </c>
      <c r="AJ8" s="146">
        <f t="shared" ref="AJ8:AJ19" si="16">AF8-AG8-AH8-AI8</f>
        <v>0</v>
      </c>
      <c r="AK8" s="147">
        <v>1</v>
      </c>
      <c r="AL8" s="148"/>
    </row>
    <row r="9" spans="1:38" s="84" customFormat="1" ht="45" customHeight="1" x14ac:dyDescent="0.2">
      <c r="A9" s="124" t="s">
        <v>42</v>
      </c>
      <c r="B9" s="60"/>
      <c r="C9" s="76"/>
      <c r="D9" s="77"/>
      <c r="E9" s="77"/>
      <c r="F9" s="78"/>
      <c r="G9" s="78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si="1"/>
        <v>0</v>
      </c>
      <c r="T9" s="68">
        <f t="shared" si="2"/>
        <v>0</v>
      </c>
      <c r="U9" s="68">
        <f t="shared" si="3"/>
        <v>0</v>
      </c>
      <c r="V9" s="68">
        <f t="shared" si="4"/>
        <v>0</v>
      </c>
      <c r="W9" s="68">
        <f t="shared" si="5"/>
        <v>0</v>
      </c>
      <c r="X9" s="68">
        <f t="shared" si="6"/>
        <v>0</v>
      </c>
      <c r="Y9" s="68">
        <f t="shared" si="7"/>
        <v>0</v>
      </c>
      <c r="Z9" s="68">
        <f t="shared" si="8"/>
        <v>0</v>
      </c>
      <c r="AA9" s="68">
        <f t="shared" si="9"/>
        <v>0</v>
      </c>
      <c r="AB9" s="68">
        <f t="shared" si="10"/>
        <v>0</v>
      </c>
      <c r="AC9" s="72">
        <f t="shared" si="11"/>
        <v>0</v>
      </c>
      <c r="AD9" s="140">
        <f t="shared" si="12"/>
        <v>0</v>
      </c>
      <c r="AE9" s="140">
        <f t="shared" si="13"/>
        <v>0</v>
      </c>
      <c r="AF9" s="140">
        <f t="shared" si="14"/>
        <v>0</v>
      </c>
      <c r="AG9" s="140"/>
      <c r="AH9" s="141"/>
      <c r="AI9" s="141">
        <f t="shared" si="15"/>
        <v>0</v>
      </c>
      <c r="AJ9" s="146">
        <f t="shared" si="16"/>
        <v>0</v>
      </c>
      <c r="AK9" s="147">
        <v>2</v>
      </c>
      <c r="AL9" s="148"/>
    </row>
    <row r="10" spans="1:38" s="84" customFormat="1" ht="45" customHeight="1" x14ac:dyDescent="0.2">
      <c r="A10" s="124" t="s">
        <v>43</v>
      </c>
      <c r="B10" s="60"/>
      <c r="C10" s="76"/>
      <c r="D10" s="77"/>
      <c r="E10" s="77"/>
      <c r="F10" s="78"/>
      <c r="G10" s="78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1"/>
        <v>0</v>
      </c>
      <c r="T10" s="68">
        <f t="shared" si="2"/>
        <v>0</v>
      </c>
      <c r="U10" s="68">
        <f t="shared" si="3"/>
        <v>0</v>
      </c>
      <c r="V10" s="68">
        <f t="shared" si="4"/>
        <v>0</v>
      </c>
      <c r="W10" s="68">
        <f t="shared" si="5"/>
        <v>0</v>
      </c>
      <c r="X10" s="68">
        <f t="shared" si="6"/>
        <v>0</v>
      </c>
      <c r="Y10" s="68">
        <f t="shared" si="7"/>
        <v>0</v>
      </c>
      <c r="Z10" s="68">
        <f t="shared" si="8"/>
        <v>0</v>
      </c>
      <c r="AA10" s="68">
        <f t="shared" si="9"/>
        <v>0</v>
      </c>
      <c r="AB10" s="68">
        <f t="shared" si="10"/>
        <v>0</v>
      </c>
      <c r="AC10" s="72">
        <f t="shared" si="11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s="84" customFormat="1" ht="45" customHeight="1" x14ac:dyDescent="0.2">
      <c r="A11" s="124" t="s">
        <v>44</v>
      </c>
      <c r="B11" s="60"/>
      <c r="C11" s="76"/>
      <c r="D11" s="77"/>
      <c r="E11" s="77"/>
      <c r="F11" s="78"/>
      <c r="G11" s="78"/>
      <c r="H11" s="79"/>
      <c r="I11" s="64"/>
      <c r="J11" s="65"/>
      <c r="K11" s="66"/>
      <c r="L11" s="67"/>
      <c r="M11" s="67"/>
      <c r="N11" s="68">
        <f t="shared" si="0"/>
        <v>0</v>
      </c>
      <c r="O11" s="69"/>
      <c r="P11" s="70"/>
      <c r="Q11" s="70"/>
      <c r="R11" s="71"/>
      <c r="S11" s="68">
        <f t="shared" si="1"/>
        <v>0</v>
      </c>
      <c r="T11" s="68">
        <f t="shared" si="2"/>
        <v>0</v>
      </c>
      <c r="U11" s="68">
        <f t="shared" si="3"/>
        <v>0</v>
      </c>
      <c r="V11" s="68">
        <f t="shared" si="4"/>
        <v>0</v>
      </c>
      <c r="W11" s="68">
        <f t="shared" si="5"/>
        <v>0</v>
      </c>
      <c r="X11" s="68">
        <f t="shared" si="6"/>
        <v>0</v>
      </c>
      <c r="Y11" s="68">
        <f t="shared" si="7"/>
        <v>0</v>
      </c>
      <c r="Z11" s="68">
        <f t="shared" si="8"/>
        <v>0</v>
      </c>
      <c r="AA11" s="68">
        <f t="shared" si="9"/>
        <v>0</v>
      </c>
      <c r="AB11" s="68">
        <f t="shared" si="10"/>
        <v>0</v>
      </c>
      <c r="AC11" s="72">
        <f t="shared" si="11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s="84" customFormat="1" ht="45" customHeight="1" x14ac:dyDescent="0.2">
      <c r="A12" s="124" t="s">
        <v>45</v>
      </c>
      <c r="B12" s="60"/>
      <c r="C12" s="76"/>
      <c r="D12" s="77"/>
      <c r="E12" s="77"/>
      <c r="F12" s="78"/>
      <c r="G12" s="62"/>
      <c r="H12" s="63"/>
      <c r="I12" s="64"/>
      <c r="J12" s="65"/>
      <c r="K12" s="66"/>
      <c r="L12" s="104"/>
      <c r="M12" s="67"/>
      <c r="N12" s="68">
        <f t="shared" si="0"/>
        <v>0</v>
      </c>
      <c r="O12" s="69"/>
      <c r="P12" s="70"/>
      <c r="Q12" s="70"/>
      <c r="R12" s="71"/>
      <c r="S12" s="68">
        <f t="shared" si="1"/>
        <v>0</v>
      </c>
      <c r="T12" s="68">
        <f t="shared" si="2"/>
        <v>0</v>
      </c>
      <c r="U12" s="68">
        <f t="shared" si="3"/>
        <v>0</v>
      </c>
      <c r="V12" s="68">
        <f t="shared" si="4"/>
        <v>0</v>
      </c>
      <c r="W12" s="68">
        <f t="shared" si="5"/>
        <v>0</v>
      </c>
      <c r="X12" s="68">
        <f t="shared" si="6"/>
        <v>0</v>
      </c>
      <c r="Y12" s="68">
        <f t="shared" si="7"/>
        <v>0</v>
      </c>
      <c r="Z12" s="68">
        <f t="shared" si="8"/>
        <v>0</v>
      </c>
      <c r="AA12" s="68">
        <f t="shared" si="9"/>
        <v>0</v>
      </c>
      <c r="AB12" s="68">
        <f t="shared" si="10"/>
        <v>0</v>
      </c>
      <c r="AC12" s="72">
        <f t="shared" si="11"/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s="84" customFormat="1" ht="45" customHeight="1" x14ac:dyDescent="0.2">
      <c r="A13" s="124" t="s">
        <v>46</v>
      </c>
      <c r="B13" s="60"/>
      <c r="C13" s="76"/>
      <c r="D13" s="77"/>
      <c r="E13" s="77"/>
      <c r="F13" s="78"/>
      <c r="G13" s="62"/>
      <c r="H13" s="63"/>
      <c r="I13" s="64"/>
      <c r="J13" s="65"/>
      <c r="K13" s="66"/>
      <c r="L13" s="104"/>
      <c r="M13" s="67"/>
      <c r="N13" s="68">
        <f t="shared" si="0"/>
        <v>0</v>
      </c>
      <c r="O13" s="69"/>
      <c r="P13" s="70"/>
      <c r="Q13" s="70"/>
      <c r="R13" s="71"/>
      <c r="S13" s="68">
        <f t="shared" si="1"/>
        <v>0</v>
      </c>
      <c r="T13" s="68">
        <f t="shared" si="2"/>
        <v>0</v>
      </c>
      <c r="U13" s="68">
        <f t="shared" si="3"/>
        <v>0</v>
      </c>
      <c r="V13" s="68">
        <f t="shared" si="4"/>
        <v>0</v>
      </c>
      <c r="W13" s="68">
        <f t="shared" si="5"/>
        <v>0</v>
      </c>
      <c r="X13" s="68">
        <f t="shared" si="6"/>
        <v>0</v>
      </c>
      <c r="Y13" s="68">
        <f t="shared" si="7"/>
        <v>0</v>
      </c>
      <c r="Z13" s="68">
        <f t="shared" si="8"/>
        <v>0</v>
      </c>
      <c r="AA13" s="68">
        <f t="shared" si="9"/>
        <v>0</v>
      </c>
      <c r="AB13" s="68">
        <f t="shared" si="10"/>
        <v>0</v>
      </c>
      <c r="AC13" s="72">
        <f t="shared" si="11"/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s="84" customFormat="1" ht="45" customHeight="1" x14ac:dyDescent="0.2">
      <c r="A14" s="124" t="s">
        <v>47</v>
      </c>
      <c r="B14" s="60"/>
      <c r="C14" s="76"/>
      <c r="D14" s="77"/>
      <c r="E14" s="77"/>
      <c r="F14" s="78"/>
      <c r="G14" s="78"/>
      <c r="H14" s="79"/>
      <c r="I14" s="64"/>
      <c r="J14" s="65"/>
      <c r="K14" s="66"/>
      <c r="L14" s="67"/>
      <c r="M14" s="67"/>
      <c r="N14" s="68">
        <f t="shared" si="0"/>
        <v>0</v>
      </c>
      <c r="O14" s="69"/>
      <c r="P14" s="70"/>
      <c r="Q14" s="70"/>
      <c r="R14" s="71"/>
      <c r="S14" s="68">
        <f t="shared" si="1"/>
        <v>0</v>
      </c>
      <c r="T14" s="68">
        <f t="shared" si="2"/>
        <v>0</v>
      </c>
      <c r="U14" s="68">
        <f t="shared" si="3"/>
        <v>0</v>
      </c>
      <c r="V14" s="68">
        <f t="shared" si="4"/>
        <v>0</v>
      </c>
      <c r="W14" s="68">
        <f t="shared" si="5"/>
        <v>0</v>
      </c>
      <c r="X14" s="68">
        <f t="shared" si="6"/>
        <v>0</v>
      </c>
      <c r="Y14" s="68">
        <f t="shared" si="7"/>
        <v>0</v>
      </c>
      <c r="Z14" s="68">
        <f t="shared" si="8"/>
        <v>0</v>
      </c>
      <c r="AA14" s="68">
        <f t="shared" si="9"/>
        <v>0</v>
      </c>
      <c r="AB14" s="68">
        <f t="shared" si="10"/>
        <v>0</v>
      </c>
      <c r="AC14" s="72">
        <f t="shared" si="11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s="84" customFormat="1" ht="45" customHeight="1" x14ac:dyDescent="0.2">
      <c r="A15" s="124" t="s">
        <v>48</v>
      </c>
      <c r="B15" s="60"/>
      <c r="C15" s="76"/>
      <c r="D15" s="77"/>
      <c r="E15" s="77"/>
      <c r="F15" s="78"/>
      <c r="G15" s="78"/>
      <c r="H15" s="79"/>
      <c r="I15" s="64"/>
      <c r="J15" s="65"/>
      <c r="K15" s="66"/>
      <c r="L15" s="67"/>
      <c r="M15" s="67"/>
      <c r="N15" s="68">
        <f t="shared" si="0"/>
        <v>0</v>
      </c>
      <c r="O15" s="69"/>
      <c r="P15" s="70"/>
      <c r="Q15" s="70"/>
      <c r="R15" s="71"/>
      <c r="S15" s="68">
        <f t="shared" si="1"/>
        <v>0</v>
      </c>
      <c r="T15" s="68">
        <f t="shared" si="2"/>
        <v>0</v>
      </c>
      <c r="U15" s="68">
        <f t="shared" si="3"/>
        <v>0</v>
      </c>
      <c r="V15" s="68">
        <f t="shared" si="4"/>
        <v>0</v>
      </c>
      <c r="W15" s="68">
        <f t="shared" si="5"/>
        <v>0</v>
      </c>
      <c r="X15" s="68">
        <f t="shared" si="6"/>
        <v>0</v>
      </c>
      <c r="Y15" s="68">
        <f t="shared" si="7"/>
        <v>0</v>
      </c>
      <c r="Z15" s="68">
        <f t="shared" si="8"/>
        <v>0</v>
      </c>
      <c r="AA15" s="68">
        <f t="shared" si="9"/>
        <v>0</v>
      </c>
      <c r="AB15" s="68">
        <f t="shared" si="10"/>
        <v>0</v>
      </c>
      <c r="AC15" s="72">
        <f t="shared" si="11"/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s="84" customFormat="1" ht="45" customHeight="1" x14ac:dyDescent="0.2">
      <c r="A16" s="124" t="s">
        <v>49</v>
      </c>
      <c r="B16" s="60"/>
      <c r="C16" s="76"/>
      <c r="D16" s="77"/>
      <c r="E16" s="77"/>
      <c r="F16" s="78"/>
      <c r="G16" s="78"/>
      <c r="H16" s="79"/>
      <c r="I16" s="64"/>
      <c r="J16" s="65"/>
      <c r="K16" s="66"/>
      <c r="L16" s="67"/>
      <c r="M16" s="67"/>
      <c r="N16" s="68">
        <f t="shared" si="0"/>
        <v>0</v>
      </c>
      <c r="O16" s="69"/>
      <c r="P16" s="70"/>
      <c r="Q16" s="70"/>
      <c r="R16" s="71"/>
      <c r="S16" s="68">
        <f t="shared" si="1"/>
        <v>0</v>
      </c>
      <c r="T16" s="68">
        <f t="shared" si="2"/>
        <v>0</v>
      </c>
      <c r="U16" s="68">
        <f t="shared" si="3"/>
        <v>0</v>
      </c>
      <c r="V16" s="68">
        <f t="shared" si="4"/>
        <v>0</v>
      </c>
      <c r="W16" s="68">
        <f t="shared" si="5"/>
        <v>0</v>
      </c>
      <c r="X16" s="68">
        <f t="shared" si="6"/>
        <v>0</v>
      </c>
      <c r="Y16" s="68">
        <f t="shared" si="7"/>
        <v>0</v>
      </c>
      <c r="Z16" s="68">
        <f t="shared" si="8"/>
        <v>0</v>
      </c>
      <c r="AA16" s="68">
        <f t="shared" si="9"/>
        <v>0</v>
      </c>
      <c r="AB16" s="68">
        <f t="shared" si="10"/>
        <v>0</v>
      </c>
      <c r="AC16" s="72">
        <f t="shared" si="11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s="84" customFormat="1" ht="45" customHeight="1" x14ac:dyDescent="0.2">
      <c r="A17" s="124" t="s">
        <v>50</v>
      </c>
      <c r="B17" s="60"/>
      <c r="C17" s="76"/>
      <c r="D17" s="77"/>
      <c r="E17" s="77"/>
      <c r="F17" s="78"/>
      <c r="G17" s="62"/>
      <c r="H17" s="63"/>
      <c r="I17" s="64"/>
      <c r="J17" s="65"/>
      <c r="K17" s="66"/>
      <c r="L17" s="104"/>
      <c r="M17" s="67"/>
      <c r="N17" s="68">
        <f t="shared" si="0"/>
        <v>0</v>
      </c>
      <c r="O17" s="69"/>
      <c r="P17" s="70"/>
      <c r="Q17" s="70"/>
      <c r="R17" s="71"/>
      <c r="S17" s="68">
        <f t="shared" si="1"/>
        <v>0</v>
      </c>
      <c r="T17" s="68">
        <f t="shared" si="2"/>
        <v>0</v>
      </c>
      <c r="U17" s="68">
        <f t="shared" si="3"/>
        <v>0</v>
      </c>
      <c r="V17" s="68">
        <f t="shared" si="4"/>
        <v>0</v>
      </c>
      <c r="W17" s="68">
        <f t="shared" si="5"/>
        <v>0</v>
      </c>
      <c r="X17" s="68">
        <f t="shared" si="6"/>
        <v>0</v>
      </c>
      <c r="Y17" s="68">
        <f t="shared" si="7"/>
        <v>0</v>
      </c>
      <c r="Z17" s="68">
        <f t="shared" si="8"/>
        <v>0</v>
      </c>
      <c r="AA17" s="68">
        <f t="shared" si="9"/>
        <v>0</v>
      </c>
      <c r="AB17" s="68">
        <f t="shared" si="10"/>
        <v>0</v>
      </c>
      <c r="AC17" s="72">
        <f t="shared" si="11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s="84" customFormat="1" ht="45" customHeight="1" x14ac:dyDescent="0.2">
      <c r="A18" s="124" t="s">
        <v>51</v>
      </c>
      <c r="B18" s="60"/>
      <c r="C18" s="76"/>
      <c r="D18" s="77"/>
      <c r="E18" s="77"/>
      <c r="F18" s="78"/>
      <c r="G18" s="62"/>
      <c r="H18" s="63"/>
      <c r="I18" s="64"/>
      <c r="J18" s="65"/>
      <c r="K18" s="66"/>
      <c r="L18" s="104"/>
      <c r="M18" s="67"/>
      <c r="N18" s="68">
        <f t="shared" si="0"/>
        <v>0</v>
      </c>
      <c r="O18" s="69"/>
      <c r="P18" s="70"/>
      <c r="Q18" s="70"/>
      <c r="R18" s="71"/>
      <c r="S18" s="68">
        <f t="shared" si="1"/>
        <v>0</v>
      </c>
      <c r="T18" s="68">
        <f t="shared" si="2"/>
        <v>0</v>
      </c>
      <c r="U18" s="68">
        <f t="shared" si="3"/>
        <v>0</v>
      </c>
      <c r="V18" s="68">
        <f t="shared" si="4"/>
        <v>0</v>
      </c>
      <c r="W18" s="68">
        <f t="shared" si="5"/>
        <v>0</v>
      </c>
      <c r="X18" s="68">
        <f t="shared" si="6"/>
        <v>0</v>
      </c>
      <c r="Y18" s="68">
        <f t="shared" si="7"/>
        <v>0</v>
      </c>
      <c r="Z18" s="68">
        <f t="shared" si="8"/>
        <v>0</v>
      </c>
      <c r="AA18" s="68">
        <f t="shared" si="9"/>
        <v>0</v>
      </c>
      <c r="AB18" s="68">
        <f t="shared" si="10"/>
        <v>0</v>
      </c>
      <c r="AC18" s="72">
        <f t="shared" si="11"/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s="84" customFormat="1" ht="45" customHeight="1" x14ac:dyDescent="0.2">
      <c r="A19" s="124" t="s">
        <v>52</v>
      </c>
      <c r="B19" s="60"/>
      <c r="C19" s="76"/>
      <c r="D19" s="77"/>
      <c r="E19" s="77"/>
      <c r="F19" s="78"/>
      <c r="G19" s="62"/>
      <c r="H19" s="63"/>
      <c r="I19" s="64"/>
      <c r="J19" s="65"/>
      <c r="K19" s="66"/>
      <c r="L19" s="104"/>
      <c r="M19" s="67"/>
      <c r="N19" s="68">
        <f t="shared" si="0"/>
        <v>0</v>
      </c>
      <c r="O19" s="69"/>
      <c r="P19" s="70"/>
      <c r="Q19" s="70"/>
      <c r="R19" s="71"/>
      <c r="S19" s="68">
        <f t="shared" si="1"/>
        <v>0</v>
      </c>
      <c r="T19" s="68">
        <f t="shared" si="2"/>
        <v>0</v>
      </c>
      <c r="U19" s="68">
        <f t="shared" si="3"/>
        <v>0</v>
      </c>
      <c r="V19" s="68">
        <f t="shared" si="4"/>
        <v>0</v>
      </c>
      <c r="W19" s="68">
        <f t="shared" si="5"/>
        <v>0</v>
      </c>
      <c r="X19" s="68">
        <f t="shared" si="6"/>
        <v>0</v>
      </c>
      <c r="Y19" s="68">
        <f t="shared" si="7"/>
        <v>0</v>
      </c>
      <c r="Z19" s="68">
        <f t="shared" si="8"/>
        <v>0</v>
      </c>
      <c r="AA19" s="68">
        <f t="shared" si="9"/>
        <v>0</v>
      </c>
      <c r="AB19" s="68">
        <f t="shared" si="10"/>
        <v>0</v>
      </c>
      <c r="AC19" s="72">
        <f t="shared" si="11"/>
        <v>0</v>
      </c>
      <c r="AD19" s="140">
        <f t="shared" si="12"/>
        <v>0</v>
      </c>
      <c r="AE19" s="140">
        <f t="shared" si="13"/>
        <v>0</v>
      </c>
      <c r="AF19" s="140">
        <f t="shared" si="14"/>
        <v>0</v>
      </c>
      <c r="AG19" s="140"/>
      <c r="AH19" s="141"/>
      <c r="AI19" s="141">
        <f t="shared" si="15"/>
        <v>0</v>
      </c>
      <c r="AJ19" s="146">
        <f t="shared" si="16"/>
        <v>0</v>
      </c>
      <c r="AK19" s="147">
        <v>12</v>
      </c>
      <c r="AL19" s="148"/>
    </row>
    <row r="20" spans="1:38" s="84" customFormat="1" x14ac:dyDescent="0.2">
      <c r="A20" s="83"/>
      <c r="K20" s="85"/>
      <c r="L20" s="86"/>
      <c r="M20" s="86"/>
      <c r="N20" s="68">
        <f>I20*(SUM(K20:M20))</f>
        <v>0</v>
      </c>
      <c r="O20" s="87"/>
      <c r="P20" s="88"/>
      <c r="Q20" s="88"/>
      <c r="R20" s="88"/>
      <c r="S20" s="89"/>
      <c r="T20" s="88">
        <f>SUM(T8:T19)</f>
        <v>0</v>
      </c>
      <c r="U20" s="89"/>
      <c r="V20" s="89"/>
      <c r="W20" s="89"/>
      <c r="X20" s="88">
        <f>SUM(X8:X19)</f>
        <v>0</v>
      </c>
      <c r="Y20" s="89"/>
      <c r="Z20" s="88">
        <f>SUM(Z8:Z19)</f>
        <v>0</v>
      </c>
      <c r="AA20" s="89"/>
      <c r="AB20" s="88">
        <f t="shared" ref="AB20:AJ20" si="17">SUM(AB8:AB19)</f>
        <v>0</v>
      </c>
      <c r="AC20" s="88">
        <f t="shared" si="17"/>
        <v>0</v>
      </c>
      <c r="AD20" s="88">
        <f t="shared" si="17"/>
        <v>0</v>
      </c>
      <c r="AE20" s="88">
        <f t="shared" si="17"/>
        <v>0</v>
      </c>
      <c r="AF20" s="88">
        <f t="shared" si="17"/>
        <v>0</v>
      </c>
      <c r="AG20" s="88">
        <f t="shared" si="17"/>
        <v>0</v>
      </c>
      <c r="AH20" s="88">
        <f t="shared" si="17"/>
        <v>0</v>
      </c>
      <c r="AI20" s="88">
        <f t="shared" si="17"/>
        <v>0</v>
      </c>
      <c r="AJ20" s="88">
        <f t="shared" si="17"/>
        <v>0</v>
      </c>
      <c r="AK20" s="147"/>
      <c r="AL20" s="148"/>
    </row>
    <row r="21" spans="1:38" x14ac:dyDescent="0.2">
      <c r="B21" s="7"/>
      <c r="C21" s="7"/>
      <c r="D21" s="7"/>
      <c r="E21" s="7"/>
      <c r="F21" s="7"/>
      <c r="G21" s="7"/>
      <c r="H21" s="7"/>
      <c r="I21" s="7"/>
      <c r="K21" s="15"/>
      <c r="L21" s="7"/>
      <c r="M21" s="7"/>
      <c r="N21" s="99"/>
      <c r="O21" s="100"/>
      <c r="P21" s="101"/>
      <c r="Q21" s="101"/>
      <c r="R21" s="101"/>
      <c r="S21" s="102"/>
      <c r="T21" s="101"/>
      <c r="U21" s="102"/>
      <c r="V21" s="102"/>
      <c r="W21" s="102"/>
      <c r="X21" s="101"/>
      <c r="Y21" s="102"/>
      <c r="Z21" s="101"/>
      <c r="AA21" s="102"/>
      <c r="AB21" s="101"/>
      <c r="AC21" s="101"/>
      <c r="AD21" s="144"/>
      <c r="AE21" s="144"/>
      <c r="AF21" s="144"/>
      <c r="AG21" s="144"/>
      <c r="AH21" s="145"/>
      <c r="AI21" s="145"/>
      <c r="AJ21" s="152"/>
      <c r="AK21" s="153"/>
      <c r="AL21" s="154"/>
    </row>
    <row r="22" spans="1:38" x14ac:dyDescent="0.2">
      <c r="B22" s="7"/>
      <c r="C22" s="7"/>
      <c r="D22" s="7"/>
      <c r="E22" s="7"/>
      <c r="F22" s="7"/>
      <c r="G22" s="7"/>
      <c r="H22" s="7"/>
      <c r="I22" s="7"/>
      <c r="K22" s="15"/>
      <c r="L22" s="7"/>
      <c r="M22" s="7"/>
      <c r="N22" s="99"/>
      <c r="O22" s="100"/>
      <c r="P22" s="101"/>
      <c r="Q22" s="101"/>
      <c r="R22" s="101"/>
      <c r="S22" s="102"/>
      <c r="T22" s="101"/>
      <c r="U22" s="102"/>
      <c r="V22" s="102"/>
      <c r="W22" s="102"/>
      <c r="X22" s="101"/>
      <c r="Y22" s="102"/>
      <c r="Z22" s="101"/>
      <c r="AA22" s="102"/>
      <c r="AB22" s="101"/>
      <c r="AC22" s="101"/>
      <c r="AD22" s="144"/>
      <c r="AE22" s="144"/>
      <c r="AF22" s="144"/>
      <c r="AG22" s="144"/>
      <c r="AH22" s="145"/>
      <c r="AI22" s="145"/>
      <c r="AJ22" s="152"/>
      <c r="AK22" s="153"/>
      <c r="AL22" s="154"/>
    </row>
    <row r="23" spans="1:38" x14ac:dyDescent="0.2">
      <c r="B23" s="7"/>
      <c r="C23" s="7"/>
      <c r="D23" s="7"/>
      <c r="E23" s="7"/>
      <c r="F23" s="7"/>
      <c r="G23" s="7"/>
      <c r="H23" s="7"/>
      <c r="I23" s="7"/>
      <c r="K23" s="15"/>
      <c r="L23" s="7"/>
      <c r="M23" s="7"/>
      <c r="N23" s="99"/>
      <c r="O23" s="100"/>
      <c r="P23" s="101"/>
      <c r="Q23" s="101"/>
      <c r="R23" s="101"/>
      <c r="S23" s="102"/>
      <c r="T23" s="101"/>
      <c r="U23" s="102"/>
      <c r="V23" s="102"/>
      <c r="W23" s="102"/>
      <c r="X23" s="101"/>
      <c r="Y23" s="102"/>
      <c r="Z23" s="101"/>
      <c r="AA23" s="102"/>
      <c r="AB23" s="101"/>
      <c r="AC23" s="101"/>
      <c r="AD23" s="144"/>
      <c r="AE23" s="144"/>
      <c r="AF23" s="144"/>
      <c r="AG23" s="144"/>
      <c r="AH23" s="145"/>
      <c r="AI23" s="145"/>
      <c r="AJ23" s="152"/>
      <c r="AK23" s="153"/>
      <c r="AL23" s="154"/>
    </row>
    <row r="24" spans="1:38" x14ac:dyDescent="0.2">
      <c r="B24" s="7"/>
      <c r="C24" s="7"/>
      <c r="D24" s="7"/>
      <c r="E24" s="7"/>
      <c r="F24" s="7"/>
      <c r="G24" s="7"/>
      <c r="H24" s="7"/>
      <c r="I24" s="7"/>
      <c r="K24" s="15"/>
      <c r="L24" s="7"/>
      <c r="M24" s="7"/>
      <c r="N24" s="99"/>
      <c r="O24" s="100"/>
      <c r="P24" s="101"/>
      <c r="Q24" s="101"/>
      <c r="R24" s="101"/>
      <c r="S24" s="102"/>
      <c r="T24" s="101"/>
      <c r="U24" s="102"/>
      <c r="V24" s="102"/>
      <c r="W24" s="102"/>
      <c r="X24" s="101"/>
      <c r="Y24" s="102"/>
      <c r="Z24" s="101"/>
      <c r="AA24" s="102"/>
      <c r="AB24" s="101"/>
      <c r="AC24" s="101"/>
      <c r="AD24" s="144"/>
      <c r="AE24" s="144"/>
      <c r="AF24" s="144"/>
      <c r="AG24" s="144"/>
      <c r="AH24" s="145"/>
      <c r="AI24" s="145"/>
      <c r="AJ24" s="152"/>
      <c r="AK24" s="153"/>
      <c r="AL24" s="154"/>
    </row>
    <row r="25" spans="1:38" x14ac:dyDescent="0.2">
      <c r="B25" s="7"/>
      <c r="C25" s="7"/>
      <c r="D25" s="7"/>
      <c r="E25" s="7"/>
      <c r="F25" s="7"/>
      <c r="G25" s="7"/>
      <c r="H25" s="7"/>
      <c r="I25" s="7"/>
      <c r="K25" s="15"/>
      <c r="L25" s="7"/>
      <c r="M25" s="7"/>
      <c r="AD25" s="144"/>
      <c r="AE25" s="144"/>
      <c r="AF25" s="144"/>
      <c r="AG25" s="144"/>
      <c r="AH25" s="145"/>
      <c r="AI25" s="145"/>
      <c r="AJ25" s="152"/>
      <c r="AK25" s="153"/>
      <c r="AL25" s="154"/>
    </row>
    <row r="26" spans="1:38" ht="19" customHeight="1" x14ac:dyDescent="0.25">
      <c r="B26" s="174" t="s">
        <v>55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6"/>
      <c r="P26" s="175"/>
      <c r="Q26" s="175"/>
      <c r="R26" s="175"/>
      <c r="S26" s="175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144"/>
      <c r="AE26" s="144"/>
      <c r="AF26" s="144"/>
      <c r="AG26" s="144"/>
      <c r="AH26" s="145"/>
      <c r="AI26" s="145"/>
      <c r="AJ26" s="152"/>
      <c r="AK26" s="153"/>
      <c r="AL26" s="154"/>
    </row>
    <row r="27" spans="1:38" ht="14.5" customHeight="1" x14ac:dyDescent="0.25">
      <c r="B27" s="174" t="s">
        <v>56</v>
      </c>
      <c r="C27" s="175"/>
      <c r="D27" s="175"/>
      <c r="E27" s="175"/>
      <c r="F27" s="175"/>
      <c r="G27" s="175"/>
      <c r="H27" s="175"/>
      <c r="I27" s="175"/>
      <c r="J27" s="175"/>
      <c r="K27" s="175"/>
      <c r="L27" s="175"/>
      <c r="M27" s="175"/>
      <c r="N27" s="175"/>
      <c r="O27" s="176"/>
      <c r="P27" s="175"/>
      <c r="Q27" s="175"/>
      <c r="R27" s="175"/>
      <c r="S27" s="175"/>
      <c r="T27" s="50"/>
      <c r="U27" s="50"/>
      <c r="V27" s="50"/>
      <c r="W27" s="50"/>
      <c r="X27" s="50"/>
      <c r="Y27" s="50"/>
      <c r="Z27" s="50"/>
      <c r="AA27" s="50"/>
      <c r="AB27" s="50"/>
      <c r="AC27" s="51"/>
      <c r="AD27" s="144"/>
      <c r="AE27" s="144"/>
      <c r="AF27" s="144"/>
      <c r="AG27" s="144"/>
      <c r="AH27" s="145"/>
      <c r="AI27" s="145"/>
      <c r="AJ27" s="152"/>
      <c r="AK27" s="153"/>
      <c r="AL27" s="154"/>
    </row>
    <row r="28" spans="1:38" ht="19" customHeight="1" x14ac:dyDescent="0.25">
      <c r="B28" s="50"/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2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3"/>
      <c r="AD28" s="144"/>
      <c r="AE28" s="144"/>
      <c r="AF28" s="144"/>
      <c r="AG28" s="144"/>
      <c r="AH28" s="145"/>
      <c r="AI28" s="145"/>
      <c r="AJ28" s="152"/>
      <c r="AK28" s="153"/>
      <c r="AL28" s="154"/>
    </row>
    <row r="29" spans="1:38" ht="19" customHeight="1" x14ac:dyDescent="0.25"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2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3"/>
      <c r="AD29" s="144"/>
      <c r="AE29" s="144"/>
      <c r="AF29" s="144"/>
      <c r="AG29" s="144"/>
      <c r="AH29" s="145"/>
      <c r="AI29" s="145"/>
      <c r="AJ29" s="152"/>
      <c r="AK29" s="153"/>
      <c r="AL29" s="154"/>
    </row>
    <row r="30" spans="1:38" ht="19" customHeight="1" x14ac:dyDescent="0.25"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2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5"/>
      <c r="AD30" s="144"/>
      <c r="AE30" s="144"/>
      <c r="AF30" s="144"/>
      <c r="AG30" s="144"/>
      <c r="AH30" s="145"/>
      <c r="AI30" s="145"/>
      <c r="AJ30" s="152"/>
      <c r="AK30" s="153"/>
      <c r="AL30" s="154"/>
    </row>
    <row r="31" spans="1:38" ht="19" customHeight="1" x14ac:dyDescent="0.25"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2"/>
      <c r="P31" s="50"/>
      <c r="Q31" s="50"/>
      <c r="R31" s="50"/>
      <c r="S31" s="50"/>
      <c r="T31" s="52"/>
      <c r="U31" s="52"/>
      <c r="V31" s="50"/>
      <c r="W31" s="50"/>
      <c r="X31" s="50"/>
      <c r="Y31" s="50"/>
      <c r="Z31" s="50"/>
      <c r="AA31" s="50"/>
      <c r="AB31" s="50"/>
      <c r="AC31" s="50"/>
      <c r="AD31" s="144"/>
      <c r="AE31" s="144"/>
      <c r="AF31" s="144"/>
      <c r="AG31" s="144"/>
      <c r="AH31" s="145"/>
      <c r="AI31" s="145"/>
      <c r="AJ31" s="152"/>
      <c r="AK31" s="153"/>
      <c r="AL31" s="154"/>
    </row>
    <row r="32" spans="1:38" ht="19" customHeight="1" x14ac:dyDescent="0.25">
      <c r="B32" s="199" t="s">
        <v>58</v>
      </c>
      <c r="C32" s="175"/>
      <c r="D32" s="175"/>
      <c r="E32" s="175"/>
      <c r="F32" s="175"/>
      <c r="G32" s="175"/>
      <c r="H32" s="175"/>
      <c r="I32" s="175"/>
      <c r="J32" s="175"/>
      <c r="K32" s="175"/>
      <c r="L32" s="175"/>
      <c r="M32" s="175"/>
      <c r="N32" s="175"/>
      <c r="O32" s="176"/>
      <c r="P32" s="175"/>
      <c r="Q32" s="175"/>
      <c r="R32" s="175"/>
      <c r="S32" s="175"/>
      <c r="T32" s="56"/>
      <c r="U32" s="56"/>
      <c r="V32" s="56"/>
      <c r="W32" s="56"/>
      <c r="X32" s="50"/>
      <c r="Y32" s="50"/>
      <c r="Z32" s="50"/>
      <c r="AA32" s="50"/>
      <c r="AB32" s="50"/>
      <c r="AC32" s="50"/>
      <c r="AD32" s="144"/>
      <c r="AE32" s="144"/>
      <c r="AF32" s="144"/>
      <c r="AG32" s="144"/>
      <c r="AH32" s="145"/>
      <c r="AI32" s="145"/>
      <c r="AJ32" s="152"/>
      <c r="AK32" s="153"/>
      <c r="AL32" s="154"/>
    </row>
    <row r="33" spans="2:38" ht="19" customHeight="1" x14ac:dyDescent="0.25">
      <c r="B33" s="174" t="s">
        <v>60</v>
      </c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6"/>
      <c r="P33" s="175"/>
      <c r="Q33" s="175"/>
      <c r="R33" s="175"/>
      <c r="S33" s="175"/>
      <c r="T33" s="56"/>
      <c r="U33" s="56"/>
      <c r="V33" s="56"/>
      <c r="W33" s="56"/>
      <c r="X33" s="50"/>
      <c r="Y33" s="50"/>
      <c r="Z33" s="50"/>
      <c r="AA33" s="50"/>
      <c r="AB33" s="50"/>
      <c r="AC33" s="50"/>
      <c r="AD33" s="144"/>
      <c r="AE33" s="144"/>
      <c r="AF33" s="144"/>
      <c r="AG33" s="144"/>
      <c r="AH33" s="145"/>
      <c r="AI33" s="145"/>
      <c r="AJ33" s="152"/>
      <c r="AK33" s="153"/>
      <c r="AL33" s="154"/>
    </row>
    <row r="34" spans="2:38" x14ac:dyDescent="0.2">
      <c r="X34" s="7"/>
      <c r="Y34" s="7"/>
      <c r="Z34" s="7"/>
      <c r="AA34" s="7"/>
      <c r="AB34" s="7"/>
      <c r="AC34" s="7"/>
      <c r="AD34" s="144"/>
      <c r="AE34" s="144"/>
      <c r="AF34" s="144"/>
      <c r="AG34" s="144"/>
      <c r="AH34" s="145"/>
      <c r="AI34" s="145"/>
      <c r="AJ34" s="152"/>
      <c r="AK34" s="153"/>
      <c r="AL34" s="154"/>
    </row>
    <row r="35" spans="2:38" x14ac:dyDescent="0.2">
      <c r="V35" s="7"/>
      <c r="W35" s="7"/>
      <c r="X35" s="7"/>
      <c r="Y35" s="7"/>
      <c r="Z35" s="7"/>
      <c r="AA35" s="7"/>
      <c r="AB35" s="7"/>
      <c r="AC35" s="18"/>
      <c r="AD35" s="144"/>
      <c r="AE35" s="144"/>
      <c r="AF35" s="144"/>
      <c r="AG35" s="144"/>
      <c r="AH35" s="145"/>
      <c r="AI35" s="145"/>
      <c r="AJ35" s="152"/>
      <c r="AK35" s="153"/>
      <c r="AL35" s="154"/>
    </row>
    <row r="36" spans="2:38" x14ac:dyDescent="0.2">
      <c r="V36" s="7"/>
      <c r="W36" s="7"/>
      <c r="X36" s="7"/>
      <c r="Y36" s="7"/>
      <c r="Z36" s="7"/>
      <c r="AA36" s="7"/>
      <c r="AB36" s="7"/>
      <c r="AC36" s="18"/>
    </row>
    <row r="37" spans="2:38" x14ac:dyDescent="0.2">
      <c r="V37" s="7"/>
      <c r="W37" s="7"/>
      <c r="X37" s="7"/>
      <c r="Y37" s="7"/>
      <c r="Z37" s="7"/>
      <c r="AA37" s="7"/>
      <c r="AB37" s="7"/>
      <c r="AC37" s="19"/>
    </row>
    <row r="38" spans="2:38" x14ac:dyDescent="0.2">
      <c r="V38" s="7"/>
      <c r="W38" s="7"/>
      <c r="X38" s="7"/>
      <c r="Y38" s="7"/>
      <c r="Z38" s="7"/>
      <c r="AA38" s="7"/>
      <c r="AB38" s="7"/>
      <c r="AC38" s="18"/>
    </row>
    <row r="39" spans="2:38" x14ac:dyDescent="0.2">
      <c r="V39" s="7"/>
      <c r="W39" s="7"/>
      <c r="X39" s="7"/>
      <c r="Y39" s="7"/>
      <c r="Z39" s="7"/>
      <c r="AA39" s="7"/>
      <c r="AB39" s="7"/>
      <c r="AC39" s="18"/>
    </row>
    <row r="40" spans="2:38" x14ac:dyDescent="0.2">
      <c r="V40" s="7"/>
      <c r="W40" s="7"/>
      <c r="X40" s="7"/>
      <c r="Y40" s="7"/>
      <c r="Z40" s="7"/>
      <c r="AA40" s="7"/>
      <c r="AB40" s="7"/>
      <c r="AC40" s="7"/>
    </row>
    <row r="41" spans="2:38" x14ac:dyDescent="0.2">
      <c r="T41" s="20"/>
      <c r="V41" s="7"/>
      <c r="W41" s="7"/>
      <c r="X41" s="20"/>
      <c r="Y41" s="7"/>
      <c r="Z41" s="20"/>
      <c r="AA41" s="7"/>
      <c r="AB41" s="20"/>
      <c r="AC41" s="20"/>
    </row>
    <row r="42" spans="2:38" x14ac:dyDescent="0.2">
      <c r="T42" s="21"/>
      <c r="U42" s="21"/>
      <c r="V42" s="18"/>
      <c r="W42" s="18"/>
      <c r="X42" s="18"/>
      <c r="Y42" s="18"/>
      <c r="Z42" s="18"/>
      <c r="AA42" s="18"/>
      <c r="AB42" s="18"/>
      <c r="AC42" s="18"/>
    </row>
    <row r="43" spans="2:38" x14ac:dyDescent="0.2">
      <c r="T43" s="21"/>
      <c r="U43" s="21"/>
      <c r="V43" s="18"/>
      <c r="W43" s="18"/>
      <c r="X43" s="21"/>
      <c r="Y43" s="18"/>
      <c r="Z43" s="21"/>
      <c r="AA43" s="18"/>
      <c r="AB43" s="21"/>
      <c r="AC43" s="21"/>
    </row>
    <row r="44" spans="2:38" x14ac:dyDescent="0.2">
      <c r="T44" s="21"/>
      <c r="U44" s="22"/>
      <c r="V44" s="23"/>
      <c r="W44" s="23"/>
      <c r="X44" s="21"/>
      <c r="Y44" s="23"/>
      <c r="Z44" s="21"/>
      <c r="AA44" s="23"/>
      <c r="AB44" s="21"/>
      <c r="AC44" s="21"/>
    </row>
    <row r="45" spans="2:38" x14ac:dyDescent="0.2">
      <c r="T45" s="22"/>
      <c r="U45" s="22"/>
      <c r="V45" s="23"/>
      <c r="W45" s="23"/>
      <c r="X45" s="23"/>
      <c r="Y45" s="23"/>
      <c r="Z45" s="23"/>
      <c r="AA45" s="23"/>
      <c r="AB45" s="23"/>
      <c r="AC45" s="23"/>
    </row>
    <row r="46" spans="2:38" x14ac:dyDescent="0.2">
      <c r="T46" s="22"/>
      <c r="U46" s="22"/>
      <c r="V46" s="23"/>
      <c r="W46" s="23"/>
      <c r="X46" s="23"/>
      <c r="Y46" s="23"/>
      <c r="Z46" s="23"/>
      <c r="AA46" s="23"/>
      <c r="AB46" s="23"/>
      <c r="AC46" s="23"/>
    </row>
    <row r="47" spans="2:38" x14ac:dyDescent="0.2">
      <c r="V47" s="7"/>
      <c r="W47" s="7"/>
      <c r="X47" s="7"/>
      <c r="Y47" s="7"/>
      <c r="Z47" s="7"/>
      <c r="AA47" s="7"/>
      <c r="AB47" s="7"/>
      <c r="AC47" s="7"/>
    </row>
    <row r="48" spans="2:38" x14ac:dyDescent="0.2">
      <c r="V48" s="7"/>
      <c r="W48" s="7"/>
      <c r="X48" s="7"/>
      <c r="Y48" s="7"/>
      <c r="Z48" s="7"/>
      <c r="AA48" s="7"/>
      <c r="AB48" s="7"/>
      <c r="AC48" s="7"/>
    </row>
    <row r="49" spans="22:29" x14ac:dyDescent="0.2">
      <c r="V49" s="7"/>
      <c r="W49" s="7"/>
      <c r="X49" s="7"/>
      <c r="Y49" s="7"/>
      <c r="Z49" s="7"/>
      <c r="AA49" s="7"/>
      <c r="AB49" s="7"/>
      <c r="AC49" s="7"/>
    </row>
    <row r="50" spans="22:29" x14ac:dyDescent="0.2">
      <c r="V50" s="7"/>
      <c r="W50" s="7"/>
      <c r="X50" s="7"/>
      <c r="Y50" s="7"/>
      <c r="Z50" s="7"/>
      <c r="AA50" s="7"/>
      <c r="AB50" s="7"/>
      <c r="AC50" s="7"/>
    </row>
    <row r="51" spans="22:29" x14ac:dyDescent="0.2">
      <c r="V51" s="7"/>
      <c r="W51" s="7"/>
      <c r="X51" s="7"/>
      <c r="Y51" s="7"/>
      <c r="Z51" s="7"/>
      <c r="AA51" s="7"/>
      <c r="AB51" s="7"/>
      <c r="AC51" s="7"/>
    </row>
    <row r="52" spans="22:29" x14ac:dyDescent="0.2">
      <c r="V52" s="7"/>
      <c r="W52" s="7"/>
      <c r="X52" s="7"/>
      <c r="Y52" s="7"/>
      <c r="Z52" s="7"/>
      <c r="AA52" s="7"/>
      <c r="AB52" s="7"/>
      <c r="AC52" s="7"/>
    </row>
    <row r="53" spans="22:29" x14ac:dyDescent="0.2">
      <c r="V53" s="7"/>
      <c r="W53" s="7"/>
      <c r="X53" s="7"/>
      <c r="Y53" s="7"/>
      <c r="Z53" s="7"/>
      <c r="AA53" s="7"/>
      <c r="AB53" s="7"/>
      <c r="AC53" s="7"/>
    </row>
    <row r="54" spans="22:29" x14ac:dyDescent="0.2">
      <c r="V54" s="7"/>
      <c r="W54" s="7"/>
      <c r="X54" s="7"/>
      <c r="Y54" s="7"/>
      <c r="Z54" s="7"/>
      <c r="AA54" s="7"/>
      <c r="AB54" s="7"/>
      <c r="AC54" s="7"/>
    </row>
    <row r="55" spans="22:29" x14ac:dyDescent="0.2">
      <c r="V55" s="7"/>
      <c r="W55" s="7"/>
      <c r="X55" s="7"/>
      <c r="Y55" s="7"/>
      <c r="Z55" s="7"/>
      <c r="AA55" s="7"/>
      <c r="AB55" s="7"/>
      <c r="AC55" s="7"/>
    </row>
    <row r="56" spans="22:29" x14ac:dyDescent="0.2">
      <c r="V56" s="7"/>
      <c r="W56" s="7"/>
      <c r="X56" s="7"/>
      <c r="Y56" s="7"/>
      <c r="Z56" s="7"/>
      <c r="AA56" s="7"/>
      <c r="AB56" s="7"/>
      <c r="AC56" s="7"/>
    </row>
    <row r="57" spans="22:29" x14ac:dyDescent="0.2">
      <c r="V57" s="7"/>
      <c r="W57" s="7"/>
      <c r="X57" s="7"/>
      <c r="Y57" s="7"/>
      <c r="Z57" s="7"/>
      <c r="AA57" s="7"/>
      <c r="AB57" s="7"/>
      <c r="AC57" s="7"/>
    </row>
    <row r="58" spans="22:29" x14ac:dyDescent="0.2">
      <c r="V58" s="7"/>
      <c r="W58" s="7"/>
      <c r="X58" s="7"/>
      <c r="Y58" s="7"/>
      <c r="Z58" s="7"/>
      <c r="AA58" s="7"/>
      <c r="AB58" s="7"/>
      <c r="AC58" s="7"/>
    </row>
    <row r="59" spans="22:29" x14ac:dyDescent="0.2">
      <c r="V59" s="7"/>
      <c r="W59" s="7"/>
      <c r="X59" s="7"/>
      <c r="Y59" s="7"/>
      <c r="Z59" s="7"/>
      <c r="AA59" s="7"/>
      <c r="AB59" s="7"/>
      <c r="AC59" s="7"/>
    </row>
    <row r="60" spans="22:29" x14ac:dyDescent="0.2">
      <c r="V60" s="7"/>
      <c r="W60" s="7"/>
      <c r="X60" s="7"/>
      <c r="Y60" s="7"/>
      <c r="Z60" s="7"/>
      <c r="AA60" s="7"/>
      <c r="AB60" s="7"/>
      <c r="AC60" s="7"/>
    </row>
  </sheetData>
  <mergeCells count="44">
    <mergeCell ref="B27:S27"/>
    <mergeCell ref="O6:O7"/>
    <mergeCell ref="B33:S33"/>
    <mergeCell ref="AK5:AL7"/>
    <mergeCell ref="A3:AC3"/>
    <mergeCell ref="AC6:AC7"/>
    <mergeCell ref="L6:L7"/>
    <mergeCell ref="B32:S32"/>
    <mergeCell ref="C5:C7"/>
    <mergeCell ref="T6:T7"/>
    <mergeCell ref="E5:E7"/>
    <mergeCell ref="AH5:AH7"/>
    <mergeCell ref="F5:F7"/>
    <mergeCell ref="B26:S26"/>
    <mergeCell ref="Z6:Z7"/>
    <mergeCell ref="AB6:AB7"/>
    <mergeCell ref="U6:W6"/>
    <mergeCell ref="N5:N7"/>
    <mergeCell ref="A1:AC1"/>
    <mergeCell ref="R5:R7"/>
    <mergeCell ref="M6:M7"/>
    <mergeCell ref="AG5:AG7"/>
    <mergeCell ref="Q6:Q7"/>
    <mergeCell ref="H5:H7"/>
    <mergeCell ref="J5:M5"/>
    <mergeCell ref="Y6:Y7"/>
    <mergeCell ref="AD5:AD7"/>
    <mergeCell ref="A2:AC2"/>
    <mergeCell ref="S5:AC5"/>
    <mergeCell ref="K6:K7"/>
    <mergeCell ref="A5:A7"/>
    <mergeCell ref="AJ5:AJ7"/>
    <mergeCell ref="G5:G7"/>
    <mergeCell ref="B5:B7"/>
    <mergeCell ref="X6:X7"/>
    <mergeCell ref="AE5:AE7"/>
    <mergeCell ref="AI5:AI7"/>
    <mergeCell ref="AF5:AF7"/>
    <mergeCell ref="I5:I7"/>
    <mergeCell ref="O5:Q5"/>
    <mergeCell ref="D5:D7"/>
    <mergeCell ref="J6:J7"/>
    <mergeCell ref="P6:P7"/>
    <mergeCell ref="AA6:AA7"/>
  </mergeCells>
  <pageMargins left="0.25" right="0.25" top="0.75" bottom="0.75" header="0.3" footer="0.3"/>
  <pageSetup paperSize="14" scale="49" orientation="landscape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L68"/>
  <sheetViews>
    <sheetView tabSelected="1" topLeftCell="I1" zoomScale="75" zoomScaleNormal="75" workbookViewId="0">
      <selection activeCell="T10" sqref="T10"/>
    </sheetView>
  </sheetViews>
  <sheetFormatPr baseColWidth="10" defaultColWidth="8.83203125" defaultRowHeight="16" x14ac:dyDescent="0.2"/>
  <cols>
    <col min="1" max="1" width="4.5" style="3" customWidth="1"/>
    <col min="2" max="2" width="21.1640625" customWidth="1"/>
    <col min="3" max="3" width="20.83203125" customWidth="1"/>
    <col min="4" max="4" width="20.6640625" customWidth="1"/>
    <col min="5" max="5" width="18.6640625" customWidth="1"/>
    <col min="6" max="6" width="24.83203125" customWidth="1"/>
    <col min="7" max="7" width="8.332031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0.83203125" customWidth="1"/>
    <col min="20" max="20" width="12.33203125" customWidth="1"/>
    <col min="21" max="21" width="11" customWidth="1"/>
    <col min="22" max="22" width="10.6640625" customWidth="1"/>
    <col min="23" max="23" width="10.33203125" customWidth="1"/>
    <col min="24" max="24" width="11.6640625" customWidth="1"/>
    <col min="25" max="25" width="10.83203125" customWidth="1"/>
    <col min="26" max="26" width="11.1640625" customWidth="1"/>
    <col min="27" max="28" width="10.1640625" customWidth="1"/>
    <col min="29" max="29" width="19.5" customWidth="1"/>
    <col min="30" max="30" width="19.1640625" customWidth="1"/>
    <col min="31" max="31" width="18.33203125" customWidth="1"/>
    <col min="32" max="32" width="16.1640625" customWidth="1"/>
    <col min="33" max="33" width="15" customWidth="1"/>
    <col min="34" max="34" width="14" customWidth="1"/>
    <col min="35" max="35" width="14.83203125" customWidth="1"/>
    <col min="36" max="36" width="18.33203125" customWidth="1"/>
  </cols>
  <sheetData>
    <row r="1" spans="1:38" ht="28" customHeight="1" x14ac:dyDescent="0.2">
      <c r="A1" s="188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6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"/>
    </row>
    <row r="2" spans="1:38" ht="28" customHeight="1" x14ac:dyDescent="0.2">
      <c r="A2" s="188" t="s">
        <v>1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  <c r="L2" s="175"/>
      <c r="M2" s="175"/>
      <c r="N2" s="175"/>
      <c r="O2" s="176"/>
      <c r="P2" s="175"/>
      <c r="Q2" s="175"/>
      <c r="R2" s="175"/>
      <c r="S2" s="175"/>
      <c r="T2" s="175"/>
      <c r="U2" s="175"/>
      <c r="V2" s="175"/>
      <c r="W2" s="175"/>
      <c r="X2" s="175"/>
      <c r="Y2" s="175"/>
      <c r="Z2" s="175"/>
      <c r="AA2" s="175"/>
      <c r="AB2" s="175"/>
      <c r="AC2" s="175"/>
      <c r="AD2" s="2"/>
    </row>
    <row r="3" spans="1:38" ht="28" customHeight="1" x14ac:dyDescent="0.2">
      <c r="A3" s="188" t="s">
        <v>88</v>
      </c>
      <c r="B3" s="175"/>
      <c r="C3" s="175"/>
      <c r="D3" s="175"/>
      <c r="E3" s="175"/>
      <c r="F3" s="175"/>
      <c r="G3" s="175"/>
      <c r="H3" s="175"/>
      <c r="I3" s="175"/>
      <c r="J3" s="175"/>
      <c r="K3" s="175"/>
      <c r="L3" s="175"/>
      <c r="M3" s="175"/>
      <c r="N3" s="175"/>
      <c r="O3" s="176"/>
      <c r="P3" s="175"/>
      <c r="Q3" s="175"/>
      <c r="R3" s="175"/>
      <c r="S3" s="175"/>
      <c r="T3" s="175"/>
      <c r="U3" s="175"/>
      <c r="V3" s="175"/>
      <c r="W3" s="175"/>
      <c r="X3" s="175"/>
      <c r="Y3" s="175"/>
      <c r="Z3" s="175"/>
      <c r="AA3" s="175"/>
      <c r="AB3" s="175"/>
      <c r="AC3" s="175"/>
      <c r="AD3" s="2"/>
    </row>
    <row r="4" spans="1:38" ht="28" customHeight="1" x14ac:dyDescent="0.2">
      <c r="A4" s="32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2"/>
    </row>
    <row r="5" spans="1:38" x14ac:dyDescent="0.2">
      <c r="A5" s="211" t="s">
        <v>4</v>
      </c>
      <c r="B5" s="211" t="s">
        <v>5</v>
      </c>
      <c r="C5" s="216" t="s">
        <v>6</v>
      </c>
      <c r="D5" s="207" t="s">
        <v>7</v>
      </c>
      <c r="E5" s="211" t="s">
        <v>8</v>
      </c>
      <c r="F5" s="218" t="s">
        <v>9</v>
      </c>
      <c r="G5" s="211" t="s">
        <v>10</v>
      </c>
      <c r="H5" s="214" t="s">
        <v>11</v>
      </c>
      <c r="I5" s="205" t="s">
        <v>12</v>
      </c>
      <c r="J5" s="205" t="s">
        <v>13</v>
      </c>
      <c r="K5" s="172"/>
      <c r="L5" s="172"/>
      <c r="M5" s="173"/>
      <c r="N5" s="208" t="s">
        <v>14</v>
      </c>
      <c r="O5" s="206" t="s">
        <v>15</v>
      </c>
      <c r="P5" s="172"/>
      <c r="Q5" s="173"/>
      <c r="R5" s="213" t="s">
        <v>16</v>
      </c>
      <c r="S5" s="220" t="s">
        <v>64</v>
      </c>
      <c r="T5" s="172"/>
      <c r="U5" s="172"/>
      <c r="V5" s="172"/>
      <c r="W5" s="172"/>
      <c r="X5" s="172"/>
      <c r="Y5" s="172"/>
      <c r="Z5" s="172"/>
      <c r="AA5" s="172"/>
      <c r="AB5" s="172"/>
      <c r="AC5" s="173"/>
      <c r="AD5" s="186" t="s">
        <v>17</v>
      </c>
      <c r="AE5" s="186" t="s">
        <v>18</v>
      </c>
      <c r="AF5" s="165" t="s">
        <v>19</v>
      </c>
      <c r="AG5" s="190" t="s">
        <v>20</v>
      </c>
      <c r="AH5" s="190" t="s">
        <v>21</v>
      </c>
      <c r="AI5" s="190" t="s">
        <v>22</v>
      </c>
      <c r="AJ5" s="181" t="s">
        <v>23</v>
      </c>
      <c r="AK5" s="192" t="s">
        <v>24</v>
      </c>
      <c r="AL5" s="193"/>
    </row>
    <row r="6" spans="1:38" ht="14.5" customHeight="1" x14ac:dyDescent="0.2">
      <c r="A6" s="169"/>
      <c r="B6" s="169"/>
      <c r="C6" s="169"/>
      <c r="D6" s="169"/>
      <c r="E6" s="169"/>
      <c r="F6" s="169"/>
      <c r="G6" s="169"/>
      <c r="H6" s="169"/>
      <c r="I6" s="169"/>
      <c r="J6" s="208" t="s">
        <v>25</v>
      </c>
      <c r="K6" s="208" t="s">
        <v>26</v>
      </c>
      <c r="L6" s="208" t="s">
        <v>27</v>
      </c>
      <c r="M6" s="208" t="s">
        <v>28</v>
      </c>
      <c r="N6" s="169"/>
      <c r="O6" s="209" t="s">
        <v>29</v>
      </c>
      <c r="P6" s="209" t="s">
        <v>30</v>
      </c>
      <c r="Q6" s="209" t="s">
        <v>31</v>
      </c>
      <c r="R6" s="169"/>
      <c r="S6" s="138"/>
      <c r="T6" s="217" t="s">
        <v>32</v>
      </c>
      <c r="U6" s="219" t="s">
        <v>26</v>
      </c>
      <c r="V6" s="172"/>
      <c r="W6" s="173"/>
      <c r="X6" s="212" t="s">
        <v>33</v>
      </c>
      <c r="Y6" s="215" t="s">
        <v>27</v>
      </c>
      <c r="Z6" s="215" t="s">
        <v>34</v>
      </c>
      <c r="AA6" s="210" t="s">
        <v>28</v>
      </c>
      <c r="AB6" s="210" t="s">
        <v>35</v>
      </c>
      <c r="AC6" s="202" t="s">
        <v>36</v>
      </c>
      <c r="AD6" s="166"/>
      <c r="AE6" s="166"/>
      <c r="AF6" s="166"/>
      <c r="AG6" s="166"/>
      <c r="AH6" s="166"/>
      <c r="AI6" s="166"/>
      <c r="AJ6" s="182"/>
      <c r="AK6" s="194"/>
      <c r="AL6" s="195"/>
    </row>
    <row r="7" spans="1:38" ht="34" customHeight="1" x14ac:dyDescent="0.2">
      <c r="A7" s="170"/>
      <c r="B7" s="170"/>
      <c r="C7" s="169"/>
      <c r="D7" s="169"/>
      <c r="E7" s="170"/>
      <c r="F7" s="170"/>
      <c r="G7" s="170"/>
      <c r="H7" s="170"/>
      <c r="I7" s="170"/>
      <c r="J7" s="169"/>
      <c r="K7" s="169"/>
      <c r="L7" s="169"/>
      <c r="M7" s="169"/>
      <c r="N7" s="169"/>
      <c r="O7" s="169"/>
      <c r="P7" s="169"/>
      <c r="Q7" s="169"/>
      <c r="R7" s="170"/>
      <c r="S7" s="138" t="s">
        <v>25</v>
      </c>
      <c r="T7" s="170"/>
      <c r="U7" s="4" t="s">
        <v>38</v>
      </c>
      <c r="V7" s="4" t="s">
        <v>39</v>
      </c>
      <c r="W7" s="4" t="s">
        <v>40</v>
      </c>
      <c r="X7" s="170"/>
      <c r="Y7" s="170"/>
      <c r="Z7" s="170"/>
      <c r="AA7" s="170"/>
      <c r="AB7" s="170"/>
      <c r="AC7" s="170"/>
      <c r="AD7" s="167"/>
      <c r="AE7" s="167"/>
      <c r="AF7" s="167"/>
      <c r="AG7" s="167"/>
      <c r="AH7" s="167"/>
      <c r="AI7" s="167"/>
      <c r="AJ7" s="183"/>
      <c r="AK7" s="196"/>
      <c r="AL7" s="197"/>
    </row>
    <row r="8" spans="1:38" s="84" customFormat="1" ht="45" customHeight="1" x14ac:dyDescent="0.2">
      <c r="A8" s="124" t="s">
        <v>41</v>
      </c>
      <c r="B8" s="60"/>
      <c r="C8" s="76"/>
      <c r="D8" s="77"/>
      <c r="E8" s="77"/>
      <c r="F8" s="78"/>
      <c r="G8" s="78"/>
      <c r="H8" s="79"/>
      <c r="I8" s="64"/>
      <c r="J8" s="65"/>
      <c r="K8" s="66"/>
      <c r="L8" s="67"/>
      <c r="M8" s="67"/>
      <c r="N8" s="68">
        <f t="shared" ref="N8:N27" si="0">ROUND(I8*(SUM(J8:M8)),0)</f>
        <v>0</v>
      </c>
      <c r="O8" s="69"/>
      <c r="P8" s="70"/>
      <c r="Q8" s="70"/>
      <c r="R8" s="71"/>
      <c r="S8" s="68">
        <f t="shared" ref="S8:S27" si="1">I8*J8</f>
        <v>0</v>
      </c>
      <c r="T8" s="68">
        <f t="shared" ref="T8:T27" si="2">SUM(S8:S8)</f>
        <v>0</v>
      </c>
      <c r="U8" s="68">
        <f t="shared" ref="U8:U27" si="3">I8*K8*40%*O8</f>
        <v>0</v>
      </c>
      <c r="V8" s="68">
        <f t="shared" ref="V8:V27" si="4">IF(P8&gt;=6750,(I8*K8*40%),0)</f>
        <v>0</v>
      </c>
      <c r="W8" s="68">
        <f t="shared" ref="W8:W27" si="5">IF(P8&lt;6750,0,IF(Q8="",0,IF(OR(Q8="KURANG",Q8="SANGAT KURANG"),I8*K8*10%,I8*K8*20%)))</f>
        <v>0</v>
      </c>
      <c r="X8" s="68">
        <f t="shared" ref="X8:X27" si="6">SUM(U8:W8)</f>
        <v>0</v>
      </c>
      <c r="Y8" s="68">
        <f t="shared" ref="Y8:Y27" si="7">I8*L8</f>
        <v>0</v>
      </c>
      <c r="Z8" s="68">
        <f t="shared" ref="Z8:Z27" si="8">Y8</f>
        <v>0</v>
      </c>
      <c r="AA8" s="68">
        <f t="shared" ref="AA8:AA27" si="9">I8*M8</f>
        <v>0</v>
      </c>
      <c r="AB8" s="68">
        <f t="shared" ref="AB8:AB27" si="10">AA8</f>
        <v>0</v>
      </c>
      <c r="AC8" s="72">
        <f t="shared" ref="AC8:AC27" si="11">ROUND((T8+X8+Z8+AB8),0)</f>
        <v>0</v>
      </c>
      <c r="AD8" s="140">
        <f t="shared" ref="AD8:AD27" si="12">AG8</f>
        <v>0</v>
      </c>
      <c r="AE8" s="140">
        <f t="shared" ref="AE8:AE27" si="13">AI8</f>
        <v>0</v>
      </c>
      <c r="AF8" s="140">
        <f t="shared" ref="AF8:AF27" si="14">AC8+AD8+AE8</f>
        <v>0</v>
      </c>
      <c r="AG8" s="140"/>
      <c r="AH8" s="141"/>
      <c r="AI8" s="141">
        <f t="shared" ref="AI8:AI27" si="15">AH8*4</f>
        <v>0</v>
      </c>
      <c r="AJ8" s="146">
        <f t="shared" ref="AJ8:AJ27" si="16">AF8-AG8-AH8-AI8</f>
        <v>0</v>
      </c>
      <c r="AK8" s="147">
        <v>1</v>
      </c>
      <c r="AL8" s="148"/>
    </row>
    <row r="9" spans="1:38" s="84" customFormat="1" ht="45" customHeight="1" x14ac:dyDescent="0.2">
      <c r="A9" s="124" t="s">
        <v>42</v>
      </c>
      <c r="B9" s="60"/>
      <c r="C9" s="76"/>
      <c r="D9" s="77"/>
      <c r="E9" s="77"/>
      <c r="F9" s="78"/>
      <c r="G9" s="78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si="1"/>
        <v>0</v>
      </c>
      <c r="T9" s="68">
        <f t="shared" si="2"/>
        <v>0</v>
      </c>
      <c r="U9" s="68">
        <f t="shared" si="3"/>
        <v>0</v>
      </c>
      <c r="V9" s="68">
        <f t="shared" si="4"/>
        <v>0</v>
      </c>
      <c r="W9" s="68">
        <f t="shared" si="5"/>
        <v>0</v>
      </c>
      <c r="X9" s="68">
        <f t="shared" si="6"/>
        <v>0</v>
      </c>
      <c r="Y9" s="68">
        <f t="shared" si="7"/>
        <v>0</v>
      </c>
      <c r="Z9" s="68">
        <f t="shared" si="8"/>
        <v>0</v>
      </c>
      <c r="AA9" s="68">
        <f t="shared" si="9"/>
        <v>0</v>
      </c>
      <c r="AB9" s="68">
        <f t="shared" si="10"/>
        <v>0</v>
      </c>
      <c r="AC9" s="72">
        <f t="shared" si="11"/>
        <v>0</v>
      </c>
      <c r="AD9" s="140">
        <f t="shared" si="12"/>
        <v>0</v>
      </c>
      <c r="AE9" s="140">
        <f t="shared" si="13"/>
        <v>0</v>
      </c>
      <c r="AF9" s="140">
        <f t="shared" si="14"/>
        <v>0</v>
      </c>
      <c r="AG9" s="140"/>
      <c r="AH9" s="141"/>
      <c r="AI9" s="141">
        <f t="shared" si="15"/>
        <v>0</v>
      </c>
      <c r="AJ9" s="146">
        <f t="shared" si="16"/>
        <v>0</v>
      </c>
      <c r="AK9" s="147">
        <v>2</v>
      </c>
      <c r="AL9" s="148"/>
    </row>
    <row r="10" spans="1:38" s="84" customFormat="1" ht="45" customHeight="1" x14ac:dyDescent="0.2">
      <c r="A10" s="124" t="s">
        <v>43</v>
      </c>
      <c r="B10" s="60"/>
      <c r="C10" s="76"/>
      <c r="D10" s="77"/>
      <c r="E10" s="77"/>
      <c r="F10" s="78"/>
      <c r="G10" s="78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1"/>
        <v>0</v>
      </c>
      <c r="T10" s="68">
        <f t="shared" si="2"/>
        <v>0</v>
      </c>
      <c r="U10" s="68">
        <f t="shared" si="3"/>
        <v>0</v>
      </c>
      <c r="V10" s="68">
        <f t="shared" si="4"/>
        <v>0</v>
      </c>
      <c r="W10" s="68">
        <f t="shared" si="5"/>
        <v>0</v>
      </c>
      <c r="X10" s="68">
        <f t="shared" si="6"/>
        <v>0</v>
      </c>
      <c r="Y10" s="68">
        <f t="shared" si="7"/>
        <v>0</v>
      </c>
      <c r="Z10" s="68">
        <f t="shared" si="8"/>
        <v>0</v>
      </c>
      <c r="AA10" s="68">
        <f t="shared" si="9"/>
        <v>0</v>
      </c>
      <c r="AB10" s="68">
        <f t="shared" si="10"/>
        <v>0</v>
      </c>
      <c r="AC10" s="72">
        <f t="shared" si="11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s="84" customFormat="1" ht="45" customHeight="1" x14ac:dyDescent="0.2">
      <c r="A11" s="124" t="s">
        <v>44</v>
      </c>
      <c r="B11" s="60"/>
      <c r="C11" s="76"/>
      <c r="D11" s="77"/>
      <c r="E11" s="77"/>
      <c r="F11" s="62"/>
      <c r="G11" s="78"/>
      <c r="H11" s="79"/>
      <c r="I11" s="64"/>
      <c r="J11" s="65"/>
      <c r="K11" s="66"/>
      <c r="L11" s="67"/>
      <c r="M11" s="67"/>
      <c r="N11" s="68">
        <f t="shared" si="0"/>
        <v>0</v>
      </c>
      <c r="O11" s="69"/>
      <c r="P11" s="70"/>
      <c r="Q11" s="70"/>
      <c r="R11" s="71"/>
      <c r="S11" s="68">
        <f t="shared" si="1"/>
        <v>0</v>
      </c>
      <c r="T11" s="68">
        <f t="shared" si="2"/>
        <v>0</v>
      </c>
      <c r="U11" s="68">
        <f t="shared" si="3"/>
        <v>0</v>
      </c>
      <c r="V11" s="68">
        <f t="shared" si="4"/>
        <v>0</v>
      </c>
      <c r="W11" s="68">
        <f t="shared" si="5"/>
        <v>0</v>
      </c>
      <c r="X11" s="68">
        <f t="shared" si="6"/>
        <v>0</v>
      </c>
      <c r="Y11" s="68">
        <f t="shared" si="7"/>
        <v>0</v>
      </c>
      <c r="Z11" s="68">
        <f t="shared" si="8"/>
        <v>0</v>
      </c>
      <c r="AA11" s="68">
        <f t="shared" si="9"/>
        <v>0</v>
      </c>
      <c r="AB11" s="68">
        <f t="shared" si="10"/>
        <v>0</v>
      </c>
      <c r="AC11" s="72">
        <f t="shared" si="11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s="84" customFormat="1" ht="45" customHeight="1" x14ac:dyDescent="0.2">
      <c r="A12" s="124" t="s">
        <v>45</v>
      </c>
      <c r="B12" s="60"/>
      <c r="C12" s="76"/>
      <c r="D12" s="77"/>
      <c r="E12" s="77"/>
      <c r="F12" s="78"/>
      <c r="G12" s="78"/>
      <c r="H12" s="103"/>
      <c r="I12" s="64"/>
      <c r="J12" s="65"/>
      <c r="K12" s="66"/>
      <c r="L12" s="104"/>
      <c r="M12" s="67"/>
      <c r="N12" s="68">
        <f t="shared" si="0"/>
        <v>0</v>
      </c>
      <c r="O12" s="69"/>
      <c r="P12" s="70"/>
      <c r="Q12" s="70"/>
      <c r="R12" s="71"/>
      <c r="S12" s="68">
        <f t="shared" si="1"/>
        <v>0</v>
      </c>
      <c r="T12" s="68">
        <f t="shared" si="2"/>
        <v>0</v>
      </c>
      <c r="U12" s="68">
        <f t="shared" si="3"/>
        <v>0</v>
      </c>
      <c r="V12" s="68">
        <f t="shared" si="4"/>
        <v>0</v>
      </c>
      <c r="W12" s="68">
        <f t="shared" si="5"/>
        <v>0</v>
      </c>
      <c r="X12" s="68">
        <f t="shared" si="6"/>
        <v>0</v>
      </c>
      <c r="Y12" s="68">
        <f t="shared" si="7"/>
        <v>0</v>
      </c>
      <c r="Z12" s="68">
        <f t="shared" si="8"/>
        <v>0</v>
      </c>
      <c r="AA12" s="68">
        <f t="shared" si="9"/>
        <v>0</v>
      </c>
      <c r="AB12" s="68">
        <f t="shared" si="10"/>
        <v>0</v>
      </c>
      <c r="AC12" s="72">
        <f t="shared" si="11"/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s="84" customFormat="1" ht="45" customHeight="1" x14ac:dyDescent="0.2">
      <c r="A13" s="124" t="s">
        <v>46</v>
      </c>
      <c r="B13" s="60"/>
      <c r="C13" s="76"/>
      <c r="D13" s="77"/>
      <c r="E13" s="77"/>
      <c r="F13" s="78"/>
      <c r="G13" s="78"/>
      <c r="H13" s="103"/>
      <c r="I13" s="64"/>
      <c r="J13" s="65"/>
      <c r="K13" s="66"/>
      <c r="L13" s="104"/>
      <c r="M13" s="67"/>
      <c r="N13" s="68">
        <f t="shared" si="0"/>
        <v>0</v>
      </c>
      <c r="O13" s="69"/>
      <c r="P13" s="70"/>
      <c r="Q13" s="70"/>
      <c r="R13" s="71"/>
      <c r="S13" s="68">
        <f t="shared" si="1"/>
        <v>0</v>
      </c>
      <c r="T13" s="68">
        <f t="shared" si="2"/>
        <v>0</v>
      </c>
      <c r="U13" s="68">
        <f t="shared" si="3"/>
        <v>0</v>
      </c>
      <c r="V13" s="68">
        <f t="shared" si="4"/>
        <v>0</v>
      </c>
      <c r="W13" s="68">
        <f t="shared" si="5"/>
        <v>0</v>
      </c>
      <c r="X13" s="68">
        <f t="shared" si="6"/>
        <v>0</v>
      </c>
      <c r="Y13" s="68">
        <f t="shared" si="7"/>
        <v>0</v>
      </c>
      <c r="Z13" s="68">
        <f t="shared" si="8"/>
        <v>0</v>
      </c>
      <c r="AA13" s="68">
        <f t="shared" si="9"/>
        <v>0</v>
      </c>
      <c r="AB13" s="68">
        <f t="shared" si="10"/>
        <v>0</v>
      </c>
      <c r="AC13" s="72">
        <f t="shared" si="11"/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s="84" customFormat="1" ht="45" customHeight="1" x14ac:dyDescent="0.2">
      <c r="A14" s="124" t="s">
        <v>47</v>
      </c>
      <c r="B14" s="60"/>
      <c r="C14" s="76"/>
      <c r="D14" s="77"/>
      <c r="E14" s="77"/>
      <c r="F14" s="78"/>
      <c r="G14" s="78"/>
      <c r="H14" s="103"/>
      <c r="I14" s="64"/>
      <c r="J14" s="65"/>
      <c r="K14" s="66"/>
      <c r="L14" s="104"/>
      <c r="M14" s="67"/>
      <c r="N14" s="68">
        <f t="shared" si="0"/>
        <v>0</v>
      </c>
      <c r="O14" s="69"/>
      <c r="P14" s="70"/>
      <c r="Q14" s="70"/>
      <c r="R14" s="71"/>
      <c r="S14" s="68">
        <f t="shared" si="1"/>
        <v>0</v>
      </c>
      <c r="T14" s="68">
        <f t="shared" si="2"/>
        <v>0</v>
      </c>
      <c r="U14" s="68">
        <f t="shared" si="3"/>
        <v>0</v>
      </c>
      <c r="V14" s="68">
        <f t="shared" si="4"/>
        <v>0</v>
      </c>
      <c r="W14" s="68">
        <f t="shared" si="5"/>
        <v>0</v>
      </c>
      <c r="X14" s="68">
        <f t="shared" si="6"/>
        <v>0</v>
      </c>
      <c r="Y14" s="68">
        <f t="shared" si="7"/>
        <v>0</v>
      </c>
      <c r="Z14" s="68">
        <f t="shared" si="8"/>
        <v>0</v>
      </c>
      <c r="AA14" s="68">
        <f t="shared" si="9"/>
        <v>0</v>
      </c>
      <c r="AB14" s="68">
        <f t="shared" si="10"/>
        <v>0</v>
      </c>
      <c r="AC14" s="72">
        <f t="shared" si="11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s="84" customFormat="1" ht="45" customHeight="1" x14ac:dyDescent="0.2">
      <c r="A15" s="124" t="s">
        <v>48</v>
      </c>
      <c r="B15" s="60"/>
      <c r="C15" s="76"/>
      <c r="D15" s="77"/>
      <c r="E15" s="77"/>
      <c r="F15" s="78"/>
      <c r="G15" s="78"/>
      <c r="H15" s="103"/>
      <c r="I15" s="64"/>
      <c r="J15" s="65"/>
      <c r="K15" s="66"/>
      <c r="L15" s="104"/>
      <c r="M15" s="67"/>
      <c r="N15" s="68">
        <f t="shared" si="0"/>
        <v>0</v>
      </c>
      <c r="O15" s="69"/>
      <c r="P15" s="70"/>
      <c r="Q15" s="70"/>
      <c r="R15" s="71"/>
      <c r="S15" s="68">
        <f t="shared" si="1"/>
        <v>0</v>
      </c>
      <c r="T15" s="68">
        <f t="shared" si="2"/>
        <v>0</v>
      </c>
      <c r="U15" s="68">
        <f t="shared" si="3"/>
        <v>0</v>
      </c>
      <c r="V15" s="68">
        <f t="shared" si="4"/>
        <v>0</v>
      </c>
      <c r="W15" s="68">
        <f t="shared" si="5"/>
        <v>0</v>
      </c>
      <c r="X15" s="68">
        <f t="shared" si="6"/>
        <v>0</v>
      </c>
      <c r="Y15" s="68">
        <f t="shared" si="7"/>
        <v>0</v>
      </c>
      <c r="Z15" s="68">
        <f t="shared" si="8"/>
        <v>0</v>
      </c>
      <c r="AA15" s="68">
        <f t="shared" si="9"/>
        <v>0</v>
      </c>
      <c r="AB15" s="68">
        <f t="shared" si="10"/>
        <v>0</v>
      </c>
      <c r="AC15" s="72">
        <f t="shared" si="11"/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s="84" customFormat="1" ht="45" customHeight="1" x14ac:dyDescent="0.2">
      <c r="A16" s="124" t="s">
        <v>49</v>
      </c>
      <c r="B16" s="60"/>
      <c r="C16" s="76"/>
      <c r="D16" s="77"/>
      <c r="E16" s="77"/>
      <c r="F16" s="78"/>
      <c r="G16" s="78"/>
      <c r="H16" s="103"/>
      <c r="I16" s="64"/>
      <c r="J16" s="65"/>
      <c r="K16" s="66"/>
      <c r="L16" s="104"/>
      <c r="M16" s="67"/>
      <c r="N16" s="68">
        <f t="shared" si="0"/>
        <v>0</v>
      </c>
      <c r="O16" s="69"/>
      <c r="P16" s="70"/>
      <c r="Q16" s="70"/>
      <c r="R16" s="71"/>
      <c r="S16" s="68">
        <f t="shared" si="1"/>
        <v>0</v>
      </c>
      <c r="T16" s="68">
        <f t="shared" si="2"/>
        <v>0</v>
      </c>
      <c r="U16" s="68">
        <f t="shared" si="3"/>
        <v>0</v>
      </c>
      <c r="V16" s="68">
        <f t="shared" si="4"/>
        <v>0</v>
      </c>
      <c r="W16" s="68">
        <f t="shared" si="5"/>
        <v>0</v>
      </c>
      <c r="X16" s="68">
        <f t="shared" si="6"/>
        <v>0</v>
      </c>
      <c r="Y16" s="68">
        <f t="shared" si="7"/>
        <v>0</v>
      </c>
      <c r="Z16" s="68">
        <f t="shared" si="8"/>
        <v>0</v>
      </c>
      <c r="AA16" s="68">
        <f t="shared" si="9"/>
        <v>0</v>
      </c>
      <c r="AB16" s="68">
        <f t="shared" si="10"/>
        <v>0</v>
      </c>
      <c r="AC16" s="72">
        <f t="shared" si="11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s="84" customFormat="1" ht="45" customHeight="1" x14ac:dyDescent="0.2">
      <c r="A17" s="124" t="s">
        <v>50</v>
      </c>
      <c r="B17" s="60"/>
      <c r="C17" s="76"/>
      <c r="D17" s="77"/>
      <c r="E17" s="77"/>
      <c r="F17" s="78"/>
      <c r="G17" s="78"/>
      <c r="H17" s="103"/>
      <c r="I17" s="64"/>
      <c r="J17" s="65"/>
      <c r="K17" s="66"/>
      <c r="L17" s="104"/>
      <c r="M17" s="67"/>
      <c r="N17" s="68">
        <f t="shared" si="0"/>
        <v>0</v>
      </c>
      <c r="O17" s="69"/>
      <c r="P17" s="70"/>
      <c r="Q17" s="70"/>
      <c r="R17" s="71"/>
      <c r="S17" s="68">
        <f t="shared" si="1"/>
        <v>0</v>
      </c>
      <c r="T17" s="68">
        <f t="shared" si="2"/>
        <v>0</v>
      </c>
      <c r="U17" s="68">
        <f t="shared" si="3"/>
        <v>0</v>
      </c>
      <c r="V17" s="68">
        <f t="shared" si="4"/>
        <v>0</v>
      </c>
      <c r="W17" s="68">
        <f t="shared" si="5"/>
        <v>0</v>
      </c>
      <c r="X17" s="68">
        <f t="shared" si="6"/>
        <v>0</v>
      </c>
      <c r="Y17" s="68">
        <f t="shared" si="7"/>
        <v>0</v>
      </c>
      <c r="Z17" s="68">
        <f t="shared" si="8"/>
        <v>0</v>
      </c>
      <c r="AA17" s="68">
        <f t="shared" si="9"/>
        <v>0</v>
      </c>
      <c r="AB17" s="68">
        <f t="shared" si="10"/>
        <v>0</v>
      </c>
      <c r="AC17" s="72">
        <f t="shared" si="11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s="84" customFormat="1" ht="45" customHeight="1" x14ac:dyDescent="0.2">
      <c r="A18" s="124" t="s">
        <v>51</v>
      </c>
      <c r="B18" s="60"/>
      <c r="C18" s="76"/>
      <c r="D18" s="77"/>
      <c r="E18" s="77"/>
      <c r="F18" s="78"/>
      <c r="G18" s="78"/>
      <c r="H18" s="103"/>
      <c r="I18" s="64"/>
      <c r="J18" s="65"/>
      <c r="K18" s="66"/>
      <c r="L18" s="104"/>
      <c r="M18" s="67"/>
      <c r="N18" s="68">
        <f t="shared" si="0"/>
        <v>0</v>
      </c>
      <c r="O18" s="69"/>
      <c r="P18" s="70"/>
      <c r="Q18" s="70"/>
      <c r="R18" s="71"/>
      <c r="S18" s="68">
        <f t="shared" si="1"/>
        <v>0</v>
      </c>
      <c r="T18" s="68">
        <f t="shared" si="2"/>
        <v>0</v>
      </c>
      <c r="U18" s="68">
        <f t="shared" si="3"/>
        <v>0</v>
      </c>
      <c r="V18" s="68">
        <f t="shared" si="4"/>
        <v>0</v>
      </c>
      <c r="W18" s="68">
        <f t="shared" si="5"/>
        <v>0</v>
      </c>
      <c r="X18" s="68">
        <f t="shared" si="6"/>
        <v>0</v>
      </c>
      <c r="Y18" s="68">
        <f t="shared" si="7"/>
        <v>0</v>
      </c>
      <c r="Z18" s="68">
        <f t="shared" si="8"/>
        <v>0</v>
      </c>
      <c r="AA18" s="68">
        <f t="shared" si="9"/>
        <v>0</v>
      </c>
      <c r="AB18" s="68">
        <f t="shared" si="10"/>
        <v>0</v>
      </c>
      <c r="AC18" s="72">
        <f t="shared" si="11"/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s="84" customFormat="1" ht="45" customHeight="1" x14ac:dyDescent="0.2">
      <c r="A19" s="124" t="s">
        <v>52</v>
      </c>
      <c r="B19" s="60"/>
      <c r="C19" s="76"/>
      <c r="D19" s="77"/>
      <c r="E19" s="77"/>
      <c r="F19" s="62"/>
      <c r="G19" s="78"/>
      <c r="H19" s="79"/>
      <c r="I19" s="64"/>
      <c r="J19" s="65"/>
      <c r="K19" s="66"/>
      <c r="L19" s="67"/>
      <c r="M19" s="67"/>
      <c r="N19" s="68">
        <f t="shared" si="0"/>
        <v>0</v>
      </c>
      <c r="O19" s="69"/>
      <c r="P19" s="70"/>
      <c r="Q19" s="70"/>
      <c r="R19" s="71"/>
      <c r="S19" s="68">
        <f t="shared" si="1"/>
        <v>0</v>
      </c>
      <c r="T19" s="68">
        <f t="shared" si="2"/>
        <v>0</v>
      </c>
      <c r="U19" s="68">
        <f t="shared" si="3"/>
        <v>0</v>
      </c>
      <c r="V19" s="68">
        <f t="shared" si="4"/>
        <v>0</v>
      </c>
      <c r="W19" s="68">
        <f t="shared" si="5"/>
        <v>0</v>
      </c>
      <c r="X19" s="68">
        <f t="shared" si="6"/>
        <v>0</v>
      </c>
      <c r="Y19" s="68">
        <f t="shared" si="7"/>
        <v>0</v>
      </c>
      <c r="Z19" s="68">
        <f t="shared" si="8"/>
        <v>0</v>
      </c>
      <c r="AA19" s="68">
        <f t="shared" si="9"/>
        <v>0</v>
      </c>
      <c r="AB19" s="68">
        <f t="shared" si="10"/>
        <v>0</v>
      </c>
      <c r="AC19" s="72">
        <f t="shared" si="11"/>
        <v>0</v>
      </c>
      <c r="AD19" s="140">
        <f t="shared" si="12"/>
        <v>0</v>
      </c>
      <c r="AE19" s="140">
        <f t="shared" si="13"/>
        <v>0</v>
      </c>
      <c r="AF19" s="140">
        <f t="shared" si="14"/>
        <v>0</v>
      </c>
      <c r="AG19" s="140"/>
      <c r="AH19" s="141"/>
      <c r="AI19" s="141">
        <f t="shared" si="15"/>
        <v>0</v>
      </c>
      <c r="AJ19" s="146">
        <f t="shared" si="16"/>
        <v>0</v>
      </c>
      <c r="AK19" s="147">
        <v>12</v>
      </c>
      <c r="AL19" s="148"/>
    </row>
    <row r="20" spans="1:38" s="84" customFormat="1" ht="45" customHeight="1" x14ac:dyDescent="0.2">
      <c r="A20" s="124" t="s">
        <v>53</v>
      </c>
      <c r="B20" s="60"/>
      <c r="C20" s="76"/>
      <c r="D20" s="77"/>
      <c r="E20" s="77"/>
      <c r="F20" s="78"/>
      <c r="G20" s="78"/>
      <c r="H20" s="103"/>
      <c r="I20" s="64"/>
      <c r="J20" s="65"/>
      <c r="K20" s="66"/>
      <c r="L20" s="104"/>
      <c r="M20" s="67"/>
      <c r="N20" s="68">
        <f t="shared" si="0"/>
        <v>0</v>
      </c>
      <c r="O20" s="69"/>
      <c r="P20" s="70"/>
      <c r="Q20" s="70"/>
      <c r="R20" s="71"/>
      <c r="S20" s="68">
        <f t="shared" si="1"/>
        <v>0</v>
      </c>
      <c r="T20" s="68">
        <f t="shared" si="2"/>
        <v>0</v>
      </c>
      <c r="U20" s="68">
        <f t="shared" si="3"/>
        <v>0</v>
      </c>
      <c r="V20" s="68">
        <f t="shared" si="4"/>
        <v>0</v>
      </c>
      <c r="W20" s="68">
        <f t="shared" si="5"/>
        <v>0</v>
      </c>
      <c r="X20" s="68">
        <f t="shared" si="6"/>
        <v>0</v>
      </c>
      <c r="Y20" s="68">
        <f t="shared" si="7"/>
        <v>0</v>
      </c>
      <c r="Z20" s="68">
        <f t="shared" si="8"/>
        <v>0</v>
      </c>
      <c r="AA20" s="68">
        <f t="shared" si="9"/>
        <v>0</v>
      </c>
      <c r="AB20" s="68">
        <f t="shared" si="10"/>
        <v>0</v>
      </c>
      <c r="AC20" s="72">
        <f t="shared" si="11"/>
        <v>0</v>
      </c>
      <c r="AD20" s="140">
        <f t="shared" si="12"/>
        <v>0</v>
      </c>
      <c r="AE20" s="140">
        <f t="shared" si="13"/>
        <v>0</v>
      </c>
      <c r="AF20" s="140">
        <f t="shared" si="14"/>
        <v>0</v>
      </c>
      <c r="AG20" s="140"/>
      <c r="AH20" s="141"/>
      <c r="AI20" s="141">
        <f t="shared" si="15"/>
        <v>0</v>
      </c>
      <c r="AJ20" s="146">
        <f t="shared" si="16"/>
        <v>0</v>
      </c>
      <c r="AK20" s="147">
        <v>13</v>
      </c>
      <c r="AL20" s="148"/>
    </row>
    <row r="21" spans="1:38" s="84" customFormat="1" ht="45" customHeight="1" x14ac:dyDescent="0.2">
      <c r="A21" s="124" t="s">
        <v>54</v>
      </c>
      <c r="B21" s="60"/>
      <c r="C21" s="76"/>
      <c r="D21" s="77"/>
      <c r="E21" s="77"/>
      <c r="F21" s="78"/>
      <c r="G21" s="78"/>
      <c r="H21" s="103"/>
      <c r="I21" s="64"/>
      <c r="J21" s="65"/>
      <c r="K21" s="66"/>
      <c r="L21" s="104"/>
      <c r="M21" s="67"/>
      <c r="N21" s="68">
        <f t="shared" si="0"/>
        <v>0</v>
      </c>
      <c r="O21" s="69"/>
      <c r="P21" s="70"/>
      <c r="Q21" s="70"/>
      <c r="R21" s="71"/>
      <c r="S21" s="68">
        <f t="shared" si="1"/>
        <v>0</v>
      </c>
      <c r="T21" s="68">
        <f t="shared" si="2"/>
        <v>0</v>
      </c>
      <c r="U21" s="68">
        <f t="shared" si="3"/>
        <v>0</v>
      </c>
      <c r="V21" s="68">
        <f t="shared" si="4"/>
        <v>0</v>
      </c>
      <c r="W21" s="68">
        <f t="shared" si="5"/>
        <v>0</v>
      </c>
      <c r="X21" s="68">
        <f t="shared" si="6"/>
        <v>0</v>
      </c>
      <c r="Y21" s="68">
        <f t="shared" si="7"/>
        <v>0</v>
      </c>
      <c r="Z21" s="68">
        <f t="shared" si="8"/>
        <v>0</v>
      </c>
      <c r="AA21" s="68">
        <f t="shared" si="9"/>
        <v>0</v>
      </c>
      <c r="AB21" s="68">
        <f t="shared" si="10"/>
        <v>0</v>
      </c>
      <c r="AC21" s="72">
        <f t="shared" si="11"/>
        <v>0</v>
      </c>
      <c r="AD21" s="140">
        <f t="shared" si="12"/>
        <v>0</v>
      </c>
      <c r="AE21" s="140">
        <f t="shared" si="13"/>
        <v>0</v>
      </c>
      <c r="AF21" s="140">
        <f t="shared" si="14"/>
        <v>0</v>
      </c>
      <c r="AG21" s="140"/>
      <c r="AH21" s="141"/>
      <c r="AI21" s="141">
        <f t="shared" si="15"/>
        <v>0</v>
      </c>
      <c r="AJ21" s="146">
        <f t="shared" si="16"/>
        <v>0</v>
      </c>
      <c r="AK21" s="147">
        <v>14</v>
      </c>
      <c r="AL21" s="148"/>
    </row>
    <row r="22" spans="1:38" s="84" customFormat="1" ht="45" customHeight="1" x14ac:dyDescent="0.2">
      <c r="A22" s="124" t="s">
        <v>65</v>
      </c>
      <c r="B22" s="60"/>
      <c r="C22" s="76"/>
      <c r="D22" s="77"/>
      <c r="E22" s="77"/>
      <c r="F22" s="78"/>
      <c r="G22" s="78"/>
      <c r="H22" s="103"/>
      <c r="I22" s="64"/>
      <c r="J22" s="65"/>
      <c r="K22" s="66"/>
      <c r="L22" s="104"/>
      <c r="M22" s="67"/>
      <c r="N22" s="68">
        <f t="shared" si="0"/>
        <v>0</v>
      </c>
      <c r="O22" s="69"/>
      <c r="P22" s="70"/>
      <c r="Q22" s="70"/>
      <c r="R22" s="71"/>
      <c r="S22" s="68">
        <f t="shared" si="1"/>
        <v>0</v>
      </c>
      <c r="T22" s="68">
        <f t="shared" si="2"/>
        <v>0</v>
      </c>
      <c r="U22" s="68">
        <f t="shared" si="3"/>
        <v>0</v>
      </c>
      <c r="V22" s="68">
        <f t="shared" si="4"/>
        <v>0</v>
      </c>
      <c r="W22" s="68">
        <f t="shared" si="5"/>
        <v>0</v>
      </c>
      <c r="X22" s="68">
        <f t="shared" si="6"/>
        <v>0</v>
      </c>
      <c r="Y22" s="68">
        <f t="shared" si="7"/>
        <v>0</v>
      </c>
      <c r="Z22" s="68">
        <f t="shared" si="8"/>
        <v>0</v>
      </c>
      <c r="AA22" s="68">
        <f t="shared" si="9"/>
        <v>0</v>
      </c>
      <c r="AB22" s="68">
        <f t="shared" si="10"/>
        <v>0</v>
      </c>
      <c r="AC22" s="72">
        <f t="shared" si="11"/>
        <v>0</v>
      </c>
      <c r="AD22" s="140">
        <f t="shared" si="12"/>
        <v>0</v>
      </c>
      <c r="AE22" s="140">
        <f t="shared" si="13"/>
        <v>0</v>
      </c>
      <c r="AF22" s="140">
        <f t="shared" si="14"/>
        <v>0</v>
      </c>
      <c r="AG22" s="140"/>
      <c r="AH22" s="141"/>
      <c r="AI22" s="141">
        <f t="shared" si="15"/>
        <v>0</v>
      </c>
      <c r="AJ22" s="146">
        <f t="shared" si="16"/>
        <v>0</v>
      </c>
      <c r="AK22" s="147">
        <v>15</v>
      </c>
      <c r="AL22" s="148"/>
    </row>
    <row r="23" spans="1:38" s="84" customFormat="1" ht="45" customHeight="1" x14ac:dyDescent="0.2">
      <c r="A23" s="124" t="s">
        <v>66</v>
      </c>
      <c r="B23" s="60"/>
      <c r="C23" s="76"/>
      <c r="D23" s="77"/>
      <c r="E23" s="77"/>
      <c r="F23" s="78"/>
      <c r="G23" s="78"/>
      <c r="H23" s="103"/>
      <c r="I23" s="64"/>
      <c r="J23" s="65"/>
      <c r="K23" s="66"/>
      <c r="L23" s="104"/>
      <c r="M23" s="67"/>
      <c r="N23" s="68">
        <f t="shared" si="0"/>
        <v>0</v>
      </c>
      <c r="O23" s="69"/>
      <c r="P23" s="70"/>
      <c r="Q23" s="70"/>
      <c r="R23" s="71"/>
      <c r="S23" s="68">
        <f t="shared" si="1"/>
        <v>0</v>
      </c>
      <c r="T23" s="68">
        <f t="shared" si="2"/>
        <v>0</v>
      </c>
      <c r="U23" s="68">
        <f t="shared" si="3"/>
        <v>0</v>
      </c>
      <c r="V23" s="68">
        <f t="shared" si="4"/>
        <v>0</v>
      </c>
      <c r="W23" s="68">
        <f t="shared" si="5"/>
        <v>0</v>
      </c>
      <c r="X23" s="68">
        <f t="shared" si="6"/>
        <v>0</v>
      </c>
      <c r="Y23" s="68">
        <f t="shared" si="7"/>
        <v>0</v>
      </c>
      <c r="Z23" s="68">
        <f t="shared" si="8"/>
        <v>0</v>
      </c>
      <c r="AA23" s="68">
        <f t="shared" si="9"/>
        <v>0</v>
      </c>
      <c r="AB23" s="68">
        <f t="shared" si="10"/>
        <v>0</v>
      </c>
      <c r="AC23" s="72">
        <f t="shared" si="11"/>
        <v>0</v>
      </c>
      <c r="AD23" s="140">
        <f t="shared" si="12"/>
        <v>0</v>
      </c>
      <c r="AE23" s="140">
        <f t="shared" si="13"/>
        <v>0</v>
      </c>
      <c r="AF23" s="140">
        <f t="shared" si="14"/>
        <v>0</v>
      </c>
      <c r="AG23" s="140"/>
      <c r="AH23" s="141"/>
      <c r="AI23" s="141">
        <f t="shared" si="15"/>
        <v>0</v>
      </c>
      <c r="AJ23" s="146">
        <f t="shared" si="16"/>
        <v>0</v>
      </c>
      <c r="AK23" s="147">
        <v>16</v>
      </c>
      <c r="AL23" s="148"/>
    </row>
    <row r="24" spans="1:38" s="84" customFormat="1" ht="45" customHeight="1" x14ac:dyDescent="0.2">
      <c r="A24" s="124" t="s">
        <v>67</v>
      </c>
      <c r="B24" s="60"/>
      <c r="C24" s="76"/>
      <c r="D24" s="77"/>
      <c r="E24" s="77"/>
      <c r="F24" s="78"/>
      <c r="G24" s="78"/>
      <c r="H24" s="103"/>
      <c r="I24" s="64"/>
      <c r="J24" s="65"/>
      <c r="K24" s="66"/>
      <c r="L24" s="104"/>
      <c r="M24" s="67"/>
      <c r="N24" s="68">
        <f t="shared" si="0"/>
        <v>0</v>
      </c>
      <c r="O24" s="69"/>
      <c r="P24" s="70"/>
      <c r="Q24" s="70"/>
      <c r="R24" s="71"/>
      <c r="S24" s="68">
        <f t="shared" si="1"/>
        <v>0</v>
      </c>
      <c r="T24" s="68">
        <f t="shared" si="2"/>
        <v>0</v>
      </c>
      <c r="U24" s="68">
        <f t="shared" si="3"/>
        <v>0</v>
      </c>
      <c r="V24" s="68">
        <f t="shared" si="4"/>
        <v>0</v>
      </c>
      <c r="W24" s="68">
        <f t="shared" si="5"/>
        <v>0</v>
      </c>
      <c r="X24" s="68">
        <f t="shared" si="6"/>
        <v>0</v>
      </c>
      <c r="Y24" s="68">
        <f t="shared" si="7"/>
        <v>0</v>
      </c>
      <c r="Z24" s="68">
        <f t="shared" si="8"/>
        <v>0</v>
      </c>
      <c r="AA24" s="68">
        <f t="shared" si="9"/>
        <v>0</v>
      </c>
      <c r="AB24" s="68">
        <f t="shared" si="10"/>
        <v>0</v>
      </c>
      <c r="AC24" s="72">
        <f t="shared" si="11"/>
        <v>0</v>
      </c>
      <c r="AD24" s="140">
        <f t="shared" si="12"/>
        <v>0</v>
      </c>
      <c r="AE24" s="140">
        <f t="shared" si="13"/>
        <v>0</v>
      </c>
      <c r="AF24" s="140">
        <f t="shared" si="14"/>
        <v>0</v>
      </c>
      <c r="AG24" s="140"/>
      <c r="AH24" s="141"/>
      <c r="AI24" s="141">
        <f t="shared" si="15"/>
        <v>0</v>
      </c>
      <c r="AJ24" s="146">
        <f t="shared" si="16"/>
        <v>0</v>
      </c>
      <c r="AK24" s="147">
        <v>17</v>
      </c>
      <c r="AL24" s="148"/>
    </row>
    <row r="25" spans="1:38" s="84" customFormat="1" ht="45" customHeight="1" x14ac:dyDescent="0.2">
      <c r="A25" s="124" t="s">
        <v>68</v>
      </c>
      <c r="B25" s="60"/>
      <c r="C25" s="76"/>
      <c r="D25" s="77"/>
      <c r="E25" s="77"/>
      <c r="F25" s="78"/>
      <c r="G25" s="78"/>
      <c r="H25" s="103"/>
      <c r="I25" s="64"/>
      <c r="J25" s="65"/>
      <c r="K25" s="66"/>
      <c r="L25" s="104"/>
      <c r="M25" s="67"/>
      <c r="N25" s="68">
        <f t="shared" si="0"/>
        <v>0</v>
      </c>
      <c r="O25" s="69"/>
      <c r="P25" s="70"/>
      <c r="Q25" s="70"/>
      <c r="R25" s="71"/>
      <c r="S25" s="68">
        <f t="shared" si="1"/>
        <v>0</v>
      </c>
      <c r="T25" s="68">
        <f t="shared" si="2"/>
        <v>0</v>
      </c>
      <c r="U25" s="68">
        <f t="shared" si="3"/>
        <v>0</v>
      </c>
      <c r="V25" s="68">
        <f t="shared" si="4"/>
        <v>0</v>
      </c>
      <c r="W25" s="68">
        <f t="shared" si="5"/>
        <v>0</v>
      </c>
      <c r="X25" s="68">
        <f t="shared" si="6"/>
        <v>0</v>
      </c>
      <c r="Y25" s="68">
        <f t="shared" si="7"/>
        <v>0</v>
      </c>
      <c r="Z25" s="68">
        <f t="shared" si="8"/>
        <v>0</v>
      </c>
      <c r="AA25" s="68">
        <f t="shared" si="9"/>
        <v>0</v>
      </c>
      <c r="AB25" s="68">
        <f t="shared" si="10"/>
        <v>0</v>
      </c>
      <c r="AC25" s="72">
        <f t="shared" si="11"/>
        <v>0</v>
      </c>
      <c r="AD25" s="140">
        <f t="shared" si="12"/>
        <v>0</v>
      </c>
      <c r="AE25" s="140">
        <f t="shared" si="13"/>
        <v>0</v>
      </c>
      <c r="AF25" s="140">
        <f t="shared" si="14"/>
        <v>0</v>
      </c>
      <c r="AG25" s="140"/>
      <c r="AH25" s="141"/>
      <c r="AI25" s="141">
        <f t="shared" si="15"/>
        <v>0</v>
      </c>
      <c r="AJ25" s="146">
        <f t="shared" si="16"/>
        <v>0</v>
      </c>
      <c r="AK25" s="147">
        <v>18</v>
      </c>
      <c r="AL25" s="148"/>
    </row>
    <row r="26" spans="1:38" s="84" customFormat="1" ht="45" customHeight="1" x14ac:dyDescent="0.2">
      <c r="A26" s="124" t="s">
        <v>69</v>
      </c>
      <c r="B26" s="60"/>
      <c r="C26" s="76"/>
      <c r="D26" s="77"/>
      <c r="E26" s="77"/>
      <c r="F26" s="78"/>
      <c r="G26" s="78"/>
      <c r="H26" s="103"/>
      <c r="I26" s="64"/>
      <c r="J26" s="65"/>
      <c r="K26" s="66"/>
      <c r="L26" s="104"/>
      <c r="M26" s="67"/>
      <c r="N26" s="68">
        <f t="shared" si="0"/>
        <v>0</v>
      </c>
      <c r="O26" s="69"/>
      <c r="P26" s="70"/>
      <c r="Q26" s="70"/>
      <c r="R26" s="71"/>
      <c r="S26" s="68">
        <f t="shared" si="1"/>
        <v>0</v>
      </c>
      <c r="T26" s="68">
        <f t="shared" si="2"/>
        <v>0</v>
      </c>
      <c r="U26" s="68">
        <f t="shared" si="3"/>
        <v>0</v>
      </c>
      <c r="V26" s="68">
        <f t="shared" si="4"/>
        <v>0</v>
      </c>
      <c r="W26" s="68">
        <f t="shared" si="5"/>
        <v>0</v>
      </c>
      <c r="X26" s="68">
        <f t="shared" si="6"/>
        <v>0</v>
      </c>
      <c r="Y26" s="68">
        <f t="shared" si="7"/>
        <v>0</v>
      </c>
      <c r="Z26" s="68">
        <f t="shared" si="8"/>
        <v>0</v>
      </c>
      <c r="AA26" s="68">
        <f t="shared" si="9"/>
        <v>0</v>
      </c>
      <c r="AB26" s="163">
        <f t="shared" si="10"/>
        <v>0</v>
      </c>
      <c r="AC26" s="157">
        <f t="shared" si="11"/>
        <v>0</v>
      </c>
      <c r="AD26" s="142">
        <f t="shared" si="12"/>
        <v>0</v>
      </c>
      <c r="AE26" s="142">
        <f t="shared" si="13"/>
        <v>0</v>
      </c>
      <c r="AF26" s="142">
        <f t="shared" si="14"/>
        <v>0</v>
      </c>
      <c r="AG26" s="142"/>
      <c r="AH26" s="143"/>
      <c r="AI26" s="143">
        <f t="shared" si="15"/>
        <v>0</v>
      </c>
      <c r="AJ26" s="149">
        <f t="shared" si="16"/>
        <v>0</v>
      </c>
      <c r="AK26" s="150">
        <v>19</v>
      </c>
      <c r="AL26" s="148"/>
    </row>
    <row r="27" spans="1:38" s="84" customFormat="1" ht="45" customHeight="1" x14ac:dyDescent="0.2">
      <c r="A27" s="124" t="s">
        <v>70</v>
      </c>
      <c r="B27" s="60"/>
      <c r="C27" s="76"/>
      <c r="D27" s="77"/>
      <c r="E27" s="77"/>
      <c r="F27" s="78"/>
      <c r="G27" s="78"/>
      <c r="H27" s="103"/>
      <c r="I27" s="64"/>
      <c r="J27" s="65"/>
      <c r="K27" s="66"/>
      <c r="L27" s="104"/>
      <c r="M27" s="67"/>
      <c r="N27" s="68">
        <f t="shared" si="0"/>
        <v>0</v>
      </c>
      <c r="O27" s="69"/>
      <c r="P27" s="70"/>
      <c r="Q27" s="70"/>
      <c r="R27" s="71"/>
      <c r="S27" s="68">
        <f t="shared" si="1"/>
        <v>0</v>
      </c>
      <c r="T27" s="68">
        <f t="shared" si="2"/>
        <v>0</v>
      </c>
      <c r="U27" s="68">
        <f t="shared" si="3"/>
        <v>0</v>
      </c>
      <c r="V27" s="68">
        <f t="shared" si="4"/>
        <v>0</v>
      </c>
      <c r="W27" s="68">
        <f t="shared" si="5"/>
        <v>0</v>
      </c>
      <c r="X27" s="68">
        <f t="shared" si="6"/>
        <v>0</v>
      </c>
      <c r="Y27" s="68">
        <f t="shared" si="7"/>
        <v>0</v>
      </c>
      <c r="Z27" s="68">
        <f t="shared" si="8"/>
        <v>0</v>
      </c>
      <c r="AA27" s="155">
        <f t="shared" si="9"/>
        <v>0</v>
      </c>
      <c r="AB27" s="164">
        <f t="shared" si="10"/>
        <v>0</v>
      </c>
      <c r="AC27" s="158">
        <f t="shared" si="11"/>
        <v>0</v>
      </c>
      <c r="AD27" s="140">
        <f t="shared" si="12"/>
        <v>0</v>
      </c>
      <c r="AE27" s="140">
        <f t="shared" si="13"/>
        <v>0</v>
      </c>
      <c r="AF27" s="140">
        <f t="shared" si="14"/>
        <v>0</v>
      </c>
      <c r="AG27" s="140"/>
      <c r="AH27" s="141"/>
      <c r="AI27" s="141">
        <f t="shared" si="15"/>
        <v>0</v>
      </c>
      <c r="AJ27" s="146">
        <f t="shared" si="16"/>
        <v>0</v>
      </c>
      <c r="AK27" s="159">
        <v>20</v>
      </c>
      <c r="AL27" s="148"/>
    </row>
    <row r="28" spans="1:38" s="84" customFormat="1" x14ac:dyDescent="0.2">
      <c r="A28" s="83"/>
      <c r="K28" s="85"/>
      <c r="L28" s="86"/>
      <c r="M28" s="86"/>
      <c r="N28" s="68">
        <f>I28*(SUM(K28:M28))</f>
        <v>0</v>
      </c>
      <c r="O28" s="87"/>
      <c r="P28" s="88"/>
      <c r="Q28" s="88"/>
      <c r="R28" s="88"/>
      <c r="S28" s="89"/>
      <c r="T28" s="88">
        <f>SUM(T8:T27)</f>
        <v>0</v>
      </c>
      <c r="U28" s="89"/>
      <c r="V28" s="89"/>
      <c r="W28" s="89"/>
      <c r="X28" s="88">
        <f>SUM(X8:X27)</f>
        <v>0</v>
      </c>
      <c r="Y28" s="89"/>
      <c r="Z28" s="88">
        <f>SUM(Z8:Z27)</f>
        <v>0</v>
      </c>
      <c r="AA28" s="162"/>
      <c r="AB28" s="161">
        <f t="shared" ref="AB28:AJ28" si="17">SUM(AB8:AB27)</f>
        <v>0</v>
      </c>
      <c r="AC28" s="161">
        <f t="shared" si="17"/>
        <v>0</v>
      </c>
      <c r="AD28" s="161">
        <f t="shared" si="17"/>
        <v>0</v>
      </c>
      <c r="AE28" s="161">
        <f t="shared" si="17"/>
        <v>0</v>
      </c>
      <c r="AF28" s="161">
        <f t="shared" si="17"/>
        <v>0</v>
      </c>
      <c r="AG28" s="161">
        <f t="shared" si="17"/>
        <v>0</v>
      </c>
      <c r="AH28" s="161">
        <f t="shared" si="17"/>
        <v>0</v>
      </c>
      <c r="AI28" s="161">
        <f t="shared" si="17"/>
        <v>0</v>
      </c>
      <c r="AJ28" s="161">
        <f t="shared" si="17"/>
        <v>0</v>
      </c>
      <c r="AK28" s="159"/>
      <c r="AL28" s="151"/>
    </row>
    <row r="29" spans="1:38" x14ac:dyDescent="0.2">
      <c r="B29" s="7"/>
      <c r="C29" s="7"/>
      <c r="D29" s="7"/>
      <c r="E29" s="7"/>
      <c r="F29" s="7"/>
      <c r="G29" s="7"/>
      <c r="H29" s="7"/>
      <c r="I29" s="7"/>
      <c r="K29" s="15"/>
      <c r="L29" s="7"/>
      <c r="M29" s="7"/>
      <c r="N29" s="99"/>
      <c r="O29" s="100"/>
      <c r="P29" s="101"/>
      <c r="Q29" s="101"/>
      <c r="R29" s="101"/>
      <c r="S29" s="102"/>
      <c r="T29" s="101"/>
      <c r="U29" s="102"/>
      <c r="V29" s="102"/>
      <c r="W29" s="102"/>
      <c r="X29" s="101"/>
      <c r="Y29" s="102"/>
      <c r="Z29" s="101"/>
      <c r="AA29" s="102"/>
      <c r="AB29" s="101"/>
      <c r="AC29" s="101"/>
      <c r="AD29" s="144"/>
      <c r="AE29" s="144"/>
      <c r="AF29" s="144"/>
      <c r="AG29" s="144"/>
      <c r="AH29" s="145"/>
      <c r="AI29" s="145"/>
      <c r="AJ29" s="152"/>
      <c r="AK29" s="153"/>
      <c r="AL29" s="154"/>
    </row>
    <row r="30" spans="1:38" x14ac:dyDescent="0.2">
      <c r="B30" s="7"/>
      <c r="C30" s="7"/>
      <c r="D30" s="7"/>
      <c r="E30" s="7"/>
      <c r="F30" s="7"/>
      <c r="G30" s="7"/>
      <c r="H30" s="7"/>
      <c r="I30" s="7"/>
      <c r="K30" s="15"/>
      <c r="L30" s="7"/>
      <c r="M30" s="7"/>
      <c r="N30" s="99"/>
      <c r="O30" s="100"/>
      <c r="P30" s="101"/>
      <c r="Q30" s="101"/>
      <c r="R30" s="101"/>
      <c r="S30" s="102"/>
      <c r="T30" s="101"/>
      <c r="U30" s="102"/>
      <c r="V30" s="102"/>
      <c r="W30" s="102"/>
      <c r="X30" s="101"/>
      <c r="Y30" s="102"/>
      <c r="Z30" s="101"/>
      <c r="AA30" s="102"/>
      <c r="AB30" s="101"/>
      <c r="AC30" s="101"/>
      <c r="AD30" s="144"/>
      <c r="AE30" s="144"/>
      <c r="AF30" s="144"/>
      <c r="AG30" s="144"/>
      <c r="AH30" s="145"/>
      <c r="AI30" s="145"/>
      <c r="AJ30" s="152"/>
      <c r="AK30" s="153"/>
      <c r="AL30" s="154"/>
    </row>
    <row r="31" spans="1:38" x14ac:dyDescent="0.2">
      <c r="B31" s="7"/>
      <c r="C31" s="7"/>
      <c r="D31" s="7"/>
      <c r="E31" s="7"/>
      <c r="F31" s="7"/>
      <c r="G31" s="7"/>
      <c r="H31" s="7"/>
      <c r="I31" s="7"/>
      <c r="K31" s="15"/>
      <c r="L31" s="7"/>
      <c r="M31" s="7"/>
      <c r="N31" s="99"/>
      <c r="O31" s="100"/>
      <c r="P31" s="101"/>
      <c r="Q31" s="101"/>
      <c r="R31" s="101"/>
      <c r="S31" s="102"/>
      <c r="T31" s="101"/>
      <c r="U31" s="102"/>
      <c r="V31" s="102"/>
      <c r="W31" s="102"/>
      <c r="X31" s="101"/>
      <c r="Y31" s="102"/>
      <c r="Z31" s="101"/>
      <c r="AA31" s="102"/>
      <c r="AB31" s="101"/>
      <c r="AC31" s="101"/>
      <c r="AD31" s="144"/>
      <c r="AE31" s="144"/>
      <c r="AF31" s="144"/>
      <c r="AG31" s="144"/>
      <c r="AH31" s="145"/>
      <c r="AI31" s="145"/>
      <c r="AJ31" s="152"/>
      <c r="AK31" s="153"/>
      <c r="AL31" s="154"/>
    </row>
    <row r="32" spans="1:38" x14ac:dyDescent="0.2">
      <c r="B32" s="7"/>
      <c r="C32" s="7"/>
      <c r="D32" s="7"/>
      <c r="E32" s="7"/>
      <c r="F32" s="7"/>
      <c r="G32" s="7"/>
      <c r="H32" s="7"/>
      <c r="I32" s="7"/>
      <c r="K32" s="15"/>
      <c r="L32" s="7"/>
      <c r="M32" s="7"/>
      <c r="N32" s="99"/>
      <c r="O32" s="100"/>
      <c r="P32" s="101"/>
      <c r="Q32" s="101"/>
      <c r="R32" s="101"/>
      <c r="S32" s="102"/>
      <c r="T32" s="101"/>
      <c r="U32" s="102"/>
      <c r="V32" s="102"/>
      <c r="W32" s="102"/>
      <c r="X32" s="101"/>
      <c r="Y32" s="102"/>
      <c r="Z32" s="101"/>
      <c r="AA32" s="102"/>
      <c r="AB32" s="101"/>
      <c r="AC32" s="101"/>
      <c r="AD32" s="144"/>
      <c r="AE32" s="144"/>
      <c r="AF32" s="144"/>
      <c r="AG32" s="144"/>
      <c r="AH32" s="145"/>
      <c r="AI32" s="145"/>
      <c r="AJ32" s="152"/>
      <c r="AK32" s="153"/>
      <c r="AL32" s="154"/>
    </row>
    <row r="33" spans="2:38" x14ac:dyDescent="0.2">
      <c r="B33" s="7"/>
      <c r="C33" s="7"/>
      <c r="D33" s="7"/>
      <c r="E33" s="7"/>
      <c r="F33" s="7"/>
      <c r="G33" s="7"/>
      <c r="H33" s="7"/>
      <c r="I33" s="7"/>
      <c r="K33" s="15"/>
      <c r="L33" s="7"/>
      <c r="M33" s="7"/>
      <c r="AD33" s="144"/>
      <c r="AE33" s="144"/>
      <c r="AF33" s="144"/>
      <c r="AG33" s="144"/>
      <c r="AH33" s="145"/>
      <c r="AI33" s="145"/>
      <c r="AJ33" s="152"/>
      <c r="AK33" s="153"/>
      <c r="AL33" s="154"/>
    </row>
    <row r="34" spans="2:38" ht="19" customHeight="1" x14ac:dyDescent="0.25">
      <c r="B34" s="174" t="s">
        <v>55</v>
      </c>
      <c r="C34" s="175"/>
      <c r="D34" s="175"/>
      <c r="E34" s="175"/>
      <c r="F34" s="175"/>
      <c r="G34" s="175"/>
      <c r="H34" s="175"/>
      <c r="I34" s="175"/>
      <c r="J34" s="175"/>
      <c r="K34" s="175"/>
      <c r="L34" s="175"/>
      <c r="M34" s="175"/>
      <c r="N34" s="175"/>
      <c r="O34" s="176"/>
      <c r="P34" s="175"/>
      <c r="Q34" s="175"/>
      <c r="R34" s="175"/>
      <c r="S34" s="175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144"/>
      <c r="AE34" s="144"/>
      <c r="AF34" s="144"/>
      <c r="AG34" s="144"/>
      <c r="AH34" s="145"/>
      <c r="AI34" s="145"/>
      <c r="AJ34" s="152"/>
      <c r="AK34" s="153"/>
      <c r="AL34" s="154"/>
    </row>
    <row r="35" spans="2:38" ht="14.5" customHeight="1" x14ac:dyDescent="0.25">
      <c r="B35" s="174" t="s">
        <v>56</v>
      </c>
      <c r="C35" s="175"/>
      <c r="D35" s="175"/>
      <c r="E35" s="175"/>
      <c r="F35" s="175"/>
      <c r="G35" s="175"/>
      <c r="H35" s="175"/>
      <c r="I35" s="175"/>
      <c r="J35" s="175"/>
      <c r="K35" s="175"/>
      <c r="L35" s="175"/>
      <c r="M35" s="175"/>
      <c r="N35" s="175"/>
      <c r="O35" s="176"/>
      <c r="P35" s="175"/>
      <c r="Q35" s="175"/>
      <c r="R35" s="175"/>
      <c r="S35" s="175"/>
      <c r="T35" s="50"/>
      <c r="U35" s="50"/>
      <c r="V35" s="50"/>
      <c r="W35" s="50"/>
      <c r="X35" s="50"/>
      <c r="Y35" s="50"/>
      <c r="Z35" s="50"/>
      <c r="AA35" s="50"/>
      <c r="AB35" s="50"/>
      <c r="AC35" s="51"/>
      <c r="AD35" s="144"/>
      <c r="AE35" s="144"/>
      <c r="AF35" s="144"/>
      <c r="AG35" s="144"/>
      <c r="AH35" s="145"/>
      <c r="AI35" s="145"/>
      <c r="AJ35" s="152"/>
      <c r="AK35" s="153"/>
      <c r="AL35" s="154"/>
    </row>
    <row r="36" spans="2:38" ht="19" customHeight="1" x14ac:dyDescent="0.25"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2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3"/>
    </row>
    <row r="37" spans="2:38" ht="19" customHeight="1" x14ac:dyDescent="0.25"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2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3"/>
    </row>
    <row r="38" spans="2:38" ht="19" customHeight="1" x14ac:dyDescent="0.25"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2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5"/>
    </row>
    <row r="39" spans="2:38" ht="19" customHeight="1" x14ac:dyDescent="0.25">
      <c r="B39" s="50"/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2"/>
      <c r="P39" s="50"/>
      <c r="Q39" s="50"/>
      <c r="R39" s="50"/>
      <c r="S39" s="50"/>
      <c r="T39" s="52"/>
      <c r="U39" s="52"/>
      <c r="V39" s="50"/>
      <c r="W39" s="50"/>
      <c r="X39" s="50"/>
      <c r="Y39" s="50"/>
      <c r="Z39" s="50"/>
      <c r="AA39" s="50"/>
      <c r="AB39" s="50"/>
      <c r="AC39" s="50"/>
    </row>
    <row r="40" spans="2:38" ht="19" customHeight="1" x14ac:dyDescent="0.25">
      <c r="B40" s="199" t="s">
        <v>58</v>
      </c>
      <c r="C40" s="175"/>
      <c r="D40" s="175"/>
      <c r="E40" s="175"/>
      <c r="F40" s="175"/>
      <c r="G40" s="175"/>
      <c r="H40" s="175"/>
      <c r="I40" s="175"/>
      <c r="J40" s="175"/>
      <c r="K40" s="175"/>
      <c r="L40" s="175"/>
      <c r="M40" s="175"/>
      <c r="N40" s="175"/>
      <c r="O40" s="176"/>
      <c r="P40" s="175"/>
      <c r="Q40" s="175"/>
      <c r="R40" s="175"/>
      <c r="S40" s="175"/>
      <c r="T40" s="56"/>
      <c r="U40" s="56"/>
      <c r="V40" s="56"/>
      <c r="W40" s="56"/>
      <c r="X40" s="50"/>
      <c r="Y40" s="50"/>
      <c r="Z40" s="50"/>
      <c r="AA40" s="50"/>
      <c r="AB40" s="50"/>
      <c r="AC40" s="50"/>
    </row>
    <row r="41" spans="2:38" ht="19" customHeight="1" x14ac:dyDescent="0.25">
      <c r="B41" s="174" t="s">
        <v>60</v>
      </c>
      <c r="C41" s="175"/>
      <c r="D41" s="175"/>
      <c r="E41" s="175"/>
      <c r="F41" s="175"/>
      <c r="G41" s="175"/>
      <c r="H41" s="175"/>
      <c r="I41" s="175"/>
      <c r="J41" s="175"/>
      <c r="K41" s="175"/>
      <c r="L41" s="175"/>
      <c r="M41" s="175"/>
      <c r="N41" s="175"/>
      <c r="O41" s="176"/>
      <c r="P41" s="175"/>
      <c r="Q41" s="175"/>
      <c r="R41" s="175"/>
      <c r="S41" s="175"/>
      <c r="T41" s="56"/>
      <c r="U41" s="56"/>
      <c r="V41" s="56"/>
      <c r="W41" s="56"/>
      <c r="X41" s="50"/>
      <c r="Y41" s="50"/>
      <c r="Z41" s="50"/>
      <c r="AA41" s="50"/>
      <c r="AB41" s="50"/>
      <c r="AC41" s="50"/>
    </row>
    <row r="42" spans="2:38" x14ac:dyDescent="0.2">
      <c r="X42" s="7"/>
      <c r="Y42" s="7"/>
      <c r="Z42" s="7"/>
      <c r="AA42" s="7"/>
      <c r="AB42" s="7"/>
      <c r="AC42" s="7"/>
    </row>
    <row r="43" spans="2:38" x14ac:dyDescent="0.2">
      <c r="V43" s="7"/>
      <c r="W43" s="7"/>
      <c r="X43" s="7"/>
      <c r="Y43" s="7"/>
      <c r="Z43" s="7"/>
      <c r="AA43" s="7"/>
      <c r="AB43" s="7"/>
      <c r="AC43" s="18" t="s">
        <v>62</v>
      </c>
    </row>
    <row r="44" spans="2:38" x14ac:dyDescent="0.2">
      <c r="V44" s="7"/>
      <c r="W44" s="7"/>
      <c r="X44" s="7"/>
      <c r="Y44" s="7"/>
      <c r="Z44" s="7"/>
      <c r="AA44" s="7"/>
      <c r="AB44" s="7"/>
      <c r="AC44" s="18"/>
    </row>
    <row r="45" spans="2:38" x14ac:dyDescent="0.2">
      <c r="V45" s="7"/>
      <c r="W45" s="7"/>
      <c r="X45" s="7"/>
      <c r="Y45" s="7"/>
      <c r="Z45" s="7"/>
      <c r="AA45" s="7"/>
      <c r="AB45" s="7"/>
      <c r="AC45" s="19"/>
    </row>
    <row r="46" spans="2:38" x14ac:dyDescent="0.2">
      <c r="V46" s="7"/>
      <c r="W46" s="7"/>
      <c r="X46" s="7"/>
      <c r="Y46" s="7"/>
      <c r="Z46" s="7"/>
      <c r="AA46" s="7"/>
      <c r="AB46" s="7"/>
      <c r="AC46" s="18"/>
    </row>
    <row r="47" spans="2:38" x14ac:dyDescent="0.2">
      <c r="V47" s="7"/>
      <c r="W47" s="7"/>
      <c r="X47" s="7"/>
      <c r="Y47" s="7"/>
      <c r="Z47" s="7"/>
      <c r="AA47" s="7"/>
      <c r="AB47" s="7"/>
      <c r="AC47" s="18"/>
    </row>
    <row r="48" spans="2:38" x14ac:dyDescent="0.2">
      <c r="V48" s="7"/>
      <c r="W48" s="7"/>
      <c r="X48" s="7"/>
      <c r="Y48" s="7"/>
      <c r="Z48" s="7"/>
      <c r="AA48" s="7"/>
      <c r="AB48" s="7"/>
      <c r="AC48" s="7"/>
    </row>
    <row r="49" spans="20:29" x14ac:dyDescent="0.2">
      <c r="T49" s="20"/>
      <c r="V49" s="7"/>
      <c r="W49" s="7"/>
      <c r="X49" s="20"/>
      <c r="Y49" s="7"/>
      <c r="Z49" s="20"/>
      <c r="AA49" s="7"/>
      <c r="AB49" s="20"/>
      <c r="AC49" s="20"/>
    </row>
    <row r="50" spans="20:29" x14ac:dyDescent="0.2">
      <c r="T50" s="21"/>
      <c r="U50" s="21"/>
      <c r="V50" s="18"/>
      <c r="W50" s="18"/>
      <c r="X50" s="18"/>
      <c r="Y50" s="18"/>
      <c r="Z50" s="18"/>
      <c r="AA50" s="18"/>
      <c r="AB50" s="18"/>
      <c r="AC50" s="18"/>
    </row>
    <row r="51" spans="20:29" x14ac:dyDescent="0.2">
      <c r="T51" s="21"/>
      <c r="U51" s="21"/>
      <c r="V51" s="18"/>
      <c r="W51" s="18"/>
      <c r="X51" s="21"/>
      <c r="Y51" s="18"/>
      <c r="Z51" s="21"/>
      <c r="AA51" s="18"/>
      <c r="AB51" s="21"/>
      <c r="AC51" s="21"/>
    </row>
    <row r="52" spans="20:29" x14ac:dyDescent="0.2">
      <c r="T52" s="21"/>
      <c r="U52" s="22"/>
      <c r="V52" s="23"/>
      <c r="W52" s="23"/>
      <c r="X52" s="21"/>
      <c r="Y52" s="23"/>
      <c r="Z52" s="21"/>
      <c r="AA52" s="23"/>
      <c r="AB52" s="21"/>
      <c r="AC52" s="21"/>
    </row>
    <row r="53" spans="20:29" x14ac:dyDescent="0.2">
      <c r="T53" s="22"/>
      <c r="U53" s="22"/>
      <c r="V53" s="23"/>
      <c r="W53" s="23"/>
      <c r="X53" s="23"/>
      <c r="Y53" s="23"/>
      <c r="Z53" s="23"/>
      <c r="AA53" s="23"/>
      <c r="AB53" s="23"/>
      <c r="AC53" s="23"/>
    </row>
    <row r="54" spans="20:29" x14ac:dyDescent="0.2">
      <c r="T54" s="22"/>
      <c r="U54" s="22"/>
      <c r="V54" s="23"/>
      <c r="W54" s="23"/>
      <c r="X54" s="23"/>
      <c r="Y54" s="23"/>
      <c r="Z54" s="23"/>
      <c r="AA54" s="23"/>
      <c r="AB54" s="23"/>
      <c r="AC54" s="23"/>
    </row>
    <row r="55" spans="20:29" x14ac:dyDescent="0.2">
      <c r="V55" s="7"/>
      <c r="W55" s="7"/>
      <c r="X55" s="7"/>
      <c r="Y55" s="7"/>
      <c r="Z55" s="7"/>
      <c r="AA55" s="7"/>
      <c r="AB55" s="7"/>
      <c r="AC55" s="7"/>
    </row>
    <row r="56" spans="20:29" x14ac:dyDescent="0.2">
      <c r="V56" s="7"/>
      <c r="W56" s="7"/>
      <c r="X56" s="7"/>
      <c r="Y56" s="7"/>
      <c r="Z56" s="7"/>
      <c r="AA56" s="7"/>
      <c r="AB56" s="7"/>
      <c r="AC56" s="7"/>
    </row>
    <row r="57" spans="20:29" x14ac:dyDescent="0.2">
      <c r="V57" s="7"/>
      <c r="W57" s="7"/>
      <c r="X57" s="7"/>
      <c r="Y57" s="7"/>
      <c r="Z57" s="7"/>
      <c r="AA57" s="7"/>
      <c r="AB57" s="7"/>
      <c r="AC57" s="7"/>
    </row>
    <row r="58" spans="20:29" x14ac:dyDescent="0.2">
      <c r="V58" s="7"/>
      <c r="W58" s="7"/>
      <c r="X58" s="7"/>
      <c r="Y58" s="7"/>
      <c r="Z58" s="7"/>
      <c r="AA58" s="7"/>
      <c r="AB58" s="7"/>
      <c r="AC58" s="7"/>
    </row>
    <row r="59" spans="20:29" x14ac:dyDescent="0.2">
      <c r="V59" s="7"/>
      <c r="W59" s="7"/>
      <c r="X59" s="7"/>
      <c r="Y59" s="7"/>
      <c r="Z59" s="7"/>
      <c r="AA59" s="7"/>
      <c r="AB59" s="7"/>
      <c r="AC59" s="7"/>
    </row>
    <row r="60" spans="20:29" x14ac:dyDescent="0.2">
      <c r="V60" s="7"/>
      <c r="W60" s="7"/>
      <c r="X60" s="7"/>
      <c r="Y60" s="7"/>
      <c r="Z60" s="7"/>
      <c r="AA60" s="7"/>
      <c r="AB60" s="7"/>
      <c r="AC60" s="7"/>
    </row>
    <row r="61" spans="20:29" x14ac:dyDescent="0.2">
      <c r="V61" s="7"/>
      <c r="W61" s="7"/>
      <c r="X61" s="7"/>
      <c r="Y61" s="7"/>
      <c r="Z61" s="7"/>
      <c r="AA61" s="7"/>
      <c r="AB61" s="7"/>
      <c r="AC61" s="7"/>
    </row>
    <row r="62" spans="20:29" x14ac:dyDescent="0.2">
      <c r="V62" s="7"/>
      <c r="W62" s="7"/>
      <c r="X62" s="7"/>
      <c r="Y62" s="7"/>
      <c r="Z62" s="7"/>
      <c r="AA62" s="7"/>
      <c r="AB62" s="7"/>
      <c r="AC62" s="7"/>
    </row>
    <row r="63" spans="20:29" x14ac:dyDescent="0.2">
      <c r="V63" s="7"/>
      <c r="W63" s="7"/>
      <c r="X63" s="7"/>
      <c r="Y63" s="7"/>
      <c r="Z63" s="7"/>
      <c r="AA63" s="7"/>
      <c r="AB63" s="7"/>
      <c r="AC63" s="7"/>
    </row>
    <row r="64" spans="20:29" x14ac:dyDescent="0.2">
      <c r="V64" s="7"/>
      <c r="W64" s="7"/>
      <c r="X64" s="7"/>
      <c r="Y64" s="7"/>
      <c r="Z64" s="7"/>
      <c r="AA64" s="7"/>
      <c r="AB64" s="7"/>
      <c r="AC64" s="7"/>
    </row>
    <row r="65" spans="22:29" x14ac:dyDescent="0.2">
      <c r="V65" s="7"/>
      <c r="W65" s="7"/>
      <c r="X65" s="7"/>
      <c r="Y65" s="7"/>
      <c r="Z65" s="7"/>
      <c r="AA65" s="7"/>
      <c r="AB65" s="7"/>
      <c r="AC65" s="7"/>
    </row>
    <row r="66" spans="22:29" x14ac:dyDescent="0.2">
      <c r="V66" s="7"/>
      <c r="W66" s="7"/>
      <c r="X66" s="7"/>
      <c r="Y66" s="7"/>
      <c r="Z66" s="7"/>
      <c r="AA66" s="7"/>
      <c r="AB66" s="7"/>
      <c r="AC66" s="7"/>
    </row>
    <row r="67" spans="22:29" x14ac:dyDescent="0.2">
      <c r="V67" s="7"/>
      <c r="W67" s="7"/>
      <c r="X67" s="7"/>
      <c r="Y67" s="7"/>
      <c r="Z67" s="7"/>
      <c r="AA67" s="7"/>
      <c r="AB67" s="7"/>
      <c r="AC67" s="7"/>
    </row>
    <row r="68" spans="22:29" x14ac:dyDescent="0.2">
      <c r="V68" s="7"/>
      <c r="W68" s="7"/>
      <c r="X68" s="7"/>
      <c r="Y68" s="7"/>
      <c r="Z68" s="7"/>
      <c r="AA68" s="7"/>
      <c r="AB68" s="7"/>
      <c r="AC68" s="7"/>
    </row>
  </sheetData>
  <mergeCells count="44">
    <mergeCell ref="B41:S41"/>
    <mergeCell ref="AH5:AH7"/>
    <mergeCell ref="E5:E7"/>
    <mergeCell ref="B35:S35"/>
    <mergeCell ref="A2:AC2"/>
    <mergeCell ref="F5:F7"/>
    <mergeCell ref="Z6:Z7"/>
    <mergeCell ref="AB6:AB7"/>
    <mergeCell ref="U6:W6"/>
    <mergeCell ref="N5:N7"/>
    <mergeCell ref="S5:AC5"/>
    <mergeCell ref="K6:K7"/>
    <mergeCell ref="O6:O7"/>
    <mergeCell ref="AK5:AL7"/>
    <mergeCell ref="A3:AC3"/>
    <mergeCell ref="AC6:AC7"/>
    <mergeCell ref="L6:L7"/>
    <mergeCell ref="C5:C7"/>
    <mergeCell ref="T6:T7"/>
    <mergeCell ref="B40:S40"/>
    <mergeCell ref="Q6:Q7"/>
    <mergeCell ref="AI5:AI7"/>
    <mergeCell ref="H5:H7"/>
    <mergeCell ref="J5:M5"/>
    <mergeCell ref="Y6:Y7"/>
    <mergeCell ref="AD5:AD7"/>
    <mergeCell ref="A1:AC1"/>
    <mergeCell ref="R5:R7"/>
    <mergeCell ref="B34:S34"/>
    <mergeCell ref="M6:M7"/>
    <mergeCell ref="AG5:AG7"/>
    <mergeCell ref="A5:A7"/>
    <mergeCell ref="AJ5:AJ7"/>
    <mergeCell ref="G5:G7"/>
    <mergeCell ref="B5:B7"/>
    <mergeCell ref="X6:X7"/>
    <mergeCell ref="AE5:AE7"/>
    <mergeCell ref="AF5:AF7"/>
    <mergeCell ref="I5:I7"/>
    <mergeCell ref="O5:Q5"/>
    <mergeCell ref="D5:D7"/>
    <mergeCell ref="J6:J7"/>
    <mergeCell ref="P6:P7"/>
    <mergeCell ref="AA6:AA7"/>
  </mergeCells>
  <pageMargins left="0.25" right="0.25" top="0.75" bottom="0.75" header="0.3" footer="0.3"/>
  <pageSetup paperSize="14" scale="49" orientation="landscape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M56"/>
  <sheetViews>
    <sheetView topLeftCell="E1" zoomScale="75" zoomScaleNormal="75" workbookViewId="0">
      <selection activeCell="Z29" sqref="Z29"/>
    </sheetView>
  </sheetViews>
  <sheetFormatPr baseColWidth="10" defaultColWidth="8.83203125" defaultRowHeight="16" x14ac:dyDescent="0.2"/>
  <cols>
    <col min="1" max="1" width="4.5" style="3" customWidth="1"/>
    <col min="2" max="2" width="30" customWidth="1"/>
    <col min="3" max="3" width="20.1640625" customWidth="1"/>
    <col min="4" max="4" width="18.5" customWidth="1"/>
    <col min="5" max="5" width="23.5" customWidth="1"/>
    <col min="6" max="6" width="14.1640625" customWidth="1"/>
    <col min="7" max="7" width="7.6640625" customWidth="1"/>
    <col min="8" max="8" width="14.164062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1.83203125" customWidth="1"/>
    <col min="20" max="20" width="12.83203125" customWidth="1"/>
    <col min="21" max="21" width="14.1640625" customWidth="1"/>
    <col min="22" max="22" width="15.33203125" customWidth="1"/>
    <col min="23" max="23" width="14.33203125" customWidth="1"/>
    <col min="24" max="24" width="13.5" customWidth="1"/>
    <col min="25" max="25" width="12.5" customWidth="1"/>
    <col min="26" max="26" width="13.5" customWidth="1"/>
    <col min="27" max="27" width="12.5" customWidth="1"/>
    <col min="28" max="28" width="13.5" customWidth="1"/>
    <col min="29" max="32" width="13" customWidth="1"/>
    <col min="33" max="35" width="11.5" customWidth="1"/>
    <col min="36" max="36" width="14.6640625" customWidth="1"/>
    <col min="37" max="37" width="3.5" customWidth="1"/>
    <col min="38" max="38" width="17.6640625" customWidth="1"/>
  </cols>
  <sheetData>
    <row r="1" spans="1:39" ht="20" customHeight="1" x14ac:dyDescent="0.2">
      <c r="A1" s="188" t="s">
        <v>89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6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75"/>
      <c r="AE1" s="175"/>
      <c r="AF1" s="175"/>
      <c r="AG1" s="175"/>
      <c r="AH1" s="175"/>
      <c r="AI1" s="175"/>
      <c r="AJ1" s="175"/>
      <c r="AK1" s="175"/>
      <c r="AL1" s="175"/>
      <c r="AM1" s="1"/>
    </row>
    <row r="2" spans="1:39" ht="20" customHeight="1" x14ac:dyDescent="0.2">
      <c r="A2" s="188" t="s">
        <v>1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  <c r="L2" s="175"/>
      <c r="M2" s="175"/>
      <c r="N2" s="175"/>
      <c r="O2" s="176"/>
      <c r="P2" s="175"/>
      <c r="Q2" s="175"/>
      <c r="R2" s="175"/>
      <c r="S2" s="175"/>
      <c r="T2" s="175"/>
      <c r="U2" s="175"/>
      <c r="V2" s="175"/>
      <c r="W2" s="175"/>
      <c r="X2" s="175"/>
      <c r="Y2" s="175"/>
      <c r="Z2" s="175"/>
      <c r="AA2" s="175"/>
      <c r="AB2" s="175"/>
      <c r="AC2" s="175"/>
      <c r="AD2" s="175"/>
      <c r="AE2" s="175"/>
      <c r="AF2" s="175"/>
      <c r="AG2" s="175"/>
      <c r="AH2" s="175"/>
      <c r="AI2" s="175"/>
      <c r="AJ2" s="175"/>
      <c r="AK2" s="175"/>
      <c r="AL2" s="175"/>
      <c r="AM2" s="2"/>
    </row>
    <row r="3" spans="1:39" ht="20" customHeight="1" x14ac:dyDescent="0.2">
      <c r="A3" s="221" t="s">
        <v>90</v>
      </c>
      <c r="B3" s="175"/>
      <c r="C3" s="175"/>
      <c r="D3" s="175"/>
      <c r="E3" s="175"/>
      <c r="F3" s="175"/>
      <c r="G3" s="175"/>
      <c r="H3" s="175"/>
      <c r="I3" s="175"/>
      <c r="J3" s="175"/>
      <c r="K3" s="175"/>
      <c r="L3" s="175"/>
      <c r="M3" s="175"/>
      <c r="N3" s="175"/>
      <c r="O3" s="176"/>
      <c r="P3" s="175"/>
      <c r="Q3" s="175"/>
      <c r="R3" s="175"/>
      <c r="S3" s="175"/>
      <c r="T3" s="175"/>
      <c r="U3" s="175"/>
      <c r="V3" s="175"/>
      <c r="W3" s="175"/>
      <c r="X3" s="175"/>
      <c r="Y3" s="175"/>
      <c r="Z3" s="175"/>
      <c r="AA3" s="175"/>
      <c r="AB3" s="175"/>
      <c r="AC3" s="175"/>
      <c r="AD3" s="175"/>
      <c r="AE3" s="175"/>
      <c r="AF3" s="175"/>
      <c r="AG3" s="175"/>
      <c r="AH3" s="175"/>
      <c r="AI3" s="175"/>
      <c r="AJ3" s="175"/>
      <c r="AK3" s="175"/>
      <c r="AL3" s="175"/>
      <c r="AM3" s="2"/>
    </row>
    <row r="5" spans="1:39" x14ac:dyDescent="0.2">
      <c r="A5" s="211" t="s">
        <v>4</v>
      </c>
      <c r="B5" s="211" t="s">
        <v>5</v>
      </c>
      <c r="C5" s="216" t="s">
        <v>6</v>
      </c>
      <c r="D5" s="207" t="s">
        <v>7</v>
      </c>
      <c r="E5" s="211" t="s">
        <v>8</v>
      </c>
      <c r="F5" s="218" t="s">
        <v>9</v>
      </c>
      <c r="G5" s="211" t="s">
        <v>10</v>
      </c>
      <c r="H5" s="214" t="s">
        <v>11</v>
      </c>
      <c r="I5" s="205" t="s">
        <v>12</v>
      </c>
      <c r="J5" s="205" t="s">
        <v>13</v>
      </c>
      <c r="K5" s="172"/>
      <c r="L5" s="172"/>
      <c r="M5" s="173"/>
      <c r="N5" s="208" t="s">
        <v>91</v>
      </c>
      <c r="O5" s="206" t="s">
        <v>15</v>
      </c>
      <c r="P5" s="172"/>
      <c r="Q5" s="173"/>
      <c r="R5" s="30"/>
      <c r="S5" s="220"/>
      <c r="T5" s="172"/>
      <c r="U5" s="172"/>
      <c r="V5" s="172"/>
      <c r="W5" s="172"/>
      <c r="X5" s="172"/>
      <c r="Y5" s="172"/>
      <c r="Z5" s="172"/>
      <c r="AA5" s="172"/>
      <c r="AB5" s="172"/>
      <c r="AC5" s="173"/>
      <c r="AD5" s="186" t="s">
        <v>17</v>
      </c>
      <c r="AE5" s="186" t="s">
        <v>18</v>
      </c>
      <c r="AF5" s="165" t="s">
        <v>19</v>
      </c>
      <c r="AG5" s="222" t="s">
        <v>92</v>
      </c>
      <c r="AH5" s="222" t="s">
        <v>21</v>
      </c>
      <c r="AI5" s="223" t="s">
        <v>22</v>
      </c>
      <c r="AJ5" s="217" t="s">
        <v>23</v>
      </c>
      <c r="AK5" s="224" t="s">
        <v>24</v>
      </c>
      <c r="AL5" s="225"/>
      <c r="AM5" s="3"/>
    </row>
    <row r="6" spans="1:39" ht="14.5" customHeight="1" x14ac:dyDescent="0.2">
      <c r="A6" s="169"/>
      <c r="B6" s="169"/>
      <c r="C6" s="169"/>
      <c r="D6" s="169"/>
      <c r="E6" s="169"/>
      <c r="F6" s="169"/>
      <c r="G6" s="169"/>
      <c r="H6" s="169"/>
      <c r="I6" s="169"/>
      <c r="J6" s="208" t="s">
        <v>25</v>
      </c>
      <c r="K6" s="208" t="s">
        <v>26</v>
      </c>
      <c r="L6" s="208" t="s">
        <v>27</v>
      </c>
      <c r="M6" s="208" t="s">
        <v>28</v>
      </c>
      <c r="N6" s="169"/>
      <c r="O6" s="209" t="s">
        <v>29</v>
      </c>
      <c r="P6" s="209" t="s">
        <v>30</v>
      </c>
      <c r="Q6" s="209" t="s">
        <v>31</v>
      </c>
      <c r="R6" s="34" t="s">
        <v>93</v>
      </c>
      <c r="S6" s="139"/>
      <c r="T6" s="217" t="s">
        <v>32</v>
      </c>
      <c r="U6" s="219" t="s">
        <v>26</v>
      </c>
      <c r="V6" s="172"/>
      <c r="W6" s="173"/>
      <c r="X6" s="212" t="s">
        <v>33</v>
      </c>
      <c r="Y6" s="215" t="s">
        <v>27</v>
      </c>
      <c r="Z6" s="215" t="s">
        <v>34</v>
      </c>
      <c r="AA6" s="210" t="s">
        <v>28</v>
      </c>
      <c r="AB6" s="210" t="s">
        <v>35</v>
      </c>
      <c r="AC6" s="202" t="s">
        <v>36</v>
      </c>
      <c r="AD6" s="166"/>
      <c r="AE6" s="166"/>
      <c r="AF6" s="166"/>
      <c r="AG6" s="169"/>
      <c r="AH6" s="169"/>
      <c r="AI6" s="169"/>
      <c r="AJ6" s="169"/>
      <c r="AK6" s="226"/>
      <c r="AL6" s="227"/>
      <c r="AM6" s="3"/>
    </row>
    <row r="7" spans="1:39" ht="34" customHeight="1" x14ac:dyDescent="0.2">
      <c r="A7" s="170"/>
      <c r="B7" s="170"/>
      <c r="C7" s="169"/>
      <c r="D7" s="169"/>
      <c r="E7" s="170"/>
      <c r="F7" s="170"/>
      <c r="G7" s="170"/>
      <c r="H7" s="170"/>
      <c r="I7" s="170"/>
      <c r="J7" s="169"/>
      <c r="K7" s="169"/>
      <c r="L7" s="169"/>
      <c r="M7" s="169"/>
      <c r="N7" s="169"/>
      <c r="O7" s="169"/>
      <c r="P7" s="169"/>
      <c r="Q7" s="169"/>
      <c r="R7" s="31" t="s">
        <v>94</v>
      </c>
      <c r="S7" s="5" t="s">
        <v>37</v>
      </c>
      <c r="T7" s="170"/>
      <c r="U7" s="4" t="s">
        <v>38</v>
      </c>
      <c r="V7" s="4" t="s">
        <v>39</v>
      </c>
      <c r="W7" s="4" t="s">
        <v>40</v>
      </c>
      <c r="X7" s="170"/>
      <c r="Y7" s="170"/>
      <c r="Z7" s="170"/>
      <c r="AA7" s="170"/>
      <c r="AB7" s="170"/>
      <c r="AC7" s="170"/>
      <c r="AD7" s="167"/>
      <c r="AE7" s="167"/>
      <c r="AF7" s="167"/>
      <c r="AG7" s="170"/>
      <c r="AH7" s="170"/>
      <c r="AI7" s="169"/>
      <c r="AJ7" s="170"/>
      <c r="AK7" s="226"/>
      <c r="AL7" s="227"/>
      <c r="AM7" s="3"/>
    </row>
    <row r="8" spans="1:39" s="84" customFormat="1" ht="45" customHeight="1" x14ac:dyDescent="0.2">
      <c r="A8" s="124">
        <v>1</v>
      </c>
      <c r="B8" s="60"/>
      <c r="C8" s="61"/>
      <c r="D8" s="60"/>
      <c r="E8" s="60"/>
      <c r="F8" s="62"/>
      <c r="G8" s="62"/>
      <c r="H8" s="63"/>
      <c r="I8" s="64"/>
      <c r="J8" s="129"/>
      <c r="K8" s="66"/>
      <c r="L8" s="67"/>
      <c r="M8" s="67"/>
      <c r="N8" s="68">
        <f t="shared" ref="N8:N16" si="0">I8*(SUM(J8:M8))*80%</f>
        <v>0</v>
      </c>
      <c r="O8" s="69"/>
      <c r="P8" s="70"/>
      <c r="Q8" s="70"/>
      <c r="R8" s="70"/>
      <c r="S8" s="68">
        <f t="shared" ref="S8:S16" si="1">I8*J8</f>
        <v>0</v>
      </c>
      <c r="T8" s="68">
        <f t="shared" ref="T8:T16" si="2">SUM(S8:S8)*80%</f>
        <v>0</v>
      </c>
      <c r="U8" s="68">
        <f t="shared" ref="U8:U16" si="3">I8*K8*40%*O8</f>
        <v>0</v>
      </c>
      <c r="V8" s="68">
        <f t="shared" ref="V8:V16" si="4">IF(P8&gt;=6750,(I8*K8*40%),0)</f>
        <v>0</v>
      </c>
      <c r="W8" s="68">
        <f t="shared" ref="W8:W16" si="5">IF(P8&lt;6750,0,IF(Q8="",0,IF(OR(Q8="KURANG",Q8="SANGAT KURANG"),I8*K8*10%,I8*K8*20%)))</f>
        <v>0</v>
      </c>
      <c r="X8" s="68">
        <f t="shared" ref="X8:X16" si="6">SUM(U8:W8)*80%</f>
        <v>0</v>
      </c>
      <c r="Y8" s="68">
        <f>I8*L8</f>
        <v>0</v>
      </c>
      <c r="Z8" s="68">
        <f>Y8*80%</f>
        <v>0</v>
      </c>
      <c r="AA8" s="68">
        <f>I8*M8</f>
        <v>0</v>
      </c>
      <c r="AB8" s="68">
        <f>AA8*80%</f>
        <v>0</v>
      </c>
      <c r="AC8" s="72">
        <f>ROUND((T8+X8+Z8+AB8),0)</f>
        <v>0</v>
      </c>
      <c r="AD8" s="140">
        <f t="shared" ref="AD8:AD16" si="7">AG8</f>
        <v>0</v>
      </c>
      <c r="AE8" s="140">
        <f t="shared" ref="AE8:AE16" si="8">AI8</f>
        <v>0</v>
      </c>
      <c r="AF8" s="140">
        <f t="shared" ref="AF8:AF16" si="9">AC8+AD8+AE8</f>
        <v>0</v>
      </c>
      <c r="AG8" s="73">
        <f t="shared" ref="AG8:AG16" si="10">ROUND(AC8*R8,0)</f>
        <v>0</v>
      </c>
      <c r="AH8" s="74">
        <v>0</v>
      </c>
      <c r="AI8" s="74">
        <f t="shared" ref="AI8:AI16" si="11">AH8*4</f>
        <v>0</v>
      </c>
      <c r="AJ8" s="68">
        <f t="shared" ref="AJ8:AJ16" si="12">AF8-AG8-AH8-AI8</f>
        <v>0</v>
      </c>
      <c r="AK8" s="81">
        <v>1</v>
      </c>
      <c r="AL8" s="75"/>
      <c r="AM8" s="83"/>
    </row>
    <row r="9" spans="1:39" s="84" customFormat="1" ht="45" customHeight="1" x14ac:dyDescent="0.2">
      <c r="A9" s="124">
        <v>2</v>
      </c>
      <c r="B9" s="60"/>
      <c r="C9" s="61"/>
      <c r="D9" s="60"/>
      <c r="E9" s="60"/>
      <c r="F9" s="62"/>
      <c r="G9" s="62"/>
      <c r="H9" s="63"/>
      <c r="I9" s="64"/>
      <c r="J9" s="129"/>
      <c r="K9" s="66"/>
      <c r="L9" s="67"/>
      <c r="M9" s="67"/>
      <c r="N9" s="68">
        <f t="shared" si="0"/>
        <v>0</v>
      </c>
      <c r="O9" s="69"/>
      <c r="P9" s="70"/>
      <c r="Q9" s="70"/>
      <c r="R9" s="70"/>
      <c r="S9" s="68">
        <f t="shared" si="1"/>
        <v>0</v>
      </c>
      <c r="T9" s="68">
        <f t="shared" si="2"/>
        <v>0</v>
      </c>
      <c r="U9" s="68">
        <f t="shared" si="3"/>
        <v>0</v>
      </c>
      <c r="V9" s="68">
        <f t="shared" si="4"/>
        <v>0</v>
      </c>
      <c r="W9" s="68">
        <f t="shared" si="5"/>
        <v>0</v>
      </c>
      <c r="X9" s="68">
        <f t="shared" si="6"/>
        <v>0</v>
      </c>
      <c r="Y9" s="68">
        <f t="shared" ref="Y9:Y16" si="13">I9*L9</f>
        <v>0</v>
      </c>
      <c r="Z9" s="68">
        <f t="shared" ref="Z9:Z16" si="14">Y9*80%</f>
        <v>0</v>
      </c>
      <c r="AA9" s="68">
        <f t="shared" ref="AA9:AA16" si="15">I9*M9</f>
        <v>0</v>
      </c>
      <c r="AB9" s="68">
        <f t="shared" ref="AB9:AB16" si="16">AA9*80%</f>
        <v>0</v>
      </c>
      <c r="AC9" s="72">
        <f t="shared" ref="AC9:AC16" si="17">ROUND((T9+X9+Z9+AB9),0)</f>
        <v>0</v>
      </c>
      <c r="AD9" s="140">
        <f t="shared" si="7"/>
        <v>0</v>
      </c>
      <c r="AE9" s="140">
        <f t="shared" si="8"/>
        <v>0</v>
      </c>
      <c r="AF9" s="140">
        <f t="shared" si="9"/>
        <v>0</v>
      </c>
      <c r="AG9" s="73">
        <f t="shared" si="10"/>
        <v>0</v>
      </c>
      <c r="AH9" s="74">
        <v>0</v>
      </c>
      <c r="AI9" s="74">
        <f t="shared" si="11"/>
        <v>0</v>
      </c>
      <c r="AJ9" s="68">
        <f t="shared" si="12"/>
        <v>0</v>
      </c>
      <c r="AK9" s="81">
        <v>2</v>
      </c>
      <c r="AL9" s="82"/>
      <c r="AM9" s="83"/>
    </row>
    <row r="10" spans="1:39" s="84" customFormat="1" ht="45" customHeight="1" x14ac:dyDescent="0.2">
      <c r="A10" s="124">
        <v>3</v>
      </c>
      <c r="B10" s="60"/>
      <c r="C10" s="61"/>
      <c r="D10" s="60"/>
      <c r="E10" s="60"/>
      <c r="F10" s="62"/>
      <c r="G10" s="62"/>
      <c r="H10" s="63"/>
      <c r="I10" s="64"/>
      <c r="J10" s="129"/>
      <c r="K10" s="66"/>
      <c r="L10" s="67"/>
      <c r="M10" s="67"/>
      <c r="N10" s="68">
        <f t="shared" si="0"/>
        <v>0</v>
      </c>
      <c r="O10" s="69"/>
      <c r="P10" s="70"/>
      <c r="Q10" s="70"/>
      <c r="R10" s="70"/>
      <c r="S10" s="68">
        <f t="shared" si="1"/>
        <v>0</v>
      </c>
      <c r="T10" s="68">
        <f t="shared" si="2"/>
        <v>0</v>
      </c>
      <c r="U10" s="68">
        <f t="shared" si="3"/>
        <v>0</v>
      </c>
      <c r="V10" s="68">
        <f t="shared" si="4"/>
        <v>0</v>
      </c>
      <c r="W10" s="68">
        <f t="shared" si="5"/>
        <v>0</v>
      </c>
      <c r="X10" s="68">
        <f t="shared" si="6"/>
        <v>0</v>
      </c>
      <c r="Y10" s="68">
        <f t="shared" si="13"/>
        <v>0</v>
      </c>
      <c r="Z10" s="68">
        <f t="shared" si="14"/>
        <v>0</v>
      </c>
      <c r="AA10" s="68">
        <f t="shared" si="15"/>
        <v>0</v>
      </c>
      <c r="AB10" s="68">
        <f t="shared" si="16"/>
        <v>0</v>
      </c>
      <c r="AC10" s="72">
        <f t="shared" si="17"/>
        <v>0</v>
      </c>
      <c r="AD10" s="140">
        <f t="shared" si="7"/>
        <v>0</v>
      </c>
      <c r="AE10" s="140">
        <f t="shared" si="8"/>
        <v>0</v>
      </c>
      <c r="AF10" s="140">
        <f t="shared" si="9"/>
        <v>0</v>
      </c>
      <c r="AG10" s="73">
        <f t="shared" si="10"/>
        <v>0</v>
      </c>
      <c r="AH10" s="74">
        <v>0</v>
      </c>
      <c r="AI10" s="74">
        <f t="shared" si="11"/>
        <v>0</v>
      </c>
      <c r="AJ10" s="68">
        <f t="shared" si="12"/>
        <v>0</v>
      </c>
      <c r="AK10" s="81">
        <v>3</v>
      </c>
      <c r="AL10" s="75"/>
      <c r="AM10" s="83"/>
    </row>
    <row r="11" spans="1:39" s="84" customFormat="1" ht="45" customHeight="1" x14ac:dyDescent="0.2">
      <c r="A11" s="124">
        <v>4</v>
      </c>
      <c r="B11" s="60"/>
      <c r="C11" s="61"/>
      <c r="D11" s="60"/>
      <c r="E11" s="60"/>
      <c r="F11" s="62"/>
      <c r="G11" s="62"/>
      <c r="H11" s="63"/>
      <c r="I11" s="64"/>
      <c r="J11" s="129"/>
      <c r="K11" s="66"/>
      <c r="L11" s="67"/>
      <c r="M11" s="67"/>
      <c r="N11" s="68">
        <f t="shared" si="0"/>
        <v>0</v>
      </c>
      <c r="O11" s="69"/>
      <c r="P11" s="70"/>
      <c r="Q11" s="70"/>
      <c r="R11" s="70"/>
      <c r="S11" s="68">
        <f t="shared" si="1"/>
        <v>0</v>
      </c>
      <c r="T11" s="68">
        <f t="shared" si="2"/>
        <v>0</v>
      </c>
      <c r="U11" s="68">
        <f t="shared" si="3"/>
        <v>0</v>
      </c>
      <c r="V11" s="68">
        <f t="shared" si="4"/>
        <v>0</v>
      </c>
      <c r="W11" s="68">
        <f t="shared" si="5"/>
        <v>0</v>
      </c>
      <c r="X11" s="68">
        <f t="shared" si="6"/>
        <v>0</v>
      </c>
      <c r="Y11" s="68">
        <f t="shared" si="13"/>
        <v>0</v>
      </c>
      <c r="Z11" s="68">
        <f t="shared" si="14"/>
        <v>0</v>
      </c>
      <c r="AA11" s="68">
        <f t="shared" si="15"/>
        <v>0</v>
      </c>
      <c r="AB11" s="68">
        <f t="shared" si="16"/>
        <v>0</v>
      </c>
      <c r="AC11" s="72">
        <f t="shared" si="17"/>
        <v>0</v>
      </c>
      <c r="AD11" s="140">
        <f t="shared" si="7"/>
        <v>0</v>
      </c>
      <c r="AE11" s="140">
        <f t="shared" si="8"/>
        <v>0</v>
      </c>
      <c r="AF11" s="140">
        <f t="shared" si="9"/>
        <v>0</v>
      </c>
      <c r="AG11" s="73">
        <f t="shared" si="10"/>
        <v>0</v>
      </c>
      <c r="AH11" s="74">
        <v>0</v>
      </c>
      <c r="AI11" s="74">
        <f t="shared" si="11"/>
        <v>0</v>
      </c>
      <c r="AJ11" s="68">
        <f t="shared" si="12"/>
        <v>0</v>
      </c>
      <c r="AK11" s="81">
        <v>4</v>
      </c>
      <c r="AL11" s="82"/>
      <c r="AM11" s="83"/>
    </row>
    <row r="12" spans="1:39" s="84" customFormat="1" ht="45" customHeight="1" x14ac:dyDescent="0.2">
      <c r="A12" s="124">
        <v>5</v>
      </c>
      <c r="B12" s="60"/>
      <c r="C12" s="61"/>
      <c r="D12" s="60"/>
      <c r="E12" s="60"/>
      <c r="F12" s="62"/>
      <c r="G12" s="62"/>
      <c r="H12" s="63"/>
      <c r="I12" s="64"/>
      <c r="J12" s="129"/>
      <c r="K12" s="66"/>
      <c r="L12" s="67"/>
      <c r="M12" s="67"/>
      <c r="N12" s="68">
        <f t="shared" si="0"/>
        <v>0</v>
      </c>
      <c r="O12" s="69"/>
      <c r="P12" s="70"/>
      <c r="Q12" s="70"/>
      <c r="R12" s="70"/>
      <c r="S12" s="68">
        <f t="shared" si="1"/>
        <v>0</v>
      </c>
      <c r="T12" s="68">
        <f t="shared" si="2"/>
        <v>0</v>
      </c>
      <c r="U12" s="68">
        <f t="shared" si="3"/>
        <v>0</v>
      </c>
      <c r="V12" s="68">
        <f t="shared" si="4"/>
        <v>0</v>
      </c>
      <c r="W12" s="68">
        <f t="shared" si="5"/>
        <v>0</v>
      </c>
      <c r="X12" s="68">
        <f t="shared" si="6"/>
        <v>0</v>
      </c>
      <c r="Y12" s="68">
        <f t="shared" si="13"/>
        <v>0</v>
      </c>
      <c r="Z12" s="68">
        <f t="shared" si="14"/>
        <v>0</v>
      </c>
      <c r="AA12" s="68">
        <f t="shared" si="15"/>
        <v>0</v>
      </c>
      <c r="AB12" s="68">
        <f t="shared" si="16"/>
        <v>0</v>
      </c>
      <c r="AC12" s="72">
        <f t="shared" si="17"/>
        <v>0</v>
      </c>
      <c r="AD12" s="140">
        <f t="shared" si="7"/>
        <v>0</v>
      </c>
      <c r="AE12" s="140">
        <f t="shared" si="8"/>
        <v>0</v>
      </c>
      <c r="AF12" s="140">
        <f t="shared" si="9"/>
        <v>0</v>
      </c>
      <c r="AG12" s="73">
        <f t="shared" si="10"/>
        <v>0</v>
      </c>
      <c r="AH12" s="74">
        <v>0</v>
      </c>
      <c r="AI12" s="74">
        <f t="shared" si="11"/>
        <v>0</v>
      </c>
      <c r="AJ12" s="68">
        <f t="shared" si="12"/>
        <v>0</v>
      </c>
      <c r="AK12" s="81">
        <v>5</v>
      </c>
      <c r="AL12" s="75"/>
      <c r="AM12" s="83"/>
    </row>
    <row r="13" spans="1:39" s="84" customFormat="1" ht="45" customHeight="1" x14ac:dyDescent="0.2">
      <c r="A13" s="124">
        <v>6</v>
      </c>
      <c r="B13" s="60"/>
      <c r="C13" s="61"/>
      <c r="D13" s="60"/>
      <c r="E13" s="60"/>
      <c r="F13" s="62"/>
      <c r="G13" s="62"/>
      <c r="H13" s="63"/>
      <c r="I13" s="64"/>
      <c r="J13" s="129"/>
      <c r="K13" s="66"/>
      <c r="L13" s="67"/>
      <c r="M13" s="67"/>
      <c r="N13" s="68">
        <f t="shared" si="0"/>
        <v>0</v>
      </c>
      <c r="O13" s="69"/>
      <c r="P13" s="70"/>
      <c r="Q13" s="70"/>
      <c r="R13" s="70"/>
      <c r="S13" s="68">
        <f t="shared" si="1"/>
        <v>0</v>
      </c>
      <c r="T13" s="68">
        <f t="shared" si="2"/>
        <v>0</v>
      </c>
      <c r="U13" s="68">
        <f t="shared" si="3"/>
        <v>0</v>
      </c>
      <c r="V13" s="68">
        <f t="shared" si="4"/>
        <v>0</v>
      </c>
      <c r="W13" s="68">
        <f t="shared" si="5"/>
        <v>0</v>
      </c>
      <c r="X13" s="68">
        <f t="shared" si="6"/>
        <v>0</v>
      </c>
      <c r="Y13" s="68">
        <f t="shared" si="13"/>
        <v>0</v>
      </c>
      <c r="Z13" s="68">
        <f t="shared" si="14"/>
        <v>0</v>
      </c>
      <c r="AA13" s="68">
        <f t="shared" si="15"/>
        <v>0</v>
      </c>
      <c r="AB13" s="68">
        <f t="shared" si="16"/>
        <v>0</v>
      </c>
      <c r="AC13" s="72">
        <f t="shared" si="17"/>
        <v>0</v>
      </c>
      <c r="AD13" s="140">
        <f t="shared" si="7"/>
        <v>0</v>
      </c>
      <c r="AE13" s="140">
        <f t="shared" si="8"/>
        <v>0</v>
      </c>
      <c r="AF13" s="140">
        <f t="shared" si="9"/>
        <v>0</v>
      </c>
      <c r="AG13" s="73">
        <f t="shared" si="10"/>
        <v>0</v>
      </c>
      <c r="AH13" s="74">
        <v>0</v>
      </c>
      <c r="AI13" s="74">
        <f t="shared" si="11"/>
        <v>0</v>
      </c>
      <c r="AJ13" s="68">
        <f t="shared" si="12"/>
        <v>0</v>
      </c>
      <c r="AK13" s="81">
        <v>6</v>
      </c>
      <c r="AL13" s="82"/>
      <c r="AM13" s="83"/>
    </row>
    <row r="14" spans="1:39" s="84" customFormat="1" ht="45" customHeight="1" x14ac:dyDescent="0.2">
      <c r="A14" s="124">
        <v>7</v>
      </c>
      <c r="B14" s="60"/>
      <c r="C14" s="61"/>
      <c r="D14" s="60"/>
      <c r="E14" s="60"/>
      <c r="F14" s="62"/>
      <c r="G14" s="62"/>
      <c r="H14" s="63"/>
      <c r="I14" s="64"/>
      <c r="J14" s="129"/>
      <c r="K14" s="66"/>
      <c r="L14" s="67"/>
      <c r="M14" s="67"/>
      <c r="N14" s="68">
        <f t="shared" si="0"/>
        <v>0</v>
      </c>
      <c r="O14" s="69"/>
      <c r="P14" s="70"/>
      <c r="Q14" s="70"/>
      <c r="R14" s="70"/>
      <c r="S14" s="68">
        <f t="shared" si="1"/>
        <v>0</v>
      </c>
      <c r="T14" s="68">
        <f t="shared" si="2"/>
        <v>0</v>
      </c>
      <c r="U14" s="68">
        <f t="shared" si="3"/>
        <v>0</v>
      </c>
      <c r="V14" s="68">
        <f t="shared" si="4"/>
        <v>0</v>
      </c>
      <c r="W14" s="68">
        <f t="shared" si="5"/>
        <v>0</v>
      </c>
      <c r="X14" s="68">
        <f t="shared" si="6"/>
        <v>0</v>
      </c>
      <c r="Y14" s="68">
        <f t="shared" si="13"/>
        <v>0</v>
      </c>
      <c r="Z14" s="68">
        <f t="shared" si="14"/>
        <v>0</v>
      </c>
      <c r="AA14" s="68">
        <f t="shared" si="15"/>
        <v>0</v>
      </c>
      <c r="AB14" s="68">
        <f t="shared" si="16"/>
        <v>0</v>
      </c>
      <c r="AC14" s="72">
        <f t="shared" si="17"/>
        <v>0</v>
      </c>
      <c r="AD14" s="140">
        <f t="shared" si="7"/>
        <v>0</v>
      </c>
      <c r="AE14" s="140">
        <f t="shared" si="8"/>
        <v>0</v>
      </c>
      <c r="AF14" s="140">
        <f t="shared" si="9"/>
        <v>0</v>
      </c>
      <c r="AG14" s="73">
        <f t="shared" si="10"/>
        <v>0</v>
      </c>
      <c r="AH14" s="74">
        <v>0</v>
      </c>
      <c r="AI14" s="74">
        <f t="shared" si="11"/>
        <v>0</v>
      </c>
      <c r="AJ14" s="68">
        <f t="shared" si="12"/>
        <v>0</v>
      </c>
      <c r="AK14" s="81">
        <v>7</v>
      </c>
      <c r="AL14" s="75"/>
      <c r="AM14" s="83"/>
    </row>
    <row r="15" spans="1:39" s="84" customFormat="1" ht="45" customHeight="1" x14ac:dyDescent="0.2">
      <c r="A15" s="124">
        <v>8</v>
      </c>
      <c r="B15" s="60"/>
      <c r="C15" s="61"/>
      <c r="D15" s="60"/>
      <c r="E15" s="60"/>
      <c r="F15" s="62"/>
      <c r="G15" s="62"/>
      <c r="H15" s="63"/>
      <c r="I15" s="64"/>
      <c r="J15" s="129"/>
      <c r="K15" s="66"/>
      <c r="L15" s="67"/>
      <c r="M15" s="67"/>
      <c r="N15" s="68">
        <f t="shared" si="0"/>
        <v>0</v>
      </c>
      <c r="O15" s="69"/>
      <c r="P15" s="70"/>
      <c r="Q15" s="70"/>
      <c r="R15" s="70"/>
      <c r="S15" s="68">
        <f t="shared" si="1"/>
        <v>0</v>
      </c>
      <c r="T15" s="68">
        <f t="shared" si="2"/>
        <v>0</v>
      </c>
      <c r="U15" s="68">
        <f t="shared" si="3"/>
        <v>0</v>
      </c>
      <c r="V15" s="68">
        <f t="shared" si="4"/>
        <v>0</v>
      </c>
      <c r="W15" s="68">
        <f t="shared" si="5"/>
        <v>0</v>
      </c>
      <c r="X15" s="68">
        <f t="shared" si="6"/>
        <v>0</v>
      </c>
      <c r="Y15" s="68">
        <f t="shared" si="13"/>
        <v>0</v>
      </c>
      <c r="Z15" s="68">
        <f t="shared" si="14"/>
        <v>0</v>
      </c>
      <c r="AA15" s="68">
        <f t="shared" si="15"/>
        <v>0</v>
      </c>
      <c r="AB15" s="68">
        <f t="shared" si="16"/>
        <v>0</v>
      </c>
      <c r="AC15" s="72">
        <f t="shared" si="17"/>
        <v>0</v>
      </c>
      <c r="AD15" s="140">
        <f t="shared" si="7"/>
        <v>0</v>
      </c>
      <c r="AE15" s="140">
        <f t="shared" si="8"/>
        <v>0</v>
      </c>
      <c r="AF15" s="140">
        <f t="shared" si="9"/>
        <v>0</v>
      </c>
      <c r="AG15" s="73">
        <f t="shared" si="10"/>
        <v>0</v>
      </c>
      <c r="AH15" s="74">
        <v>0</v>
      </c>
      <c r="AI15" s="74">
        <f t="shared" si="11"/>
        <v>0</v>
      </c>
      <c r="AJ15" s="68">
        <f t="shared" si="12"/>
        <v>0</v>
      </c>
      <c r="AK15" s="81">
        <v>8</v>
      </c>
      <c r="AL15" s="82"/>
      <c r="AM15" s="83"/>
    </row>
    <row r="16" spans="1:39" s="84" customFormat="1" ht="45" customHeight="1" x14ac:dyDescent="0.2">
      <c r="A16" s="124">
        <v>9</v>
      </c>
      <c r="B16" s="60"/>
      <c r="C16" s="61"/>
      <c r="D16" s="60"/>
      <c r="E16" s="60"/>
      <c r="F16" s="62"/>
      <c r="G16" s="62"/>
      <c r="H16" s="63"/>
      <c r="I16" s="64"/>
      <c r="J16" s="129"/>
      <c r="K16" s="66"/>
      <c r="L16" s="67"/>
      <c r="M16" s="67"/>
      <c r="N16" s="68">
        <f t="shared" si="0"/>
        <v>0</v>
      </c>
      <c r="O16" s="69"/>
      <c r="P16" s="70"/>
      <c r="Q16" s="70"/>
      <c r="R16" s="70"/>
      <c r="S16" s="68">
        <f t="shared" si="1"/>
        <v>0</v>
      </c>
      <c r="T16" s="68">
        <f t="shared" si="2"/>
        <v>0</v>
      </c>
      <c r="U16" s="68">
        <f t="shared" si="3"/>
        <v>0</v>
      </c>
      <c r="V16" s="68">
        <f t="shared" si="4"/>
        <v>0</v>
      </c>
      <c r="W16" s="68">
        <f t="shared" si="5"/>
        <v>0</v>
      </c>
      <c r="X16" s="68">
        <f t="shared" si="6"/>
        <v>0</v>
      </c>
      <c r="Y16" s="68">
        <f t="shared" si="13"/>
        <v>0</v>
      </c>
      <c r="Z16" s="68">
        <f t="shared" si="14"/>
        <v>0</v>
      </c>
      <c r="AA16" s="68">
        <f t="shared" si="15"/>
        <v>0</v>
      </c>
      <c r="AB16" s="68">
        <f t="shared" si="16"/>
        <v>0</v>
      </c>
      <c r="AC16" s="72">
        <f t="shared" si="17"/>
        <v>0</v>
      </c>
      <c r="AD16" s="140">
        <f t="shared" si="7"/>
        <v>0</v>
      </c>
      <c r="AE16" s="140">
        <f t="shared" si="8"/>
        <v>0</v>
      </c>
      <c r="AF16" s="140">
        <f t="shared" si="9"/>
        <v>0</v>
      </c>
      <c r="AG16" s="73">
        <f t="shared" si="10"/>
        <v>0</v>
      </c>
      <c r="AH16" s="74">
        <v>0</v>
      </c>
      <c r="AI16" s="74">
        <f t="shared" si="11"/>
        <v>0</v>
      </c>
      <c r="AJ16" s="68">
        <f t="shared" si="12"/>
        <v>0</v>
      </c>
      <c r="AK16" s="81">
        <v>9</v>
      </c>
      <c r="AL16" s="82"/>
      <c r="AM16" s="83"/>
    </row>
    <row r="17" spans="1:39" s="84" customFormat="1" x14ac:dyDescent="0.2">
      <c r="A17" s="83"/>
      <c r="K17" s="85"/>
      <c r="L17" s="86"/>
      <c r="M17" s="86"/>
      <c r="N17" s="68">
        <f>I17*(SUM(K17:M17))</f>
        <v>0</v>
      </c>
      <c r="O17" s="87"/>
      <c r="P17" s="88"/>
      <c r="Q17" s="88"/>
      <c r="R17" s="88"/>
      <c r="S17" s="89"/>
      <c r="T17" s="88">
        <f>SUM(T8:T16)</f>
        <v>0</v>
      </c>
      <c r="U17" s="89"/>
      <c r="V17" s="89"/>
      <c r="W17" s="89"/>
      <c r="X17" s="88">
        <f t="shared" ref="X17:AJ17" si="18">SUM(X8:X16)</f>
        <v>0</v>
      </c>
      <c r="Y17" s="234">
        <f t="shared" si="18"/>
        <v>0</v>
      </c>
      <c r="Z17" s="234">
        <f t="shared" si="18"/>
        <v>0</v>
      </c>
      <c r="AA17" s="234">
        <f t="shared" si="18"/>
        <v>0</v>
      </c>
      <c r="AB17" s="234">
        <f t="shared" si="18"/>
        <v>0</v>
      </c>
      <c r="AC17" s="88">
        <f t="shared" si="18"/>
        <v>0</v>
      </c>
      <c r="AD17" s="88">
        <f t="shared" si="18"/>
        <v>0</v>
      </c>
      <c r="AE17" s="88">
        <f t="shared" si="18"/>
        <v>0</v>
      </c>
      <c r="AF17" s="88">
        <f t="shared" si="18"/>
        <v>0</v>
      </c>
      <c r="AG17" s="88">
        <f t="shared" si="18"/>
        <v>0</v>
      </c>
      <c r="AH17" s="88">
        <f t="shared" si="18"/>
        <v>0</v>
      </c>
      <c r="AI17" s="88">
        <f t="shared" si="18"/>
        <v>0</v>
      </c>
      <c r="AJ17" s="88">
        <f t="shared" si="18"/>
        <v>0</v>
      </c>
      <c r="AK17" s="90"/>
      <c r="AL17" s="91"/>
    </row>
    <row r="18" spans="1:39" s="84" customFormat="1" x14ac:dyDescent="0.2">
      <c r="A18" s="83"/>
      <c r="K18" s="92"/>
      <c r="N18" s="93"/>
      <c r="O18" s="94"/>
      <c r="P18" s="95"/>
      <c r="Q18" s="95"/>
      <c r="R18" s="95"/>
      <c r="S18" s="96"/>
      <c r="T18" s="95"/>
      <c r="U18" s="96"/>
      <c r="V18" s="96"/>
      <c r="W18" s="96"/>
      <c r="X18" s="95"/>
      <c r="Y18" s="96"/>
      <c r="Z18" s="230"/>
      <c r="AA18" s="231"/>
      <c r="AB18" s="230"/>
      <c r="AC18" s="95"/>
      <c r="AD18" s="95"/>
      <c r="AE18" s="95"/>
      <c r="AF18" s="95"/>
      <c r="AG18" s="95"/>
      <c r="AH18" s="95"/>
      <c r="AI18" s="95"/>
      <c r="AJ18" s="95"/>
    </row>
    <row r="19" spans="1:39" s="84" customFormat="1" x14ac:dyDescent="0.2">
      <c r="A19" s="83"/>
      <c r="K19" s="92"/>
      <c r="N19" s="93"/>
      <c r="O19" s="94"/>
      <c r="P19" s="95"/>
      <c r="Q19" s="95"/>
      <c r="R19" s="95"/>
      <c r="S19" s="96"/>
      <c r="T19" s="95"/>
      <c r="U19" s="96"/>
      <c r="V19" s="96"/>
      <c r="W19" s="96"/>
      <c r="X19" s="95"/>
      <c r="Y19" s="96"/>
      <c r="Z19" s="230"/>
      <c r="AA19" s="231"/>
      <c r="AB19" s="230"/>
      <c r="AC19" s="95"/>
      <c r="AD19" s="95"/>
      <c r="AE19" s="95"/>
      <c r="AF19" s="95"/>
      <c r="AG19" s="95"/>
      <c r="AH19" s="95"/>
      <c r="AI19" s="95"/>
      <c r="AJ19" s="95"/>
    </row>
    <row r="20" spans="1:39" s="84" customFormat="1" x14ac:dyDescent="0.2">
      <c r="A20" s="83"/>
      <c r="K20" s="92"/>
      <c r="N20" s="93"/>
      <c r="O20" s="94"/>
      <c r="P20" s="95"/>
      <c r="Q20" s="95"/>
      <c r="R20" s="95"/>
      <c r="S20" s="96"/>
      <c r="T20" s="95"/>
      <c r="U20" s="96"/>
      <c r="V20" s="96"/>
      <c r="W20" s="96"/>
      <c r="X20" s="95"/>
      <c r="Y20" s="96"/>
      <c r="Z20" s="230"/>
      <c r="AA20" s="231"/>
      <c r="AB20" s="230"/>
      <c r="AC20" s="95"/>
      <c r="AD20" s="95"/>
      <c r="AE20" s="95"/>
      <c r="AF20" s="95"/>
      <c r="AG20" s="95"/>
      <c r="AH20" s="95"/>
      <c r="AI20" s="95"/>
      <c r="AJ20" s="95"/>
    </row>
    <row r="21" spans="1:39" ht="20" customHeight="1" x14ac:dyDescent="0.2">
      <c r="B21" s="7"/>
      <c r="C21" s="7"/>
      <c r="D21" s="7"/>
      <c r="E21" s="7"/>
      <c r="F21" s="7"/>
      <c r="G21" s="7"/>
      <c r="H21" s="7"/>
      <c r="I21" s="7"/>
      <c r="K21" s="7"/>
      <c r="L21" s="7"/>
      <c r="M21" s="7"/>
      <c r="N21" s="24"/>
      <c r="O21" s="25"/>
      <c r="P21" s="24"/>
      <c r="Q21" s="24"/>
      <c r="R21" s="24"/>
      <c r="S21" s="26"/>
      <c r="T21" s="27"/>
      <c r="U21" s="28"/>
      <c r="V21" s="28"/>
      <c r="W21" s="28"/>
      <c r="X21" s="24"/>
      <c r="Y21" s="26"/>
      <c r="Z21" s="232"/>
      <c r="AA21" s="233"/>
      <c r="AB21" s="232"/>
      <c r="AG21" s="24"/>
      <c r="AH21" s="24"/>
      <c r="AI21" s="24"/>
      <c r="AJ21" s="24"/>
      <c r="AK21" s="7"/>
      <c r="AL21" s="7"/>
      <c r="AM21" s="29"/>
    </row>
    <row r="22" spans="1:39" ht="19" customHeight="1" x14ac:dyDescent="0.25">
      <c r="B22" s="174" t="s">
        <v>55</v>
      </c>
      <c r="C22" s="175"/>
      <c r="D22" s="175"/>
      <c r="E22" s="175"/>
      <c r="F22" s="175"/>
      <c r="G22" s="175"/>
      <c r="H22" s="175"/>
      <c r="I22" s="175"/>
      <c r="J22" s="175"/>
      <c r="K22" s="175"/>
      <c r="L22" s="175"/>
      <c r="M22" s="175"/>
      <c r="N22" s="175"/>
      <c r="O22" s="176"/>
      <c r="P22" s="175"/>
      <c r="Q22" s="175"/>
      <c r="R22" s="175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L22" s="7"/>
    </row>
    <row r="23" spans="1:39" ht="14.5" customHeight="1" x14ac:dyDescent="0.25">
      <c r="B23" s="174" t="s">
        <v>56</v>
      </c>
      <c r="C23" s="175"/>
      <c r="D23" s="175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6"/>
      <c r="P23" s="175"/>
      <c r="Q23" s="175"/>
      <c r="R23" s="175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1"/>
      <c r="AD23" s="51"/>
      <c r="AE23" s="51"/>
      <c r="AF23" s="51"/>
      <c r="AG23" s="174" t="s">
        <v>57</v>
      </c>
      <c r="AH23" s="175"/>
      <c r="AI23" s="175"/>
      <c r="AJ23" s="175"/>
      <c r="AK23" s="7"/>
      <c r="AL23" s="16"/>
    </row>
    <row r="24" spans="1:39" ht="19" customHeight="1" x14ac:dyDescent="0.25">
      <c r="B24" s="50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2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3"/>
      <c r="AD24" s="53"/>
      <c r="AE24" s="53"/>
      <c r="AF24" s="53"/>
      <c r="AG24" s="53"/>
      <c r="AH24" s="53"/>
      <c r="AI24" s="53"/>
      <c r="AJ24" s="53"/>
      <c r="AK24" s="7"/>
      <c r="AL24" s="19"/>
    </row>
    <row r="25" spans="1:39" ht="19" customHeight="1" x14ac:dyDescent="0.25">
      <c r="B25" s="50"/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2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3"/>
      <c r="AD25" s="53"/>
      <c r="AE25" s="53"/>
      <c r="AF25" s="53"/>
      <c r="AG25" s="50"/>
      <c r="AH25" s="54"/>
      <c r="AI25" s="54"/>
      <c r="AJ25" s="50"/>
      <c r="AK25" s="7"/>
      <c r="AL25" s="7"/>
    </row>
    <row r="26" spans="1:39" ht="19" customHeight="1" x14ac:dyDescent="0.25">
      <c r="B26" s="50"/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2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5"/>
      <c r="AD26" s="55"/>
      <c r="AE26" s="55"/>
      <c r="AF26" s="55"/>
      <c r="AG26" s="50"/>
      <c r="AH26" s="54"/>
      <c r="AI26" s="54"/>
      <c r="AJ26" s="50"/>
    </row>
    <row r="27" spans="1:39" ht="19" customHeight="1" x14ac:dyDescent="0.25">
      <c r="B27" s="50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2"/>
      <c r="P27" s="50"/>
      <c r="Q27" s="50"/>
      <c r="R27" s="50"/>
      <c r="S27" s="50"/>
      <c r="T27" s="52"/>
      <c r="U27" s="52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4"/>
      <c r="AI27" s="54"/>
      <c r="AJ27" s="50"/>
    </row>
    <row r="28" spans="1:39" ht="19" customHeight="1" x14ac:dyDescent="0.25">
      <c r="B28" s="199" t="s">
        <v>58</v>
      </c>
      <c r="C28" s="175"/>
      <c r="D28" s="175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6"/>
      <c r="P28" s="175"/>
      <c r="Q28" s="175"/>
      <c r="R28" s="175"/>
      <c r="S28" s="56"/>
      <c r="T28" s="56"/>
      <c r="U28" s="56"/>
      <c r="V28" s="56"/>
      <c r="W28" s="56"/>
      <c r="X28" s="50"/>
      <c r="Y28" s="50"/>
      <c r="Z28" s="50"/>
      <c r="AA28" s="50"/>
      <c r="AB28" s="50"/>
      <c r="AC28" s="50"/>
      <c r="AD28" s="50"/>
      <c r="AE28" s="50"/>
      <c r="AF28" s="50"/>
      <c r="AG28" s="199" t="s">
        <v>59</v>
      </c>
      <c r="AH28" s="175"/>
      <c r="AI28" s="175"/>
      <c r="AJ28" s="175"/>
    </row>
    <row r="29" spans="1:39" ht="19" customHeight="1" x14ac:dyDescent="0.25">
      <c r="B29" s="174" t="s">
        <v>60</v>
      </c>
      <c r="C29" s="175"/>
      <c r="D29" s="175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6"/>
      <c r="P29" s="175"/>
      <c r="Q29" s="175"/>
      <c r="R29" s="175"/>
      <c r="S29" s="56"/>
      <c r="T29" s="56"/>
      <c r="U29" s="56"/>
      <c r="V29" s="56"/>
      <c r="W29" s="56"/>
      <c r="X29" s="50"/>
      <c r="Y29" s="50"/>
      <c r="Z29" s="50"/>
      <c r="AA29" s="50"/>
      <c r="AB29" s="50"/>
      <c r="AC29" s="50"/>
      <c r="AD29" s="50"/>
      <c r="AE29" s="50"/>
      <c r="AF29" s="50"/>
      <c r="AG29" s="174" t="s">
        <v>61</v>
      </c>
      <c r="AH29" s="175"/>
      <c r="AI29" s="175"/>
      <c r="AJ29" s="175"/>
    </row>
    <row r="30" spans="1:39" x14ac:dyDescent="0.2"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</row>
    <row r="31" spans="1:39" x14ac:dyDescent="0.2">
      <c r="V31" s="7"/>
      <c r="W31" s="7"/>
      <c r="X31" s="7"/>
      <c r="Y31" s="7"/>
      <c r="Z31" s="7"/>
      <c r="AA31" s="7"/>
      <c r="AB31" s="7"/>
      <c r="AC31" s="18" t="s">
        <v>62</v>
      </c>
      <c r="AD31" s="18"/>
      <c r="AE31" s="18"/>
      <c r="AF31" s="18"/>
      <c r="AG31" s="18"/>
      <c r="AH31" s="18"/>
      <c r="AI31" s="18"/>
      <c r="AJ31" s="18"/>
      <c r="AK31" s="7"/>
    </row>
    <row r="32" spans="1:39" x14ac:dyDescent="0.2">
      <c r="V32" s="7"/>
      <c r="W32" s="7"/>
      <c r="X32" s="7"/>
      <c r="Y32" s="7"/>
      <c r="Z32" s="7"/>
      <c r="AA32" s="7"/>
      <c r="AB32" s="7"/>
      <c r="AC32" s="18"/>
      <c r="AD32" s="18"/>
      <c r="AE32" s="18"/>
      <c r="AF32" s="18"/>
      <c r="AG32" s="18"/>
      <c r="AH32" s="18"/>
      <c r="AI32" s="18"/>
      <c r="AJ32" s="18"/>
      <c r="AK32" s="7"/>
    </row>
    <row r="33" spans="20:38" x14ac:dyDescent="0.2">
      <c r="V33" s="7"/>
      <c r="W33" s="7"/>
      <c r="X33" s="7"/>
      <c r="Y33" s="7"/>
      <c r="Z33" s="7"/>
      <c r="AA33" s="7"/>
      <c r="AB33" s="7"/>
      <c r="AC33" s="19"/>
      <c r="AD33" s="19"/>
      <c r="AE33" s="19"/>
      <c r="AF33" s="19"/>
      <c r="AG33" s="19"/>
      <c r="AH33" s="19"/>
      <c r="AI33" s="19"/>
      <c r="AJ33" s="19"/>
      <c r="AK33" s="7"/>
    </row>
    <row r="34" spans="20:38" x14ac:dyDescent="0.2">
      <c r="V34" s="7"/>
      <c r="W34" s="7"/>
      <c r="X34" s="7"/>
      <c r="Y34" s="7"/>
      <c r="Z34" s="7"/>
      <c r="AA34" s="7"/>
      <c r="AB34" s="7"/>
      <c r="AC34" s="18"/>
      <c r="AD34" s="18"/>
      <c r="AE34" s="18"/>
      <c r="AF34" s="18"/>
      <c r="AG34" s="18"/>
      <c r="AH34" s="18"/>
      <c r="AI34" s="18"/>
      <c r="AJ34" s="18"/>
      <c r="AK34" s="7"/>
      <c r="AL34" s="7"/>
    </row>
    <row r="35" spans="20:38" x14ac:dyDescent="0.2">
      <c r="V35" s="7"/>
      <c r="W35" s="7"/>
      <c r="X35" s="7"/>
      <c r="Y35" s="7"/>
      <c r="Z35" s="7"/>
      <c r="AA35" s="7"/>
      <c r="AB35" s="7"/>
      <c r="AC35" s="18"/>
      <c r="AD35" s="18"/>
      <c r="AE35" s="18"/>
      <c r="AF35" s="18"/>
      <c r="AG35" s="18"/>
      <c r="AH35" s="18"/>
      <c r="AI35" s="18"/>
      <c r="AJ35" s="18"/>
      <c r="AK35" s="7"/>
      <c r="AL35" s="7"/>
    </row>
    <row r="36" spans="20:38" x14ac:dyDescent="0.2"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</row>
    <row r="37" spans="20:38" x14ac:dyDescent="0.2">
      <c r="T37" s="20"/>
      <c r="V37" s="7"/>
      <c r="W37" s="7"/>
      <c r="X37" s="20"/>
      <c r="Y37" s="7"/>
      <c r="Z37" s="20"/>
      <c r="AA37" s="7"/>
      <c r="AB37" s="20"/>
      <c r="AC37" s="20"/>
      <c r="AD37" s="20"/>
      <c r="AE37" s="20"/>
      <c r="AF37" s="20"/>
      <c r="AG37" s="20"/>
      <c r="AH37" s="20"/>
      <c r="AI37" s="20"/>
      <c r="AJ37" s="20"/>
      <c r="AK37" s="7"/>
      <c r="AL37" s="7"/>
    </row>
    <row r="38" spans="20:38" x14ac:dyDescent="0.2">
      <c r="T38" s="21"/>
      <c r="U38" s="21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7"/>
      <c r="AL38" s="7"/>
    </row>
    <row r="39" spans="20:38" x14ac:dyDescent="0.2">
      <c r="T39" s="21"/>
      <c r="U39" s="21"/>
      <c r="V39" s="18"/>
      <c r="W39" s="18"/>
      <c r="X39" s="21"/>
      <c r="Y39" s="18"/>
      <c r="Z39" s="21"/>
      <c r="AA39" s="18"/>
      <c r="AB39" s="21"/>
      <c r="AC39" s="21"/>
      <c r="AD39" s="21"/>
      <c r="AE39" s="21"/>
      <c r="AF39" s="21"/>
      <c r="AG39" s="21"/>
      <c r="AH39" s="21"/>
      <c r="AI39" s="21"/>
      <c r="AJ39" s="21"/>
      <c r="AK39" s="7"/>
      <c r="AL39" s="7"/>
    </row>
    <row r="40" spans="20:38" x14ac:dyDescent="0.2">
      <c r="T40" s="21"/>
      <c r="U40" s="22"/>
      <c r="V40" s="23"/>
      <c r="W40" s="23"/>
      <c r="X40" s="21"/>
      <c r="Y40" s="23"/>
      <c r="Z40" s="21"/>
      <c r="AA40" s="23"/>
      <c r="AB40" s="21"/>
      <c r="AC40" s="21"/>
      <c r="AD40" s="21"/>
      <c r="AE40" s="21"/>
      <c r="AF40" s="21"/>
      <c r="AG40" s="21"/>
      <c r="AH40" s="21"/>
      <c r="AI40" s="21"/>
      <c r="AJ40" s="21"/>
      <c r="AK40" s="7"/>
      <c r="AL40" s="7"/>
    </row>
    <row r="41" spans="20:38" x14ac:dyDescent="0.2">
      <c r="T41" s="22"/>
      <c r="U41" s="22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23"/>
      <c r="AK41" s="7"/>
      <c r="AL41" s="7"/>
    </row>
    <row r="42" spans="20:38" x14ac:dyDescent="0.2">
      <c r="T42" s="22"/>
      <c r="U42" s="22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23"/>
      <c r="AK42" s="7"/>
      <c r="AL42" s="7"/>
    </row>
    <row r="43" spans="20:38" x14ac:dyDescent="0.2"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</row>
    <row r="44" spans="20:38" x14ac:dyDescent="0.2"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</row>
    <row r="45" spans="20:38" x14ac:dyDescent="0.2"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</row>
    <row r="46" spans="20:38" x14ac:dyDescent="0.2"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</row>
    <row r="47" spans="20:38" x14ac:dyDescent="0.2"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</row>
    <row r="48" spans="20:38" x14ac:dyDescent="0.2"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</row>
    <row r="49" spans="22:38" x14ac:dyDescent="0.2"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</row>
    <row r="50" spans="22:38" x14ac:dyDescent="0.2"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</row>
    <row r="51" spans="22:38" x14ac:dyDescent="0.2"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</row>
    <row r="52" spans="22:38" x14ac:dyDescent="0.2"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</row>
    <row r="53" spans="22:38" x14ac:dyDescent="0.2"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</row>
    <row r="54" spans="22:38" x14ac:dyDescent="0.2"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</row>
    <row r="55" spans="22:38" x14ac:dyDescent="0.2"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</row>
    <row r="56" spans="22:38" x14ac:dyDescent="0.2"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</row>
  </sheetData>
  <mergeCells count="46">
    <mergeCell ref="A2:AL2"/>
    <mergeCell ref="U6:W6"/>
    <mergeCell ref="AB6:AB7"/>
    <mergeCell ref="N5:N7"/>
    <mergeCell ref="S5:AC5"/>
    <mergeCell ref="K6:K7"/>
    <mergeCell ref="O6:O7"/>
    <mergeCell ref="B28:R28"/>
    <mergeCell ref="T6:T7"/>
    <mergeCell ref="A3:AL3"/>
    <mergeCell ref="AH5:AH7"/>
    <mergeCell ref="E5:E7"/>
    <mergeCell ref="F5:F7"/>
    <mergeCell ref="Z6:Z7"/>
    <mergeCell ref="AG28:AJ28"/>
    <mergeCell ref="AG23:AJ23"/>
    <mergeCell ref="A1:AL1"/>
    <mergeCell ref="AG29:AJ29"/>
    <mergeCell ref="M6:M7"/>
    <mergeCell ref="AG5:AG7"/>
    <mergeCell ref="Q6:Q7"/>
    <mergeCell ref="AI5:AI7"/>
    <mergeCell ref="H5:H7"/>
    <mergeCell ref="J5:M5"/>
    <mergeCell ref="Y6:Y7"/>
    <mergeCell ref="B23:R23"/>
    <mergeCell ref="AD5:AD7"/>
    <mergeCell ref="B29:R29"/>
    <mergeCell ref="AK5:AL7"/>
    <mergeCell ref="AC6:AC7"/>
    <mergeCell ref="L6:L7"/>
    <mergeCell ref="A5:A7"/>
    <mergeCell ref="AJ5:AJ7"/>
    <mergeCell ref="G5:G7"/>
    <mergeCell ref="B5:B7"/>
    <mergeCell ref="B22:R22"/>
    <mergeCell ref="AE5:AE7"/>
    <mergeCell ref="X6:X7"/>
    <mergeCell ref="C5:C7"/>
    <mergeCell ref="AF5:AF7"/>
    <mergeCell ref="I5:I7"/>
    <mergeCell ref="O5:Q5"/>
    <mergeCell ref="D5:D7"/>
    <mergeCell ref="AA6:AA7"/>
    <mergeCell ref="J6:J7"/>
    <mergeCell ref="P6:P7"/>
  </mergeCells>
  <pageMargins left="0.25" right="0.25" top="0.75" bottom="0.75" header="0.3" footer="0.3"/>
  <pageSetup paperSize="14" scale="49" orientation="landscape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G51"/>
  <sheetViews>
    <sheetView topLeftCell="C1" zoomScale="75" zoomScaleNormal="75" workbookViewId="0">
      <selection activeCell="AC8" sqref="AC8"/>
    </sheetView>
  </sheetViews>
  <sheetFormatPr baseColWidth="10" defaultColWidth="8.83203125" defaultRowHeight="16" x14ac:dyDescent="0.2"/>
  <cols>
    <col min="1" max="1" width="4.5" style="3" customWidth="1"/>
    <col min="2" max="2" width="21.1640625" customWidth="1"/>
    <col min="3" max="3" width="20" customWidth="1"/>
    <col min="4" max="4" width="18.5" customWidth="1"/>
    <col min="5" max="5" width="21.6640625" customWidth="1"/>
    <col min="6" max="6" width="13.1640625" customWidth="1"/>
    <col min="7" max="7" width="6.5" customWidth="1"/>
    <col min="8" max="8" width="3.8320312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0.83203125" customWidth="1"/>
    <col min="20" max="20" width="11.6640625" customWidth="1"/>
    <col min="21" max="21" width="11" customWidth="1"/>
    <col min="22" max="22" width="10.5" customWidth="1"/>
    <col min="23" max="23" width="10.83203125" customWidth="1"/>
    <col min="24" max="24" width="11.6640625" customWidth="1"/>
    <col min="25" max="25" width="10.83203125" customWidth="1"/>
    <col min="26" max="26" width="11.6640625" customWidth="1"/>
    <col min="27" max="27" width="11.1640625" customWidth="1"/>
    <col min="28" max="28" width="10.83203125" customWidth="1"/>
    <col min="29" max="29" width="13.1640625" customWidth="1"/>
    <col min="30" max="30" width="12.1640625" customWidth="1"/>
    <col min="31" max="31" width="3.5" customWidth="1"/>
    <col min="32" max="32" width="17" customWidth="1"/>
    <col min="33" max="33" width="7.33203125" customWidth="1"/>
  </cols>
  <sheetData>
    <row r="1" spans="1:33" ht="28" customHeight="1" x14ac:dyDescent="0.2">
      <c r="A1" s="188" t="s">
        <v>95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6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75"/>
      <c r="AE1" s="175"/>
      <c r="AF1" s="175"/>
      <c r="AG1" s="32"/>
    </row>
    <row r="2" spans="1:33" ht="28" customHeight="1" x14ac:dyDescent="0.2">
      <c r="A2" s="188" t="s">
        <v>1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  <c r="L2" s="175"/>
      <c r="M2" s="175"/>
      <c r="N2" s="175"/>
      <c r="O2" s="176"/>
      <c r="P2" s="175"/>
      <c r="Q2" s="175"/>
      <c r="R2" s="175"/>
      <c r="S2" s="175"/>
      <c r="T2" s="175"/>
      <c r="U2" s="175"/>
      <c r="V2" s="175"/>
      <c r="W2" s="175"/>
      <c r="X2" s="175"/>
      <c r="Y2" s="175"/>
      <c r="Z2" s="175"/>
      <c r="AA2" s="175"/>
      <c r="AB2" s="175"/>
      <c r="AC2" s="175"/>
      <c r="AD2" s="175"/>
      <c r="AE2" s="175"/>
      <c r="AF2" s="175"/>
      <c r="AG2" s="32"/>
    </row>
    <row r="3" spans="1:33" ht="28" customHeight="1" x14ac:dyDescent="0.2">
      <c r="A3" s="188" t="s">
        <v>96</v>
      </c>
      <c r="B3" s="175"/>
      <c r="C3" s="175"/>
      <c r="D3" s="175"/>
      <c r="E3" s="175"/>
      <c r="F3" s="175"/>
      <c r="G3" s="175"/>
      <c r="H3" s="175"/>
      <c r="I3" s="175"/>
      <c r="J3" s="175"/>
      <c r="K3" s="175"/>
      <c r="L3" s="175"/>
      <c r="M3" s="175"/>
      <c r="N3" s="175"/>
      <c r="O3" s="176"/>
      <c r="P3" s="175"/>
      <c r="Q3" s="175"/>
      <c r="R3" s="175"/>
      <c r="S3" s="175"/>
      <c r="T3" s="175"/>
      <c r="U3" s="175"/>
      <c r="V3" s="175"/>
      <c r="W3" s="175"/>
      <c r="X3" s="175"/>
      <c r="Y3" s="175"/>
      <c r="Z3" s="175"/>
      <c r="AA3" s="175"/>
      <c r="AB3" s="175"/>
      <c r="AC3" s="175"/>
      <c r="AD3" s="175"/>
      <c r="AE3" s="175"/>
      <c r="AF3" s="175"/>
      <c r="AG3" s="33"/>
    </row>
    <row r="5" spans="1:33" x14ac:dyDescent="0.2">
      <c r="A5" s="211" t="s">
        <v>4</v>
      </c>
      <c r="B5" s="211" t="s">
        <v>5</v>
      </c>
      <c r="C5" s="216" t="s">
        <v>6</v>
      </c>
      <c r="D5" s="207" t="s">
        <v>7</v>
      </c>
      <c r="E5" s="211" t="s">
        <v>8</v>
      </c>
      <c r="F5" s="218" t="s">
        <v>9</v>
      </c>
      <c r="G5" s="211" t="s">
        <v>10</v>
      </c>
      <c r="H5" s="214" t="s">
        <v>11</v>
      </c>
      <c r="I5" s="205" t="s">
        <v>12</v>
      </c>
      <c r="J5" s="205" t="s">
        <v>13</v>
      </c>
      <c r="K5" s="172"/>
      <c r="L5" s="172"/>
      <c r="M5" s="173"/>
      <c r="N5" s="208" t="s">
        <v>14</v>
      </c>
      <c r="O5" s="206" t="s">
        <v>15</v>
      </c>
      <c r="P5" s="172"/>
      <c r="Q5" s="173"/>
      <c r="R5" s="30"/>
      <c r="S5" s="220"/>
      <c r="T5" s="172"/>
      <c r="U5" s="172"/>
      <c r="V5" s="172"/>
      <c r="W5" s="172"/>
      <c r="X5" s="172"/>
      <c r="Y5" s="172"/>
      <c r="Z5" s="172"/>
      <c r="AA5" s="172"/>
      <c r="AB5" s="172"/>
      <c r="AC5" s="173"/>
      <c r="AD5" s="217" t="s">
        <v>23</v>
      </c>
      <c r="AE5" s="224" t="s">
        <v>24</v>
      </c>
      <c r="AF5" s="225"/>
      <c r="AG5" s="48"/>
    </row>
    <row r="6" spans="1:33" ht="14.5" customHeight="1" x14ac:dyDescent="0.2">
      <c r="A6" s="169"/>
      <c r="B6" s="169"/>
      <c r="C6" s="169"/>
      <c r="D6" s="169"/>
      <c r="E6" s="169"/>
      <c r="F6" s="169"/>
      <c r="G6" s="169"/>
      <c r="H6" s="169"/>
      <c r="I6" s="169"/>
      <c r="J6" s="208" t="s">
        <v>25</v>
      </c>
      <c r="K6" s="208" t="s">
        <v>26</v>
      </c>
      <c r="L6" s="208" t="s">
        <v>27</v>
      </c>
      <c r="M6" s="208" t="s">
        <v>28</v>
      </c>
      <c r="N6" s="169"/>
      <c r="O6" s="209" t="s">
        <v>29</v>
      </c>
      <c r="P6" s="209" t="s">
        <v>30</v>
      </c>
      <c r="Q6" s="209" t="s">
        <v>31</v>
      </c>
      <c r="R6" s="34" t="s">
        <v>93</v>
      </c>
      <c r="S6" s="139"/>
      <c r="T6" s="217" t="s">
        <v>32</v>
      </c>
      <c r="U6" s="219" t="s">
        <v>26</v>
      </c>
      <c r="V6" s="172"/>
      <c r="W6" s="173"/>
      <c r="X6" s="212" t="s">
        <v>33</v>
      </c>
      <c r="Y6" s="215" t="s">
        <v>27</v>
      </c>
      <c r="Z6" s="215" t="s">
        <v>34</v>
      </c>
      <c r="AA6" s="210" t="s">
        <v>28</v>
      </c>
      <c r="AB6" s="210" t="s">
        <v>35</v>
      </c>
      <c r="AC6" s="202" t="s">
        <v>36</v>
      </c>
      <c r="AD6" s="169"/>
      <c r="AE6" s="226"/>
      <c r="AF6" s="227"/>
      <c r="AG6" s="48"/>
    </row>
    <row r="7" spans="1:33" ht="34" customHeight="1" x14ac:dyDescent="0.2">
      <c r="A7" s="170"/>
      <c r="B7" s="170"/>
      <c r="C7" s="169"/>
      <c r="D7" s="169"/>
      <c r="E7" s="170"/>
      <c r="F7" s="170"/>
      <c r="G7" s="170"/>
      <c r="H7" s="170"/>
      <c r="I7" s="170"/>
      <c r="J7" s="169"/>
      <c r="K7" s="169"/>
      <c r="L7" s="169"/>
      <c r="M7" s="169"/>
      <c r="N7" s="169"/>
      <c r="O7" s="169"/>
      <c r="P7" s="169"/>
      <c r="Q7" s="169"/>
      <c r="R7" s="31" t="s">
        <v>94</v>
      </c>
      <c r="S7" s="5" t="s">
        <v>37</v>
      </c>
      <c r="T7" s="170"/>
      <c r="U7" s="4" t="s">
        <v>38</v>
      </c>
      <c r="V7" s="4" t="s">
        <v>39</v>
      </c>
      <c r="W7" s="4" t="s">
        <v>40</v>
      </c>
      <c r="X7" s="170"/>
      <c r="Y7" s="170"/>
      <c r="Z7" s="170"/>
      <c r="AA7" s="170"/>
      <c r="AB7" s="170"/>
      <c r="AC7" s="170"/>
      <c r="AD7" s="170"/>
      <c r="AE7" s="226"/>
      <c r="AF7" s="227"/>
      <c r="AG7" s="48"/>
    </row>
    <row r="8" spans="1:33" s="84" customFormat="1" ht="46.5" customHeight="1" x14ac:dyDescent="0.2">
      <c r="A8" s="124" t="s">
        <v>41</v>
      </c>
      <c r="B8" s="130"/>
      <c r="C8" s="131"/>
      <c r="D8" s="60"/>
      <c r="E8" s="132"/>
      <c r="F8" s="78"/>
      <c r="G8" s="78"/>
      <c r="H8" s="79"/>
      <c r="I8" s="64"/>
      <c r="J8" s="65"/>
      <c r="K8" s="66"/>
      <c r="L8" s="67"/>
      <c r="M8" s="67"/>
      <c r="N8" s="68">
        <f>ROUND(I8*(SUM(J8:M8)),0)</f>
        <v>0</v>
      </c>
      <c r="O8" s="71"/>
      <c r="P8" s="70"/>
      <c r="Q8" s="70"/>
      <c r="R8" s="71"/>
      <c r="S8" s="68">
        <f>I8*J8</f>
        <v>0</v>
      </c>
      <c r="T8" s="68">
        <f>SUM(S8:S8)*20%</f>
        <v>0</v>
      </c>
      <c r="U8" s="68">
        <f>I8*K8*40%*O8</f>
        <v>0</v>
      </c>
      <c r="V8" s="68">
        <f>IF(P8&gt;=6750,(I8*K8*40%),0)</f>
        <v>0</v>
      </c>
      <c r="W8" s="68">
        <f>IF(P8&lt;6750,0,IF(Q8="",0,IF(OR(Q8="KURANG",Q8="SANGAT KURANG"),I8*K8*10%,I8*K8*20%)))</f>
        <v>0</v>
      </c>
      <c r="X8" s="68">
        <f>SUM(U8:W8)*20%</f>
        <v>0</v>
      </c>
      <c r="Y8" s="68">
        <f>I8*L8</f>
        <v>0</v>
      </c>
      <c r="Z8" s="68">
        <f>Y8*20%</f>
        <v>0</v>
      </c>
      <c r="AA8" s="68">
        <f>I8*M8</f>
        <v>0</v>
      </c>
      <c r="AB8" s="68">
        <f>AA8*20%</f>
        <v>0</v>
      </c>
      <c r="AC8" s="72">
        <f>ROUND((T8+X8+Z8+AB8),0)</f>
        <v>0</v>
      </c>
      <c r="AD8" s="68">
        <f>AC8</f>
        <v>0</v>
      </c>
      <c r="AE8" s="134" t="s">
        <v>41</v>
      </c>
      <c r="AF8" s="75"/>
      <c r="AG8" s="83"/>
    </row>
    <row r="9" spans="1:33" s="84" customFormat="1" ht="46.5" customHeight="1" x14ac:dyDescent="0.2">
      <c r="A9" s="124">
        <v>2</v>
      </c>
      <c r="B9" s="130"/>
      <c r="C9" s="131"/>
      <c r="D9" s="60"/>
      <c r="E9" s="132"/>
      <c r="F9" s="78"/>
      <c r="G9" s="78"/>
      <c r="H9" s="79"/>
      <c r="I9" s="64"/>
      <c r="J9" s="65"/>
      <c r="K9" s="66"/>
      <c r="L9" s="67"/>
      <c r="M9" s="67"/>
      <c r="N9" s="68">
        <f>ROUND(I9*(SUM(J9:M9)),0)</f>
        <v>0</v>
      </c>
      <c r="O9" s="71"/>
      <c r="P9" s="70"/>
      <c r="Q9" s="70"/>
      <c r="R9" s="71"/>
      <c r="S9" s="68">
        <f>I9*J9</f>
        <v>0</v>
      </c>
      <c r="T9" s="68">
        <f>SUM(S9:S9)*20%</f>
        <v>0</v>
      </c>
      <c r="U9" s="68">
        <f>I9*K9*40%*O9</f>
        <v>0</v>
      </c>
      <c r="V9" s="68">
        <f>IF(P9&gt;=6750,(I9*K9*40%),0)</f>
        <v>0</v>
      </c>
      <c r="W9" s="68">
        <f>IF(P9&lt;6750,0,IF(Q9="",0,IF(OR(Q9="KURANG",Q9="SANGAT KURANG"),I9*K9*10%,I9*K9*20%)))</f>
        <v>0</v>
      </c>
      <c r="X9" s="68">
        <f>SUM(U9:W9)*20%</f>
        <v>0</v>
      </c>
      <c r="Y9" s="68">
        <f>I9*L9</f>
        <v>0</v>
      </c>
      <c r="Z9" s="68">
        <f>Y9*20%</f>
        <v>0</v>
      </c>
      <c r="AA9" s="68">
        <f>I9*M9</f>
        <v>0</v>
      </c>
      <c r="AB9" s="68">
        <f>AA9*20%</f>
        <v>0</v>
      </c>
      <c r="AC9" s="72">
        <f>ROUND((T9+X9+Z9+AB9),0)</f>
        <v>0</v>
      </c>
      <c r="AD9" s="68">
        <f>AC9</f>
        <v>0</v>
      </c>
      <c r="AE9" s="134">
        <v>2</v>
      </c>
      <c r="AF9" s="75"/>
      <c r="AG9" s="83"/>
    </row>
    <row r="10" spans="1:33" s="84" customFormat="1" ht="46.5" customHeight="1" x14ac:dyDescent="0.2">
      <c r="A10" s="124">
        <v>3</v>
      </c>
      <c r="B10" s="130"/>
      <c r="C10" s="131"/>
      <c r="D10" s="60"/>
      <c r="E10" s="132"/>
      <c r="F10" s="78"/>
      <c r="G10" s="78"/>
      <c r="H10" s="79"/>
      <c r="I10" s="64"/>
      <c r="J10" s="65"/>
      <c r="K10" s="66"/>
      <c r="L10" s="67"/>
      <c r="M10" s="67"/>
      <c r="N10" s="68">
        <f>ROUND(I10*(SUM(J10:M10)),0)</f>
        <v>0</v>
      </c>
      <c r="O10" s="71"/>
      <c r="P10" s="70"/>
      <c r="Q10" s="70"/>
      <c r="R10" s="71"/>
      <c r="S10" s="68">
        <f>I10*J10</f>
        <v>0</v>
      </c>
      <c r="T10" s="68">
        <f>SUM(S10:S10)*20%</f>
        <v>0</v>
      </c>
      <c r="U10" s="68">
        <f>I10*K10*40%*O10</f>
        <v>0</v>
      </c>
      <c r="V10" s="68">
        <f>IF(P10&gt;=6750,(I10*K10*40%),0)</f>
        <v>0</v>
      </c>
      <c r="W10" s="68">
        <f>IF(P10&lt;6750,0,IF(Q10="",0,IF(OR(Q10="KURANG",Q10="SANGAT KURANG"),I10*K10*10%,I10*K10*20%)))</f>
        <v>0</v>
      </c>
      <c r="X10" s="68">
        <f>SUM(U10:W10)*20%</f>
        <v>0</v>
      </c>
      <c r="Y10" s="68">
        <f>I10*L10</f>
        <v>0</v>
      </c>
      <c r="Z10" s="68">
        <f>Y10*20%</f>
        <v>0</v>
      </c>
      <c r="AA10" s="68">
        <f>I10*M10</f>
        <v>0</v>
      </c>
      <c r="AB10" s="68">
        <f>AA10*20%</f>
        <v>0</v>
      </c>
      <c r="AC10" s="72">
        <f>ROUND((T10+X10+Z10+AB10),0)</f>
        <v>0</v>
      </c>
      <c r="AD10" s="68">
        <f>AC10</f>
        <v>0</v>
      </c>
      <c r="AE10" s="134">
        <v>3</v>
      </c>
      <c r="AF10" s="75"/>
      <c r="AG10" s="83"/>
    </row>
    <row r="11" spans="1:33" s="84" customFormat="1" ht="46.5" customHeight="1" x14ac:dyDescent="0.2">
      <c r="A11" s="124">
        <v>4</v>
      </c>
      <c r="B11" s="130"/>
      <c r="C11" s="131"/>
      <c r="D11" s="60"/>
      <c r="E11" s="132"/>
      <c r="F11" s="78"/>
      <c r="G11" s="78"/>
      <c r="H11" s="79"/>
      <c r="I11" s="64"/>
      <c r="J11" s="65"/>
      <c r="K11" s="66"/>
      <c r="L11" s="67"/>
      <c r="M11" s="67"/>
      <c r="N11" s="68">
        <f>ROUND(I11*(SUM(J11:M11)),0)</f>
        <v>0</v>
      </c>
      <c r="O11" s="71"/>
      <c r="P11" s="70"/>
      <c r="Q11" s="70"/>
      <c r="R11" s="71"/>
      <c r="S11" s="68">
        <f>I11*J11</f>
        <v>0</v>
      </c>
      <c r="T11" s="68">
        <f>SUM(S11:S11)*20%</f>
        <v>0</v>
      </c>
      <c r="U11" s="68">
        <f>I11*K11*40%*O11</f>
        <v>0</v>
      </c>
      <c r="V11" s="68">
        <f>IF(P11&gt;=6750,(I11*K11*40%),0)</f>
        <v>0</v>
      </c>
      <c r="W11" s="68">
        <f>IF(P11&lt;6750,0,IF(Q11="",0,IF(OR(Q11="KURANG",Q11="SANGAT KURANG"),I11*K11*10%,I11*K11*20%)))</f>
        <v>0</v>
      </c>
      <c r="X11" s="68">
        <f>SUM(U11:W11)*20%</f>
        <v>0</v>
      </c>
      <c r="Y11" s="68">
        <f>I11*L11</f>
        <v>0</v>
      </c>
      <c r="Z11" s="68">
        <f>Y11*20%</f>
        <v>0</v>
      </c>
      <c r="AA11" s="68">
        <f>I11*M11</f>
        <v>0</v>
      </c>
      <c r="AB11" s="68">
        <f>AA11*20%</f>
        <v>0</v>
      </c>
      <c r="AC11" s="72">
        <f>ROUND((T11+X11+Z11+AB11),0)</f>
        <v>0</v>
      </c>
      <c r="AD11" s="68">
        <f>AC11</f>
        <v>0</v>
      </c>
      <c r="AE11" s="134">
        <v>4</v>
      </c>
      <c r="AF11" s="75"/>
      <c r="AG11" s="83"/>
    </row>
    <row r="12" spans="1:33" s="84" customFormat="1" ht="46.5" customHeight="1" x14ac:dyDescent="0.2">
      <c r="A12" s="124">
        <v>5</v>
      </c>
      <c r="B12" s="60"/>
      <c r="C12" s="61"/>
      <c r="D12" s="60"/>
      <c r="E12" s="60"/>
      <c r="F12" s="78"/>
      <c r="G12" s="62"/>
      <c r="H12" s="63"/>
      <c r="I12" s="64"/>
      <c r="J12" s="129"/>
      <c r="K12" s="66"/>
      <c r="L12" s="67"/>
      <c r="M12" s="67"/>
      <c r="N12" s="68">
        <f>I12*(SUM(J12:M12))</f>
        <v>0</v>
      </c>
      <c r="O12" s="71"/>
      <c r="P12" s="70"/>
      <c r="Q12" s="70"/>
      <c r="R12" s="71"/>
      <c r="S12" s="68">
        <f>I12*J12</f>
        <v>0</v>
      </c>
      <c r="T12" s="68">
        <f>SUM(S12:S12)*20%</f>
        <v>0</v>
      </c>
      <c r="U12" s="68">
        <f>(I12*K12*40%*O12)*20%</f>
        <v>0</v>
      </c>
      <c r="V12" s="68">
        <f>(IF(P12&gt;=6750,(I12*K12*40%),0))*20%</f>
        <v>0</v>
      </c>
      <c r="W12" s="68">
        <f>IF(P12&lt;6750,0,IF(Q12="",0,IF(OR(Q12="KURANG",Q12="SANGAT KURANG"),I12*K12*10%,I12*K12*20%)))</f>
        <v>0</v>
      </c>
      <c r="X12" s="68">
        <f>SUM(U12:W12)*20%</f>
        <v>0</v>
      </c>
      <c r="Y12" s="68">
        <f>(I12*L12)*20%</f>
        <v>0</v>
      </c>
      <c r="Z12" s="68">
        <f>Y12*20%</f>
        <v>0</v>
      </c>
      <c r="AA12" s="68">
        <f>I12*M12</f>
        <v>0</v>
      </c>
      <c r="AB12" s="68">
        <f>AA12*20%</f>
        <v>0</v>
      </c>
      <c r="AC12" s="72">
        <f>ROUND((T12+X12+Z12+AB12),0)</f>
        <v>0</v>
      </c>
      <c r="AD12" s="68">
        <f>AC12</f>
        <v>0</v>
      </c>
      <c r="AE12" s="133">
        <v>5</v>
      </c>
      <c r="AF12" s="75"/>
      <c r="AG12" s="135"/>
    </row>
    <row r="13" spans="1:33" x14ac:dyDescent="0.2">
      <c r="B13" s="7"/>
      <c r="C13" s="7"/>
      <c r="D13" s="7"/>
      <c r="E13" s="7"/>
      <c r="F13" s="7"/>
      <c r="G13" s="7"/>
      <c r="H13" s="7"/>
      <c r="I13" s="7"/>
      <c r="K13" s="8"/>
      <c r="L13" s="9"/>
      <c r="M13" s="9"/>
      <c r="N13" s="6">
        <f>I13*(SUM(K13:M13))</f>
        <v>0</v>
      </c>
      <c r="O13" s="10"/>
      <c r="P13" s="11"/>
      <c r="Q13" s="11"/>
      <c r="R13" s="11"/>
      <c r="S13" s="12"/>
      <c r="T13" s="11">
        <f>SUM(T8:T12)</f>
        <v>0</v>
      </c>
      <c r="U13" s="12"/>
      <c r="V13" s="12"/>
      <c r="W13" s="12"/>
      <c r="X13" s="11">
        <f>SUM(X8:X12)</f>
        <v>0</v>
      </c>
      <c r="Y13" s="12"/>
      <c r="Z13" s="6">
        <f>SUM(Z8:Z12)</f>
        <v>0</v>
      </c>
      <c r="AA13" s="12"/>
      <c r="AB13" s="6">
        <f>SUM(AB8:AB12)</f>
        <v>0</v>
      </c>
      <c r="AC13" s="11">
        <f>SUM(AC8:AC12)</f>
        <v>0</v>
      </c>
      <c r="AD13" s="11">
        <f>SUM(AD8:AD12)</f>
        <v>0</v>
      </c>
      <c r="AE13" s="13"/>
      <c r="AF13" s="14"/>
      <c r="AG13" s="7"/>
    </row>
    <row r="14" spans="1:33" ht="35" customHeight="1" x14ac:dyDescent="0.2">
      <c r="B14" s="7"/>
      <c r="C14" s="7"/>
      <c r="D14" s="7"/>
      <c r="E14" s="7"/>
      <c r="F14" s="7"/>
      <c r="G14" s="7"/>
      <c r="H14" s="7"/>
      <c r="I14" s="7"/>
      <c r="K14" s="7"/>
      <c r="L14" s="7"/>
      <c r="M14" s="7"/>
      <c r="N14" s="24"/>
      <c r="O14" s="25"/>
      <c r="P14" s="24"/>
      <c r="Q14" s="24"/>
      <c r="R14" s="24"/>
    </row>
    <row r="15" spans="1:33" ht="20.25" customHeight="1" x14ac:dyDescent="0.2">
      <c r="B15" s="7"/>
      <c r="C15" s="7"/>
      <c r="D15" s="7"/>
      <c r="E15" s="7"/>
      <c r="F15" s="7"/>
      <c r="G15" s="7"/>
      <c r="H15" s="7"/>
      <c r="I15" s="7"/>
      <c r="K15" s="7"/>
      <c r="L15" s="7"/>
      <c r="M15" s="7"/>
      <c r="N15" s="24"/>
      <c r="O15" s="25"/>
      <c r="P15" s="24"/>
      <c r="Q15" s="24"/>
      <c r="R15" s="24"/>
    </row>
    <row r="16" spans="1:33" ht="20.25" customHeight="1" x14ac:dyDescent="0.2">
      <c r="B16" s="7"/>
      <c r="C16" s="7"/>
      <c r="D16" s="7"/>
      <c r="E16" s="7"/>
      <c r="F16" s="7"/>
      <c r="G16" s="7"/>
      <c r="H16" s="7"/>
      <c r="I16" s="7"/>
      <c r="K16" s="7"/>
      <c r="L16" s="7"/>
      <c r="M16" s="7"/>
      <c r="N16" s="24"/>
      <c r="O16" s="25"/>
      <c r="P16" s="24"/>
      <c r="Q16" s="24"/>
      <c r="R16" s="24"/>
    </row>
    <row r="17" spans="2:33" ht="19" customHeight="1" x14ac:dyDescent="0.25">
      <c r="B17" s="174" t="s">
        <v>55</v>
      </c>
      <c r="C17" s="175"/>
      <c r="D17" s="175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6"/>
      <c r="P17" s="175"/>
      <c r="Q17" s="175"/>
      <c r="R17" s="175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F17" s="7"/>
    </row>
    <row r="18" spans="2:33" ht="14.5" customHeight="1" x14ac:dyDescent="0.25">
      <c r="B18" s="174" t="s">
        <v>56</v>
      </c>
      <c r="C18" s="175"/>
      <c r="D18" s="175"/>
      <c r="E18" s="175"/>
      <c r="F18" s="175"/>
      <c r="G18" s="175"/>
      <c r="H18" s="175"/>
      <c r="I18" s="175"/>
      <c r="J18" s="175"/>
      <c r="K18" s="175"/>
      <c r="L18" s="175"/>
      <c r="M18" s="175"/>
      <c r="N18" s="175"/>
      <c r="O18" s="176"/>
      <c r="P18" s="175"/>
      <c r="Q18" s="175"/>
      <c r="R18" s="175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1"/>
      <c r="AD18" s="54"/>
      <c r="AE18" s="7"/>
      <c r="AF18" s="16"/>
    </row>
    <row r="19" spans="2:33" ht="19" customHeight="1" x14ac:dyDescent="0.25">
      <c r="B19" s="50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2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3"/>
      <c r="AD19" s="53"/>
      <c r="AE19" s="7"/>
      <c r="AF19" s="19"/>
    </row>
    <row r="20" spans="2:33" ht="19" customHeight="1" x14ac:dyDescent="0.25"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2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3"/>
      <c r="AD20" s="50"/>
      <c r="AE20" s="7"/>
      <c r="AF20" s="7"/>
    </row>
    <row r="21" spans="2:33" ht="19" customHeight="1" x14ac:dyDescent="0.25">
      <c r="B21" s="50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2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5"/>
      <c r="AD21" s="50"/>
    </row>
    <row r="22" spans="2:33" ht="19" customHeight="1" x14ac:dyDescent="0.25">
      <c r="B22" s="50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2"/>
      <c r="P22" s="50"/>
      <c r="Q22" s="50"/>
      <c r="R22" s="50"/>
      <c r="S22" s="50"/>
      <c r="T22" s="52"/>
      <c r="U22" s="52"/>
      <c r="V22" s="50"/>
      <c r="W22" s="50"/>
      <c r="X22" s="50"/>
      <c r="Y22" s="50"/>
      <c r="Z22" s="50"/>
      <c r="AA22" s="50"/>
      <c r="AB22" s="50"/>
      <c r="AC22" s="50"/>
      <c r="AD22" s="50"/>
    </row>
    <row r="23" spans="2:33" ht="19" customHeight="1" x14ac:dyDescent="0.25">
      <c r="B23" s="199" t="s">
        <v>58</v>
      </c>
      <c r="C23" s="175"/>
      <c r="D23" s="175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6"/>
      <c r="P23" s="175"/>
      <c r="Q23" s="175"/>
      <c r="R23" s="175"/>
      <c r="S23" s="56"/>
      <c r="T23" s="56"/>
      <c r="U23" s="56"/>
      <c r="V23" s="56"/>
      <c r="W23" s="56"/>
      <c r="X23" s="50"/>
      <c r="Y23" s="50"/>
      <c r="Z23" s="50"/>
      <c r="AA23" s="50"/>
      <c r="AB23" s="50"/>
      <c r="AC23" s="50"/>
      <c r="AD23" s="136"/>
    </row>
    <row r="24" spans="2:33" ht="19" customHeight="1" x14ac:dyDescent="0.25">
      <c r="B24" s="174" t="s">
        <v>60</v>
      </c>
      <c r="C24" s="175"/>
      <c r="D24" s="175"/>
      <c r="E24" s="175"/>
      <c r="F24" s="175"/>
      <c r="G24" s="175"/>
      <c r="H24" s="175"/>
      <c r="I24" s="175"/>
      <c r="J24" s="175"/>
      <c r="K24" s="175"/>
      <c r="L24" s="175"/>
      <c r="M24" s="175"/>
      <c r="N24" s="175"/>
      <c r="O24" s="176"/>
      <c r="P24" s="175"/>
      <c r="Q24" s="175"/>
      <c r="R24" s="175"/>
      <c r="S24" s="56"/>
      <c r="T24" s="56"/>
      <c r="U24" s="56"/>
      <c r="V24" s="56"/>
      <c r="W24" s="56"/>
      <c r="X24" s="50"/>
      <c r="Y24" s="50"/>
      <c r="Z24" s="50"/>
      <c r="AA24" s="50"/>
      <c r="AB24" s="50"/>
      <c r="AC24" s="50"/>
      <c r="AD24" s="54"/>
    </row>
    <row r="25" spans="2:33" x14ac:dyDescent="0.2">
      <c r="X25" s="7"/>
      <c r="Y25" s="7"/>
      <c r="Z25" s="7"/>
      <c r="AA25" s="7"/>
      <c r="AB25" s="7"/>
      <c r="AC25" s="7"/>
      <c r="AD25" s="7"/>
    </row>
    <row r="26" spans="2:33" x14ac:dyDescent="0.2">
      <c r="V26" s="7"/>
      <c r="W26" s="7"/>
      <c r="X26" s="7"/>
      <c r="Y26" s="7"/>
      <c r="Z26" s="7"/>
      <c r="AA26" s="7"/>
      <c r="AB26" s="7"/>
      <c r="AC26" s="18" t="s">
        <v>62</v>
      </c>
      <c r="AD26" s="18"/>
      <c r="AE26" s="7"/>
    </row>
    <row r="27" spans="2:33" x14ac:dyDescent="0.2">
      <c r="V27" s="7"/>
      <c r="W27" s="7"/>
      <c r="X27" s="7"/>
      <c r="Y27" s="7"/>
      <c r="Z27" s="7"/>
      <c r="AA27" s="7"/>
      <c r="AB27" s="7"/>
      <c r="AC27" s="18"/>
      <c r="AD27" s="18"/>
      <c r="AE27" s="7"/>
    </row>
    <row r="28" spans="2:33" x14ac:dyDescent="0.2">
      <c r="V28" s="7"/>
      <c r="W28" s="7"/>
      <c r="X28" s="7"/>
      <c r="Y28" s="7"/>
      <c r="Z28" s="7"/>
      <c r="AA28" s="7"/>
      <c r="AB28" s="7"/>
      <c r="AC28" s="19"/>
      <c r="AD28" s="19"/>
      <c r="AE28" s="7"/>
    </row>
    <row r="29" spans="2:33" x14ac:dyDescent="0.2">
      <c r="V29" s="7"/>
      <c r="W29" s="7"/>
      <c r="X29" s="7"/>
      <c r="Y29" s="7"/>
      <c r="Z29" s="7"/>
      <c r="AA29" s="7"/>
      <c r="AB29" s="7"/>
      <c r="AC29" s="18"/>
      <c r="AD29" s="18"/>
      <c r="AE29" s="7"/>
      <c r="AF29" s="7"/>
      <c r="AG29" s="7"/>
    </row>
    <row r="30" spans="2:33" x14ac:dyDescent="0.2">
      <c r="V30" s="7"/>
      <c r="W30" s="7"/>
      <c r="X30" s="7"/>
      <c r="Y30" s="7"/>
      <c r="Z30" s="7"/>
      <c r="AA30" s="7"/>
      <c r="AB30" s="7"/>
      <c r="AC30" s="18"/>
      <c r="AD30" s="18"/>
      <c r="AE30" s="7"/>
      <c r="AF30" s="7"/>
      <c r="AG30" s="7"/>
    </row>
    <row r="31" spans="2:33" x14ac:dyDescent="0.2">
      <c r="B31" s="7" t="s">
        <v>97</v>
      </c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</row>
    <row r="32" spans="2:33" x14ac:dyDescent="0.2">
      <c r="T32" s="20"/>
      <c r="V32" s="7"/>
      <c r="W32" s="7"/>
      <c r="X32" s="20"/>
      <c r="Y32" s="7"/>
      <c r="Z32" s="20"/>
      <c r="AA32" s="7"/>
      <c r="AB32" s="20"/>
      <c r="AC32" s="20"/>
      <c r="AD32" s="20"/>
      <c r="AE32" s="7"/>
      <c r="AF32" s="7"/>
      <c r="AG32" s="7"/>
    </row>
    <row r="33" spans="2:33" x14ac:dyDescent="0.2">
      <c r="B33" s="35"/>
      <c r="C33" s="36" t="s">
        <v>98</v>
      </c>
      <c r="D33" s="36" t="s">
        <v>99</v>
      </c>
      <c r="T33" s="21"/>
      <c r="U33" s="21"/>
      <c r="V33" s="18"/>
      <c r="W33" s="18"/>
      <c r="X33" s="18"/>
      <c r="Y33" s="18"/>
      <c r="Z33" s="18"/>
      <c r="AA33" s="18"/>
      <c r="AB33" s="18"/>
      <c r="AC33" s="18"/>
      <c r="AD33" s="18"/>
      <c r="AE33" s="7"/>
      <c r="AF33" s="7"/>
      <c r="AG33" s="7"/>
    </row>
    <row r="34" spans="2:33" x14ac:dyDescent="0.2">
      <c r="B34" s="37" t="s">
        <v>100</v>
      </c>
      <c r="C34" s="38" t="s">
        <v>101</v>
      </c>
      <c r="D34" s="39" t="s">
        <v>102</v>
      </c>
      <c r="T34" s="21"/>
      <c r="U34" s="21"/>
      <c r="V34" s="18"/>
      <c r="W34" s="18"/>
      <c r="X34" s="21"/>
      <c r="Y34" s="18"/>
      <c r="Z34" s="21"/>
      <c r="AA34" s="18"/>
      <c r="AB34" s="21"/>
      <c r="AC34" s="21"/>
      <c r="AD34" s="21"/>
      <c r="AE34" s="7"/>
      <c r="AF34" s="7"/>
      <c r="AG34" s="7"/>
    </row>
    <row r="35" spans="2:33" x14ac:dyDescent="0.2">
      <c r="B35" s="40"/>
      <c r="C35" s="39"/>
      <c r="D35" s="38"/>
      <c r="T35" s="21"/>
      <c r="U35" s="22"/>
      <c r="V35" s="23"/>
      <c r="W35" s="23"/>
      <c r="X35" s="21"/>
      <c r="Y35" s="23"/>
      <c r="Z35" s="21"/>
      <c r="AA35" s="23"/>
      <c r="AB35" s="21"/>
      <c r="AC35" s="21"/>
      <c r="AD35" s="21"/>
      <c r="AE35" s="7"/>
      <c r="AF35" s="7"/>
      <c r="AG35" s="7"/>
    </row>
    <row r="36" spans="2:33" ht="60" customHeight="1" x14ac:dyDescent="0.2">
      <c r="B36" s="37" t="s">
        <v>103</v>
      </c>
      <c r="C36" s="38" t="s">
        <v>104</v>
      </c>
      <c r="D36" s="228" t="s">
        <v>105</v>
      </c>
      <c r="T36" s="22"/>
      <c r="U36" s="22"/>
      <c r="V36" s="23"/>
      <c r="W36" s="23"/>
      <c r="X36" s="23"/>
      <c r="Y36" s="23"/>
      <c r="Z36" s="23"/>
      <c r="AA36" s="23"/>
      <c r="AB36" s="23"/>
      <c r="AC36" s="23"/>
      <c r="AD36" s="23"/>
      <c r="AE36" s="7"/>
      <c r="AF36" s="7"/>
      <c r="AG36" s="7"/>
    </row>
    <row r="37" spans="2:33" x14ac:dyDescent="0.2">
      <c r="B37" s="40"/>
      <c r="C37" s="39"/>
      <c r="D37" s="170"/>
      <c r="T37" s="22"/>
      <c r="U37" s="22"/>
      <c r="V37" s="23"/>
      <c r="W37" s="23"/>
      <c r="X37" s="23"/>
      <c r="Y37" s="23"/>
      <c r="Z37" s="23"/>
      <c r="AA37" s="23"/>
      <c r="AB37" s="23"/>
      <c r="AC37" s="23"/>
      <c r="AD37" s="23"/>
      <c r="AE37" s="7"/>
      <c r="AF37" s="7"/>
      <c r="AG37" s="7"/>
    </row>
    <row r="38" spans="2:33" x14ac:dyDescent="0.2">
      <c r="B38" s="41"/>
      <c r="C38" s="7"/>
      <c r="D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</row>
    <row r="39" spans="2:33" x14ac:dyDescent="0.2">
      <c r="B39" s="42" t="s">
        <v>106</v>
      </c>
      <c r="C39" s="43" t="s">
        <v>107</v>
      </c>
      <c r="D39" s="44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</row>
    <row r="40" spans="2:33" ht="60" customHeight="1" x14ac:dyDescent="0.2">
      <c r="B40" s="45"/>
      <c r="C40" s="229" t="s">
        <v>108</v>
      </c>
      <c r="D40" s="172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</row>
    <row r="41" spans="2:33" x14ac:dyDescent="0.2">
      <c r="B41" s="7"/>
      <c r="C41" s="49" t="s">
        <v>109</v>
      </c>
      <c r="D41" s="14" t="s">
        <v>110</v>
      </c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</row>
    <row r="42" spans="2:33" ht="32" customHeight="1" x14ac:dyDescent="0.2">
      <c r="B42" s="29"/>
      <c r="C42" s="46" t="s">
        <v>111</v>
      </c>
      <c r="D42" s="47" t="s">
        <v>112</v>
      </c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</row>
    <row r="43" spans="2:33" x14ac:dyDescent="0.2"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</row>
    <row r="44" spans="2:33" x14ac:dyDescent="0.2"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</row>
    <row r="45" spans="2:33" x14ac:dyDescent="0.2"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</row>
    <row r="46" spans="2:33" x14ac:dyDescent="0.2"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</row>
    <row r="47" spans="2:33" x14ac:dyDescent="0.2"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</row>
    <row r="48" spans="2:33" x14ac:dyDescent="0.2"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</row>
    <row r="49" spans="22:31" x14ac:dyDescent="0.2">
      <c r="V49" s="7"/>
      <c r="W49" s="7"/>
      <c r="X49" s="7"/>
      <c r="Y49" s="7"/>
      <c r="Z49" s="7"/>
      <c r="AA49" s="7"/>
      <c r="AB49" s="7"/>
      <c r="AC49" s="7"/>
      <c r="AD49" s="7"/>
      <c r="AE49" s="7"/>
    </row>
    <row r="50" spans="22:31" x14ac:dyDescent="0.2">
      <c r="V50" s="7"/>
      <c r="W50" s="7"/>
      <c r="X50" s="7"/>
      <c r="Y50" s="7"/>
      <c r="Z50" s="7"/>
      <c r="AA50" s="7"/>
      <c r="AB50" s="7"/>
      <c r="AC50" s="7"/>
      <c r="AD50" s="7"/>
      <c r="AE50" s="7"/>
    </row>
    <row r="51" spans="22:31" x14ac:dyDescent="0.2">
      <c r="V51" s="7"/>
      <c r="W51" s="7"/>
      <c r="X51" s="7"/>
      <c r="Y51" s="7"/>
      <c r="Z51" s="7"/>
      <c r="AA51" s="7"/>
      <c r="AB51" s="7"/>
      <c r="AC51" s="7"/>
      <c r="AD51" s="7"/>
      <c r="AE51" s="7"/>
    </row>
  </sheetData>
  <mergeCells count="39">
    <mergeCell ref="C40:D40"/>
    <mergeCell ref="Q6:Q7"/>
    <mergeCell ref="H5:H7"/>
    <mergeCell ref="J5:M5"/>
    <mergeCell ref="Y6:Y7"/>
    <mergeCell ref="B23:R23"/>
    <mergeCell ref="B17:R17"/>
    <mergeCell ref="C5:C7"/>
    <mergeCell ref="L6:L7"/>
    <mergeCell ref="E5:E7"/>
    <mergeCell ref="T6:T7"/>
    <mergeCell ref="F5:F7"/>
    <mergeCell ref="U6:W6"/>
    <mergeCell ref="N5:N7"/>
    <mergeCell ref="S5:AC5"/>
    <mergeCell ref="B24:R24"/>
    <mergeCell ref="D36:D37"/>
    <mergeCell ref="B5:B7"/>
    <mergeCell ref="X6:X7"/>
    <mergeCell ref="B18:R18"/>
    <mergeCell ref="A1:AF1"/>
    <mergeCell ref="M6:M7"/>
    <mergeCell ref="AD5:AD7"/>
    <mergeCell ref="AC6:AC7"/>
    <mergeCell ref="A3:AF3"/>
    <mergeCell ref="A2:AF2"/>
    <mergeCell ref="Z6:Z7"/>
    <mergeCell ref="AB6:AB7"/>
    <mergeCell ref="K6:K7"/>
    <mergeCell ref="O6:O7"/>
    <mergeCell ref="AE5:AF7"/>
    <mergeCell ref="I5:I7"/>
    <mergeCell ref="O5:Q5"/>
    <mergeCell ref="D5:D7"/>
    <mergeCell ref="AA6:AA7"/>
    <mergeCell ref="A5:A7"/>
    <mergeCell ref="G5:G7"/>
    <mergeCell ref="P6:P7"/>
    <mergeCell ref="J6:J7"/>
  </mergeCells>
  <pageMargins left="0.25" right="0.25" top="0.75" bottom="0.75" header="0.3" footer="0.3"/>
  <pageSetup paperSize="14" scale="4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3</vt:i4>
      </vt:variant>
    </vt:vector>
  </HeadingPairs>
  <TitlesOfParts>
    <vt:vector size="15" baseType="lpstr">
      <vt:lpstr>Pejabat</vt:lpstr>
      <vt:lpstr>Umum</vt:lpstr>
      <vt:lpstr>Kesra</vt:lpstr>
      <vt:lpstr>Organisasi</vt:lpstr>
      <vt:lpstr>Perekonomian</vt:lpstr>
      <vt:lpstr>Prokom</vt:lpstr>
      <vt:lpstr>PBJ</vt:lpstr>
      <vt:lpstr>Adpem</vt:lpstr>
      <vt:lpstr>Hukum</vt:lpstr>
      <vt:lpstr>Pemerintahan</vt:lpstr>
      <vt:lpstr>CPNS</vt:lpstr>
      <vt:lpstr>PLT</vt:lpstr>
      <vt:lpstr>PBJ!Print_Area</vt:lpstr>
      <vt:lpstr>PLT!Print_Area</vt:lpstr>
      <vt:lpstr>Prokom!Print_Area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asrani.27@gmail.com</cp:lastModifiedBy>
  <cp:lastPrinted>2023-03-16T08:00:43Z</cp:lastPrinted>
  <dcterms:created xsi:type="dcterms:W3CDTF">2023-03-02T04:49:43Z</dcterms:created>
  <dcterms:modified xsi:type="dcterms:W3CDTF">2026-02-24T04:28:26Z</dcterms:modified>
</cp:coreProperties>
</file>