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8FFC2C10-FD0A-3B45-A2CB-9E85385596BD}" xr6:coauthVersionLast="47" xr6:coauthVersionMax="47" xr10:uidLastSave="{00000000-0000-0000-0000-000000000000}"/>
  <bookViews>
    <workbookView xWindow="0" yWindow="600" windowWidth="28800" windowHeight="16080" activeTab="2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3" l="1"/>
  <c r="Z9" i="3"/>
  <c r="Z10" i="3"/>
  <c r="Z11" i="3"/>
  <c r="Z12" i="3"/>
  <c r="Z13" i="3"/>
  <c r="Z14" i="3"/>
  <c r="Z15" i="3"/>
  <c r="Z8" i="3"/>
  <c r="X9" i="3"/>
  <c r="X10" i="3"/>
  <c r="X11" i="3"/>
  <c r="X12" i="3"/>
  <c r="X13" i="3"/>
  <c r="X14" i="3"/>
  <c r="X15" i="3"/>
  <c r="X8" i="3"/>
  <c r="T8" i="3"/>
  <c r="T9" i="3"/>
  <c r="T10" i="3"/>
  <c r="T11" i="3"/>
  <c r="T12" i="3"/>
  <c r="S9" i="3"/>
  <c r="S10" i="3"/>
  <c r="S11" i="3"/>
  <c r="S12" i="3"/>
  <c r="S13" i="3"/>
  <c r="S14" i="3"/>
  <c r="S15" i="3"/>
  <c r="S8" i="3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T8" i="1"/>
  <c r="AC8" i="1" s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AH16" i="3"/>
  <c r="AG16" i="3"/>
  <c r="AD9" i="3"/>
  <c r="AD10" i="3"/>
  <c r="AD11" i="3"/>
  <c r="AD12" i="3"/>
  <c r="AD13" i="3"/>
  <c r="AD14" i="3"/>
  <c r="AD15" i="3"/>
  <c r="AD8" i="3"/>
  <c r="AD16" i="3" s="1"/>
  <c r="AI9" i="3"/>
  <c r="AI16" i="3" s="1"/>
  <c r="AI10" i="3"/>
  <c r="AE10" i="3" s="1"/>
  <c r="AI11" i="3"/>
  <c r="AE11" i="3" s="1"/>
  <c r="AI12" i="3"/>
  <c r="AE12" i="3" s="1"/>
  <c r="AI13" i="3"/>
  <c r="AE13" i="3" s="1"/>
  <c r="AI14" i="3"/>
  <c r="AE14" i="3" s="1"/>
  <c r="AI15" i="3"/>
  <c r="AE15" i="3" s="1"/>
  <c r="AI8" i="3"/>
  <c r="AE8" i="3" s="1"/>
  <c r="W8" i="3"/>
  <c r="AE9" i="3" l="1"/>
  <c r="AE16" i="3" s="1"/>
  <c r="AE9" i="2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T97" i="1"/>
  <c r="N8" i="1"/>
  <c r="AA108" i="1"/>
  <c r="AB108" i="1" s="1"/>
  <c r="Y108" i="1"/>
  <c r="Z108" i="1" s="1"/>
  <c r="V108" i="1"/>
  <c r="U108" i="1"/>
  <c r="X108" i="1" s="1"/>
  <c r="N108" i="1"/>
  <c r="AA107" i="1"/>
  <c r="AB107" i="1" s="1"/>
  <c r="Z107" i="1"/>
  <c r="Y107" i="1"/>
  <c r="V107" i="1"/>
  <c r="U107" i="1"/>
  <c r="X107" i="1" s="1"/>
  <c r="N107" i="1"/>
  <c r="AA106" i="1"/>
  <c r="AB106" i="1" s="1"/>
  <c r="Y106" i="1"/>
  <c r="Z106" i="1" s="1"/>
  <c r="V106" i="1"/>
  <c r="U106" i="1"/>
  <c r="X106" i="1" s="1"/>
  <c r="N106" i="1"/>
  <c r="AA105" i="1"/>
  <c r="AB105" i="1" s="1"/>
  <c r="Z105" i="1"/>
  <c r="Y105" i="1"/>
  <c r="V105" i="1"/>
  <c r="U105" i="1"/>
  <c r="X105" i="1" s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Z101" i="1"/>
  <c r="Y101" i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X99" i="1" s="1"/>
  <c r="N99" i="1"/>
  <c r="AA98" i="1"/>
  <c r="AB98" i="1" s="1"/>
  <c r="Y98" i="1"/>
  <c r="Z98" i="1" s="1"/>
  <c r="V98" i="1"/>
  <c r="U98" i="1"/>
  <c r="X98" i="1" s="1"/>
  <c r="N98" i="1"/>
  <c r="AA97" i="1"/>
  <c r="AB97" i="1" s="1"/>
  <c r="Z97" i="1"/>
  <c r="Y97" i="1"/>
  <c r="V97" i="1"/>
  <c r="U97" i="1"/>
  <c r="X97" i="1" s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Z94" i="1"/>
  <c r="Y94" i="1"/>
  <c r="V94" i="1"/>
  <c r="U94" i="1"/>
  <c r="N94" i="1"/>
  <c r="AA93" i="1"/>
  <c r="AB93" i="1" s="1"/>
  <c r="Z93" i="1"/>
  <c r="Y93" i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X91" i="1" s="1"/>
  <c r="N91" i="1"/>
  <c r="AA90" i="1"/>
  <c r="AB90" i="1" s="1"/>
  <c r="Z90" i="1"/>
  <c r="Y90" i="1"/>
  <c r="V90" i="1"/>
  <c r="U90" i="1"/>
  <c r="X90" i="1" s="1"/>
  <c r="N90" i="1"/>
  <c r="AA89" i="1"/>
  <c r="AB89" i="1" s="1"/>
  <c r="Z89" i="1"/>
  <c r="Y89" i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Z86" i="1"/>
  <c r="Y86" i="1"/>
  <c r="V86" i="1"/>
  <c r="U86" i="1"/>
  <c r="N86" i="1"/>
  <c r="AA85" i="1"/>
  <c r="AB85" i="1" s="1"/>
  <c r="Z85" i="1"/>
  <c r="Y85" i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X83" i="1" s="1"/>
  <c r="U83" i="1"/>
  <c r="N83" i="1"/>
  <c r="AA82" i="1"/>
  <c r="AB82" i="1" s="1"/>
  <c r="Y82" i="1"/>
  <c r="Z82" i="1" s="1"/>
  <c r="V82" i="1"/>
  <c r="U82" i="1"/>
  <c r="X82" i="1" s="1"/>
  <c r="N82" i="1"/>
  <c r="AA81" i="1"/>
  <c r="AB81" i="1" s="1"/>
  <c r="Y81" i="1"/>
  <c r="Z81" i="1" s="1"/>
  <c r="V81" i="1"/>
  <c r="U81" i="1"/>
  <c r="X81" i="1" s="1"/>
  <c r="T81" i="1"/>
  <c r="N81" i="1"/>
  <c r="AA80" i="1"/>
  <c r="AB80" i="1" s="1"/>
  <c r="Z80" i="1"/>
  <c r="Y80" i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Z76" i="1"/>
  <c r="Y76" i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X74" i="1" s="1"/>
  <c r="N74" i="1"/>
  <c r="AA73" i="1"/>
  <c r="AB73" i="1" s="1"/>
  <c r="Y73" i="1"/>
  <c r="Z73" i="1" s="1"/>
  <c r="V73" i="1"/>
  <c r="U73" i="1"/>
  <c r="X73" i="1" s="1"/>
  <c r="N73" i="1"/>
  <c r="AA72" i="1"/>
  <c r="AB72" i="1" s="1"/>
  <c r="Z72" i="1"/>
  <c r="Y72" i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N69" i="1"/>
  <c r="AA68" i="1"/>
  <c r="AB68" i="1" s="1"/>
  <c r="Z68" i="1"/>
  <c r="Y68" i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X66" i="1" s="1"/>
  <c r="N66" i="1"/>
  <c r="AA65" i="1"/>
  <c r="AB65" i="1" s="1"/>
  <c r="Y65" i="1"/>
  <c r="Z65" i="1" s="1"/>
  <c r="V65" i="1"/>
  <c r="U65" i="1"/>
  <c r="X65" i="1" s="1"/>
  <c r="N65" i="1"/>
  <c r="AA64" i="1"/>
  <c r="AB64" i="1" s="1"/>
  <c r="Z64" i="1"/>
  <c r="Y64" i="1"/>
  <c r="V64" i="1"/>
  <c r="U64" i="1"/>
  <c r="N64" i="1"/>
  <c r="X86" i="1" l="1"/>
  <c r="X70" i="1"/>
  <c r="X76" i="1"/>
  <c r="X89" i="1"/>
  <c r="X67" i="1"/>
  <c r="X75" i="1"/>
  <c r="X96" i="1"/>
  <c r="X80" i="1"/>
  <c r="X87" i="1"/>
  <c r="X95" i="1"/>
  <c r="X84" i="1"/>
  <c r="X85" i="1"/>
  <c r="X92" i="1"/>
  <c r="X93" i="1"/>
  <c r="X94" i="1"/>
  <c r="X100" i="1"/>
  <c r="X101" i="1"/>
  <c r="X102" i="1"/>
  <c r="X88" i="1"/>
  <c r="X104" i="1"/>
  <c r="X103" i="1"/>
  <c r="X64" i="1"/>
  <c r="X69" i="1"/>
  <c r="X71" i="1"/>
  <c r="X72" i="1"/>
  <c r="X77" i="1"/>
  <c r="X78" i="1"/>
  <c r="X79" i="1"/>
  <c r="T87" i="1"/>
  <c r="AC87" i="1" s="1"/>
  <c r="AF87" i="1" s="1"/>
  <c r="AJ87" i="1" s="1"/>
  <c r="T71" i="1"/>
  <c r="T95" i="1"/>
  <c r="AC95" i="1" s="1"/>
  <c r="AF95" i="1" s="1"/>
  <c r="AJ95" i="1" s="1"/>
  <c r="T103" i="1"/>
  <c r="T73" i="1"/>
  <c r="AC73" i="1" s="1"/>
  <c r="AF73" i="1" s="1"/>
  <c r="AJ73" i="1" s="1"/>
  <c r="T65" i="1"/>
  <c r="AC65" i="1" s="1"/>
  <c r="AF65" i="1" s="1"/>
  <c r="AJ65" i="1" s="1"/>
  <c r="T105" i="1"/>
  <c r="AC105" i="1" s="1"/>
  <c r="AF105" i="1" s="1"/>
  <c r="AJ105" i="1" s="1"/>
  <c r="T79" i="1"/>
  <c r="AC79" i="1" s="1"/>
  <c r="AF79" i="1" s="1"/>
  <c r="AJ79" i="1" s="1"/>
  <c r="T89" i="1"/>
  <c r="AC89" i="1" s="1"/>
  <c r="AF89" i="1" s="1"/>
  <c r="AJ89" i="1" s="1"/>
  <c r="T69" i="1"/>
  <c r="T64" i="1"/>
  <c r="T104" i="1"/>
  <c r="T75" i="1"/>
  <c r="T91" i="1"/>
  <c r="AC91" i="1" s="1"/>
  <c r="AF91" i="1" s="1"/>
  <c r="AJ91" i="1" s="1"/>
  <c r="T99" i="1"/>
  <c r="AC99" i="1" s="1"/>
  <c r="AF99" i="1" s="1"/>
  <c r="AJ99" i="1" s="1"/>
  <c r="T107" i="1"/>
  <c r="AC107" i="1" s="1"/>
  <c r="AF107" i="1" s="1"/>
  <c r="AJ107" i="1" s="1"/>
  <c r="T67" i="1"/>
  <c r="AC67" i="1" s="1"/>
  <c r="AF67" i="1" s="1"/>
  <c r="AJ67" i="1" s="1"/>
  <c r="T70" i="1"/>
  <c r="AC70" i="1" s="1"/>
  <c r="AF70" i="1" s="1"/>
  <c r="AJ70" i="1" s="1"/>
  <c r="T78" i="1"/>
  <c r="T86" i="1"/>
  <c r="AC86" i="1" s="1"/>
  <c r="AF86" i="1" s="1"/>
  <c r="AJ86" i="1" s="1"/>
  <c r="T94" i="1"/>
  <c r="T102" i="1"/>
  <c r="T106" i="1"/>
  <c r="AC106" i="1" s="1"/>
  <c r="AF106" i="1" s="1"/>
  <c r="AJ106" i="1" s="1"/>
  <c r="T77" i="1"/>
  <c r="T85" i="1"/>
  <c r="AC85" i="1" s="1"/>
  <c r="AF85" i="1" s="1"/>
  <c r="AJ85" i="1" s="1"/>
  <c r="T93" i="1"/>
  <c r="T80" i="1"/>
  <c r="T88" i="1"/>
  <c r="T96" i="1"/>
  <c r="T83" i="1"/>
  <c r="AC83" i="1" s="1"/>
  <c r="AF83" i="1" s="1"/>
  <c r="AJ83" i="1" s="1"/>
  <c r="AC81" i="1"/>
  <c r="AF81" i="1" s="1"/>
  <c r="AJ81" i="1" s="1"/>
  <c r="AC97" i="1"/>
  <c r="AF97" i="1" s="1"/>
  <c r="AJ97" i="1" s="1"/>
  <c r="T66" i="1"/>
  <c r="AC66" i="1" s="1"/>
  <c r="AF66" i="1" s="1"/>
  <c r="AJ66" i="1" s="1"/>
  <c r="T74" i="1"/>
  <c r="AC74" i="1" s="1"/>
  <c r="AF74" i="1" s="1"/>
  <c r="AJ74" i="1" s="1"/>
  <c r="T82" i="1"/>
  <c r="AC82" i="1" s="1"/>
  <c r="AF82" i="1" s="1"/>
  <c r="AJ82" i="1" s="1"/>
  <c r="T90" i="1"/>
  <c r="AC90" i="1" s="1"/>
  <c r="AF90" i="1" s="1"/>
  <c r="AJ90" i="1" s="1"/>
  <c r="T98" i="1"/>
  <c r="AC98" i="1" s="1"/>
  <c r="AF98" i="1" s="1"/>
  <c r="AJ98" i="1" s="1"/>
  <c r="T101" i="1"/>
  <c r="T72" i="1"/>
  <c r="T68" i="1"/>
  <c r="AC68" i="1" s="1"/>
  <c r="AF68" i="1" s="1"/>
  <c r="AJ68" i="1" s="1"/>
  <c r="T76" i="1"/>
  <c r="AC76" i="1" s="1"/>
  <c r="AF76" i="1" s="1"/>
  <c r="AJ76" i="1" s="1"/>
  <c r="T84" i="1"/>
  <c r="AC84" i="1" s="1"/>
  <c r="AF84" i="1" s="1"/>
  <c r="AJ84" i="1" s="1"/>
  <c r="T92" i="1"/>
  <c r="T100" i="1"/>
  <c r="T108" i="1"/>
  <c r="AC108" i="1" s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AB16" i="3"/>
  <c r="Z16" i="3"/>
  <c r="N16" i="3"/>
  <c r="AA9" i="3"/>
  <c r="AB9" i="3" s="1"/>
  <c r="AA8" i="3"/>
  <c r="AB8" i="3" s="1"/>
  <c r="Y12" i="3" l="1"/>
  <c r="N12" i="3"/>
  <c r="Y13" i="3"/>
  <c r="N10" i="3"/>
  <c r="AA12" i="3"/>
  <c r="AB12" i="3" s="1"/>
  <c r="AA13" i="3"/>
  <c r="AB13" i="3" s="1"/>
  <c r="Y11" i="3"/>
  <c r="U12" i="3"/>
  <c r="Y10" i="3"/>
  <c r="AA11" i="3"/>
  <c r="AB11" i="3" s="1"/>
  <c r="V12" i="3"/>
  <c r="U13" i="3"/>
  <c r="V13" i="3"/>
  <c r="AA10" i="3"/>
  <c r="AB10" i="3" s="1"/>
  <c r="N11" i="3"/>
  <c r="U10" i="3"/>
  <c r="V10" i="3"/>
  <c r="U11" i="3"/>
  <c r="V11" i="3"/>
  <c r="V8" i="3"/>
  <c r="U15" i="3"/>
  <c r="AA15" i="3"/>
  <c r="AB15" i="3" s="1"/>
  <c r="V14" i="3"/>
  <c r="Y14" i="3"/>
  <c r="AA14" i="3"/>
  <c r="AB14" i="3" s="1"/>
  <c r="V9" i="3"/>
  <c r="U14" i="3"/>
  <c r="U9" i="3"/>
  <c r="N14" i="3"/>
  <c r="N15" i="3"/>
  <c r="U8" i="3"/>
  <c r="Y8" i="3"/>
  <c r="N9" i="3"/>
  <c r="V15" i="3"/>
  <c r="N8" i="3"/>
  <c r="Y9" i="3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T140" i="1"/>
  <c r="N140" i="1"/>
  <c r="AA139" i="1"/>
  <c r="AB139" i="1" s="1"/>
  <c r="Y139" i="1"/>
  <c r="Z139" i="1" s="1"/>
  <c r="V139" i="1"/>
  <c r="U139" i="1"/>
  <c r="T139" i="1"/>
  <c r="N139" i="1"/>
  <c r="AA138" i="1"/>
  <c r="AB138" i="1" s="1"/>
  <c r="Y138" i="1"/>
  <c r="Z138" i="1" s="1"/>
  <c r="V138" i="1"/>
  <c r="U138" i="1"/>
  <c r="X138" i="1" s="1"/>
  <c r="T138" i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T136" i="1"/>
  <c r="N136" i="1"/>
  <c r="AA135" i="1"/>
  <c r="AB135" i="1" s="1"/>
  <c r="Y135" i="1"/>
  <c r="Z135" i="1" s="1"/>
  <c r="V135" i="1"/>
  <c r="U135" i="1"/>
  <c r="T135" i="1"/>
  <c r="N135" i="1"/>
  <c r="AA134" i="1"/>
  <c r="AB134" i="1" s="1"/>
  <c r="Y134" i="1"/>
  <c r="Z134" i="1" s="1"/>
  <c r="V134" i="1"/>
  <c r="U134" i="1"/>
  <c r="X134" i="1" s="1"/>
  <c r="T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T144" i="1"/>
  <c r="N144" i="1"/>
  <c r="AA143" i="1"/>
  <c r="AB143" i="1" s="1"/>
  <c r="Y143" i="1"/>
  <c r="Z143" i="1" s="1"/>
  <c r="V143" i="1"/>
  <c r="U143" i="1"/>
  <c r="T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U9" i="2"/>
  <c r="X9" i="2" s="1"/>
  <c r="U10" i="2"/>
  <c r="X10" i="2" s="1"/>
  <c r="U11" i="2"/>
  <c r="U12" i="2"/>
  <c r="U13" i="2"/>
  <c r="U14" i="2"/>
  <c r="U15" i="2"/>
  <c r="X15" i="2" s="1"/>
  <c r="U16" i="2"/>
  <c r="X16" i="2" s="1"/>
  <c r="U17" i="2"/>
  <c r="X17" i="2" s="1"/>
  <c r="U18" i="2"/>
  <c r="X18" i="2" s="1"/>
  <c r="U19" i="2"/>
  <c r="U20" i="2"/>
  <c r="U21" i="2"/>
  <c r="U22" i="2"/>
  <c r="X22" i="2" s="1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Y19" i="2"/>
  <c r="Z19" i="2" s="1"/>
  <c r="X19" i="2" l="1"/>
  <c r="X11" i="2"/>
  <c r="X14" i="2"/>
  <c r="X21" i="2"/>
  <c r="X13" i="2"/>
  <c r="X20" i="2"/>
  <c r="X12" i="2"/>
  <c r="X135" i="1"/>
  <c r="X142" i="1"/>
  <c r="X148" i="1"/>
  <c r="X139" i="1"/>
  <c r="X136" i="1"/>
  <c r="AC136" i="1" s="1"/>
  <c r="AF136" i="1" s="1"/>
  <c r="AJ136" i="1" s="1"/>
  <c r="X140" i="1"/>
  <c r="AC140" i="1" s="1"/>
  <c r="AF140" i="1" s="1"/>
  <c r="AJ140" i="1" s="1"/>
  <c r="AC134" i="1"/>
  <c r="AF134" i="1" s="1"/>
  <c r="AJ134" i="1" s="1"/>
  <c r="AC138" i="1"/>
  <c r="AF138" i="1" s="1"/>
  <c r="AJ138" i="1" s="1"/>
  <c r="T137" i="1"/>
  <c r="AC137" i="1" s="1"/>
  <c r="AF137" i="1" s="1"/>
  <c r="AJ137" i="1" s="1"/>
  <c r="T141" i="1"/>
  <c r="AC141" i="1" s="1"/>
  <c r="AF141" i="1" s="1"/>
  <c r="AJ141" i="1" s="1"/>
  <c r="T13" i="3"/>
  <c r="T15" i="3"/>
  <c r="AC15" i="3" s="1"/>
  <c r="AF15" i="3" s="1"/>
  <c r="AJ15" i="3" s="1"/>
  <c r="T14" i="3"/>
  <c r="AC9" i="3"/>
  <c r="AF9" i="3" s="1"/>
  <c r="AF8" i="3"/>
  <c r="AJ8" i="3" s="1"/>
  <c r="AC139" i="1"/>
  <c r="AF139" i="1" s="1"/>
  <c r="AJ139" i="1" s="1"/>
  <c r="AC135" i="1"/>
  <c r="AF135" i="1" s="1"/>
  <c r="AJ135" i="1" s="1"/>
  <c r="X146" i="1"/>
  <c r="T146" i="1"/>
  <c r="AC146" i="1" s="1"/>
  <c r="AF146" i="1" s="1"/>
  <c r="AJ146" i="1" s="1"/>
  <c r="T142" i="1"/>
  <c r="AC142" i="1" s="1"/>
  <c r="AF142" i="1" s="1"/>
  <c r="AJ142" i="1" s="1"/>
  <c r="X147" i="1"/>
  <c r="X144" i="1"/>
  <c r="AC144" i="1" s="1"/>
  <c r="AF144" i="1" s="1"/>
  <c r="AJ144" i="1" s="1"/>
  <c r="T147" i="1"/>
  <c r="X143" i="1"/>
  <c r="AC143" i="1" s="1"/>
  <c r="AF143" i="1" s="1"/>
  <c r="AJ143" i="1" s="1"/>
  <c r="X145" i="1"/>
  <c r="T148" i="1"/>
  <c r="AC148" i="1" s="1"/>
  <c r="AF148" i="1" s="1"/>
  <c r="AJ148" i="1" s="1"/>
  <c r="T145" i="1"/>
  <c r="T149" i="1"/>
  <c r="AC149" i="1" s="1"/>
  <c r="AF149" i="1" s="1"/>
  <c r="AJ149" i="1" s="1"/>
  <c r="T152" i="1"/>
  <c r="AC152" i="1" s="1"/>
  <c r="AF152" i="1" s="1"/>
  <c r="AJ152" i="1" s="1"/>
  <c r="AC9" i="2"/>
  <c r="AF9" i="2" s="1"/>
  <c r="AJ9" i="2" s="1"/>
  <c r="AC18" i="2"/>
  <c r="AF18" i="2" s="1"/>
  <c r="AJ18" i="2" s="1"/>
  <c r="AC10" i="2"/>
  <c r="AF10" i="2" s="1"/>
  <c r="AJ10" i="2" s="1"/>
  <c r="AC17" i="2"/>
  <c r="AF17" i="2" s="1"/>
  <c r="AJ17" i="2" s="1"/>
  <c r="AC16" i="2"/>
  <c r="AF16" i="2" s="1"/>
  <c r="AJ16" i="2" s="1"/>
  <c r="T8" i="2"/>
  <c r="Y8" i="2"/>
  <c r="Z8" i="2" s="1"/>
  <c r="AA8" i="2"/>
  <c r="AB8" i="2" s="1"/>
  <c r="AA19" i="2"/>
  <c r="AB19" i="2" s="1"/>
  <c r="AC19" i="2" s="1"/>
  <c r="AF19" i="2" s="1"/>
  <c r="AJ19" i="2" s="1"/>
  <c r="N8" i="2"/>
  <c r="U8" i="2"/>
  <c r="V8" i="2"/>
  <c r="X8" i="2" l="1"/>
  <c r="AJ9" i="3"/>
  <c r="AC145" i="1"/>
  <c r="AF145" i="1" s="1"/>
  <c r="AJ145" i="1" s="1"/>
  <c r="AC12" i="3"/>
  <c r="AF12" i="3" s="1"/>
  <c r="AJ12" i="3" s="1"/>
  <c r="X16" i="3"/>
  <c r="T16" i="3"/>
  <c r="AC14" i="3"/>
  <c r="AF14" i="3" s="1"/>
  <c r="AJ14" i="3" s="1"/>
  <c r="AC13" i="3"/>
  <c r="AF13" i="3" s="1"/>
  <c r="AJ13" i="3" s="1"/>
  <c r="AC10" i="3"/>
  <c r="AF10" i="3" s="1"/>
  <c r="AJ10" i="3" s="1"/>
  <c r="AC11" i="3"/>
  <c r="AF11" i="3" s="1"/>
  <c r="AJ11" i="3" s="1"/>
  <c r="AC11" i="2"/>
  <c r="AF11" i="2" s="1"/>
  <c r="AJ11" i="2" s="1"/>
  <c r="AC22" i="2"/>
  <c r="AF22" i="2" s="1"/>
  <c r="AJ22" i="2" s="1"/>
  <c r="AC147" i="1"/>
  <c r="AF147" i="1" s="1"/>
  <c r="AJ147" i="1" s="1"/>
  <c r="AC12" i="2"/>
  <c r="AF12" i="2" s="1"/>
  <c r="AJ12" i="2" s="1"/>
  <c r="AC15" i="2"/>
  <c r="AF15" i="2" s="1"/>
  <c r="AJ15" i="2" s="1"/>
  <c r="AC13" i="2"/>
  <c r="AF13" i="2" s="1"/>
  <c r="AJ13" i="2" s="1"/>
  <c r="AC20" i="2"/>
  <c r="AF20" i="2" s="1"/>
  <c r="AJ20" i="2" s="1"/>
  <c r="AC21" i="2"/>
  <c r="AF21" i="2" s="1"/>
  <c r="AJ21" i="2" s="1"/>
  <c r="AC14" i="2"/>
  <c r="AF14" i="2" s="1"/>
  <c r="AJ14" i="2" s="1"/>
  <c r="AF16" i="3" l="1"/>
  <c r="AJ16" i="3"/>
  <c r="AC16" i="3"/>
  <c r="T23" i="2"/>
  <c r="AC8" i="2"/>
  <c r="AF8" i="2" s="1"/>
  <c r="X23" i="2"/>
  <c r="AF23" i="2" l="1"/>
  <c r="AJ8" i="2"/>
  <c r="AJ23" i="2" s="1"/>
  <c r="AC23" i="2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8" i="1" s="1"/>
  <c r="T43" i="1" l="1"/>
  <c r="X9" i="1"/>
  <c r="T120" i="1"/>
  <c r="X125" i="1"/>
  <c r="X117" i="1"/>
  <c r="X109" i="1"/>
  <c r="X56" i="1"/>
  <c r="X48" i="1"/>
  <c r="X40" i="1"/>
  <c r="X32" i="1"/>
  <c r="X24" i="1"/>
  <c r="X16" i="1"/>
  <c r="X155" i="1"/>
  <c r="T128" i="1"/>
  <c r="T59" i="1"/>
  <c r="T27" i="1"/>
  <c r="T119" i="1"/>
  <c r="T50" i="1"/>
  <c r="T18" i="1"/>
  <c r="X120" i="1"/>
  <c r="AC120" i="1" s="1"/>
  <c r="AF120" i="1" s="1"/>
  <c r="AJ120" i="1" s="1"/>
  <c r="X51" i="1"/>
  <c r="X27" i="1"/>
  <c r="X123" i="1"/>
  <c r="X54" i="1"/>
  <c r="X30" i="1"/>
  <c r="T112" i="1"/>
  <c r="T19" i="1"/>
  <c r="T111" i="1"/>
  <c r="T42" i="1"/>
  <c r="T26" i="1"/>
  <c r="X128" i="1"/>
  <c r="X59" i="1"/>
  <c r="X35" i="1"/>
  <c r="X131" i="1"/>
  <c r="X115" i="1"/>
  <c r="X38" i="1"/>
  <c r="X14" i="1"/>
  <c r="X11" i="1"/>
  <c r="T126" i="1"/>
  <c r="T118" i="1"/>
  <c r="T110" i="1"/>
  <c r="T57" i="1"/>
  <c r="T49" i="1"/>
  <c r="T41" i="1"/>
  <c r="T33" i="1"/>
  <c r="T25" i="1"/>
  <c r="T17" i="1"/>
  <c r="X127" i="1"/>
  <c r="X119" i="1"/>
  <c r="X111" i="1"/>
  <c r="X58" i="1"/>
  <c r="X50" i="1"/>
  <c r="X42" i="1"/>
  <c r="X34" i="1"/>
  <c r="X26" i="1"/>
  <c r="X18" i="1"/>
  <c r="T51" i="1"/>
  <c r="T35" i="1"/>
  <c r="T127" i="1"/>
  <c r="T58" i="1"/>
  <c r="T34" i="1"/>
  <c r="X112" i="1"/>
  <c r="X43" i="1"/>
  <c r="X19" i="1"/>
  <c r="AC19" i="1" s="1"/>
  <c r="AF19" i="1" s="1"/>
  <c r="AJ19" i="1" s="1"/>
  <c r="X62" i="1"/>
  <c r="X46" i="1"/>
  <c r="X22" i="1"/>
  <c r="X10" i="1"/>
  <c r="X150" i="1"/>
  <c r="X126" i="1"/>
  <c r="X118" i="1"/>
  <c r="X110" i="1"/>
  <c r="X57" i="1"/>
  <c r="X49" i="1"/>
  <c r="X41" i="1"/>
  <c r="X33" i="1"/>
  <c r="X25" i="1"/>
  <c r="X17" i="1"/>
  <c r="T9" i="1"/>
  <c r="AC9" i="1" s="1"/>
  <c r="AF9" i="1" s="1"/>
  <c r="AJ9" i="1" s="1"/>
  <c r="X151" i="1"/>
  <c r="X122" i="1"/>
  <c r="T117" i="1"/>
  <c r="T40" i="1"/>
  <c r="AC40" i="1" s="1"/>
  <c r="AF40" i="1" s="1"/>
  <c r="AJ40" i="1" s="1"/>
  <c r="X121" i="1"/>
  <c r="T109" i="1"/>
  <c r="T32" i="1"/>
  <c r="AC32" i="1" s="1"/>
  <c r="AF32" i="1" s="1"/>
  <c r="AJ32" i="1" s="1"/>
  <c r="X113" i="1"/>
  <c r="X44" i="1"/>
  <c r="X20" i="1"/>
  <c r="T124" i="1"/>
  <c r="T55" i="1"/>
  <c r="T31" i="1"/>
  <c r="T153" i="1"/>
  <c r="T123" i="1"/>
  <c r="T115" i="1"/>
  <c r="T62" i="1"/>
  <c r="T54" i="1"/>
  <c r="T46" i="1"/>
  <c r="T38" i="1"/>
  <c r="T30" i="1"/>
  <c r="T22" i="1"/>
  <c r="AC22" i="1" s="1"/>
  <c r="AF22" i="1" s="1"/>
  <c r="AJ22" i="1" s="1"/>
  <c r="T14" i="1"/>
  <c r="AC14" i="1" s="1"/>
  <c r="AF14" i="1" s="1"/>
  <c r="AJ14" i="1" s="1"/>
  <c r="T129" i="1"/>
  <c r="T121" i="1"/>
  <c r="T113" i="1"/>
  <c r="T60" i="1"/>
  <c r="T52" i="1"/>
  <c r="T44" i="1"/>
  <c r="T36" i="1"/>
  <c r="T28" i="1"/>
  <c r="T20" i="1"/>
  <c r="T12" i="1"/>
  <c r="X132" i="1"/>
  <c r="X124" i="1"/>
  <c r="AC124" i="1" s="1"/>
  <c r="AF124" i="1" s="1"/>
  <c r="AJ124" i="1" s="1"/>
  <c r="X116" i="1"/>
  <c r="X63" i="1"/>
  <c r="X55" i="1"/>
  <c r="X47" i="1"/>
  <c r="X39" i="1"/>
  <c r="X31" i="1"/>
  <c r="X23" i="1"/>
  <c r="X15" i="1"/>
  <c r="T56" i="1"/>
  <c r="T16" i="1"/>
  <c r="AC16" i="1" s="1"/>
  <c r="AF16" i="1" s="1"/>
  <c r="AJ16" i="1" s="1"/>
  <c r="X129" i="1"/>
  <c r="X52" i="1"/>
  <c r="X28" i="1"/>
  <c r="T63" i="1"/>
  <c r="T47" i="1"/>
  <c r="T23" i="1"/>
  <c r="X133" i="1"/>
  <c r="X154" i="1"/>
  <c r="T130" i="1"/>
  <c r="T122" i="1"/>
  <c r="T114" i="1"/>
  <c r="T61" i="1"/>
  <c r="T53" i="1"/>
  <c r="T45" i="1"/>
  <c r="T37" i="1"/>
  <c r="T29" i="1"/>
  <c r="T21" i="1"/>
  <c r="T13" i="1"/>
  <c r="AC43" i="1"/>
  <c r="AF43" i="1" s="1"/>
  <c r="AJ43" i="1" s="1"/>
  <c r="X130" i="1"/>
  <c r="T125" i="1"/>
  <c r="T48" i="1"/>
  <c r="T24" i="1"/>
  <c r="AC24" i="1" s="1"/>
  <c r="AF24" i="1" s="1"/>
  <c r="AJ24" i="1" s="1"/>
  <c r="X60" i="1"/>
  <c r="X36" i="1"/>
  <c r="X12" i="1"/>
  <c r="T116" i="1"/>
  <c r="T39" i="1"/>
  <c r="T15" i="1"/>
  <c r="X153" i="1"/>
  <c r="X114" i="1"/>
  <c r="X61" i="1"/>
  <c r="X53" i="1"/>
  <c r="X45" i="1"/>
  <c r="X37" i="1"/>
  <c r="X29" i="1"/>
  <c r="X21" i="1"/>
  <c r="X13" i="1"/>
  <c r="AB156" i="1"/>
  <c r="T11" i="1"/>
  <c r="T151" i="1"/>
  <c r="T10" i="1"/>
  <c r="T132" i="1"/>
  <c r="T154" i="1"/>
  <c r="T155" i="1"/>
  <c r="T131" i="1"/>
  <c r="T133" i="1"/>
  <c r="AC133" i="1" s="1"/>
  <c r="AF133" i="1" s="1"/>
  <c r="AJ133" i="1" s="1"/>
  <c r="T150" i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C10" i="1"/>
  <c r="AF10" i="1" s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<sst xmlns="http://schemas.openxmlformats.org/spreadsheetml/2006/main" count="327" uniqueCount="217">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</sst>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4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  <xf numFmtId="0" fontId="8" fillId="0" borderId="0" xfId="7" applyFont="1" applyAlignment="1">
      <alignment horizont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opLeftCell="B1" workbookViewId="0">
      <selection activeCell="A3" sqref="A3:AI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35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"/>
    </row>
    <row r="2" spans="1:38" ht="28" customHeight="1" x14ac:dyDescent="0.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2"/>
    </row>
    <row r="3" spans="1:38" ht="28" customHeight="1" x14ac:dyDescent="0.2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2"/>
    </row>
    <row r="4" spans="1:38" x14ac:dyDescent="0.2">
      <c r="D4" t="s">
        <v>165</v>
      </c>
      <c r="O4"/>
    </row>
    <row r="5" spans="1:38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11</v>
      </c>
      <c r="O5" s="148" t="s">
        <v>12</v>
      </c>
      <c r="P5" s="149"/>
      <c r="Q5" s="150"/>
      <c r="R5" s="114" t="s">
        <v>124</v>
      </c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09" t="s">
        <v>16</v>
      </c>
      <c r="AL5" s="109"/>
    </row>
    <row r="6" spans="1:38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115"/>
      <c r="S6" s="12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216</v>
      </c>
      <c r="AD6" s="118"/>
      <c r="AE6" s="118"/>
      <c r="AF6" s="121"/>
      <c r="AG6" s="111"/>
      <c r="AH6" s="111"/>
      <c r="AI6" s="111"/>
      <c r="AJ6" s="113"/>
      <c r="AK6" s="109"/>
      <c r="AL6" s="109"/>
    </row>
    <row r="7" spans="1:38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116"/>
      <c r="S7" s="12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09"/>
      <c r="AL7" s="109"/>
    </row>
    <row r="8" spans="1:38" ht="23.5" customHeight="1" x14ac:dyDescent="0.2">
      <c r="A8" s="5" t="s">
        <v>32</v>
      </c>
      <c r="B8" s="6"/>
      <c r="C8" s="66"/>
      <c r="D8" s="8"/>
      <c r="E8" s="7"/>
      <c r="F8" s="9"/>
      <c r="G8" s="9"/>
      <c r="H8" s="7"/>
      <c r="I8" s="10">
        <v>10000</v>
      </c>
      <c r="J8" s="67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8">
        <v>1</v>
      </c>
      <c r="P8" s="106">
        <v>6750</v>
      </c>
      <c r="Q8" s="106" t="s">
        <v>211</v>
      </c>
      <c r="R8" s="68"/>
      <c r="S8" s="15">
        <f>I8*J8</f>
        <v>3000</v>
      </c>
      <c r="T8" s="15">
        <f t="shared" ref="T8:T39" si="0">ROUND(SUM(S8:S8),0)</f>
        <v>3000</v>
      </c>
      <c r="U8" s="15">
        <f t="shared" ref="U8:U39" si="1">I8*K8*40%*O8</f>
        <v>800</v>
      </c>
      <c r="V8" s="15">
        <f t="shared" ref="V8:V39" si="2">IF(P8&gt;=6750,(I8*K8*40%),0)</f>
        <v>800</v>
      </c>
      <c r="W8" s="15">
        <f t="shared" ref="W8:W39" si="3">IF(P8&lt;6750,0,IF(Q8="",0,IF(OR(Q8="KURANG",Q8="SANGAT KURANG"),I8*K8*10%,I8*K8*20%)))</f>
        <v>400</v>
      </c>
      <c r="X8" s="15">
        <f>ROUND(SUM(U8:W8),0)</f>
        <v>2000</v>
      </c>
      <c r="Y8" s="15">
        <f t="shared" ref="Y8:Y39" si="4">I8*L8</f>
        <v>2000</v>
      </c>
      <c r="Z8" s="15">
        <f>ROUND(Y8,0)</f>
        <v>2000</v>
      </c>
      <c r="AA8" s="15">
        <f t="shared" ref="AA8:AA39" si="5">I8*M8</f>
        <v>2000</v>
      </c>
      <c r="AB8" s="15">
        <f>ROUND(AA8,0)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5"/>
    </row>
    <row r="9" spans="1:38" ht="23.5" customHeight="1" x14ac:dyDescent="0.2">
      <c r="A9" s="5" t="s">
        <v>33</v>
      </c>
      <c r="B9" s="64"/>
      <c r="C9" s="65"/>
      <c r="D9" s="20"/>
      <c r="E9" s="7"/>
      <c r="F9" s="21"/>
      <c r="G9" s="21"/>
      <c r="H9" s="22"/>
      <c r="I9" s="10"/>
      <c r="J9" s="67"/>
      <c r="K9" s="11"/>
      <c r="L9" s="12"/>
      <c r="M9" s="12"/>
      <c r="N9" s="13">
        <f t="shared" ref="N9:N155" si="6">ROUND(I9*(SUM(J9:M9)),0)</f>
        <v>0</v>
      </c>
      <c r="O9" s="108"/>
      <c r="P9" s="106"/>
      <c r="Q9" s="107"/>
      <c r="R9" s="68"/>
      <c r="S9" s="15">
        <f t="shared" ref="S9:S72" si="7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155" si="8">ROUND(SUM(U9:W9),0)</f>
        <v>0</v>
      </c>
      <c r="Y9" s="15">
        <f t="shared" si="4"/>
        <v>0</v>
      </c>
      <c r="Z9" s="15">
        <f t="shared" ref="Z9:Z155" si="9">ROUND(Y9,0)</f>
        <v>0</v>
      </c>
      <c r="AA9" s="15">
        <f t="shared" si="5"/>
        <v>0</v>
      </c>
      <c r="AB9" s="15">
        <f t="shared" ref="AB9:AB155" si="10">ROUND(AA9,0)</f>
        <v>0</v>
      </c>
      <c r="AC9" s="16">
        <f t="shared" ref="AC9:AC155" si="11">ROUND((T9+X9+Z9+AB9),0)</f>
        <v>0</v>
      </c>
      <c r="AD9" s="16">
        <f t="shared" ref="AD9:AD72" si="12">AG9</f>
        <v>0</v>
      </c>
      <c r="AE9" s="16">
        <f t="shared" ref="AE9:AE72" si="13">AI9</f>
        <v>0</v>
      </c>
      <c r="AF9" s="16">
        <f t="shared" ref="AF9:AF72" si="14">AC9+AD9+AE9</f>
        <v>0</v>
      </c>
      <c r="AG9" s="16"/>
      <c r="AH9" s="17"/>
      <c r="AI9" s="17">
        <f t="shared" ref="AI9:AI72" si="15">AH9*4</f>
        <v>0</v>
      </c>
      <c r="AJ9" s="15">
        <f t="shared" ref="AJ9:AJ72" si="16">AF9-AG9-AH9-AI9</f>
        <v>0</v>
      </c>
      <c r="AK9" s="18">
        <v>2</v>
      </c>
      <c r="AL9" s="25"/>
    </row>
    <row r="10" spans="1:38" ht="23.5" customHeight="1" x14ac:dyDescent="0.2">
      <c r="A10" s="5" t="s">
        <v>34</v>
      </c>
      <c r="B10" s="64"/>
      <c r="C10" s="65"/>
      <c r="D10" s="20"/>
      <c r="E10" s="26"/>
      <c r="F10" s="27"/>
      <c r="G10" s="27"/>
      <c r="H10" s="26"/>
      <c r="I10" s="10"/>
      <c r="J10" s="67"/>
      <c r="K10" s="11"/>
      <c r="L10" s="12"/>
      <c r="M10" s="12"/>
      <c r="N10" s="13">
        <f t="shared" si="6"/>
        <v>0</v>
      </c>
      <c r="O10" s="108"/>
      <c r="P10" s="106"/>
      <c r="Q10" s="106"/>
      <c r="R10" s="68"/>
      <c r="S10" s="15">
        <f t="shared" si="7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8"/>
        <v>0</v>
      </c>
      <c r="Y10" s="15">
        <f t="shared" si="4"/>
        <v>0</v>
      </c>
      <c r="Z10" s="15">
        <f t="shared" si="9"/>
        <v>0</v>
      </c>
      <c r="AA10" s="15">
        <f t="shared" si="5"/>
        <v>0</v>
      </c>
      <c r="AB10" s="15">
        <f t="shared" si="10"/>
        <v>0</v>
      </c>
      <c r="AC10" s="16">
        <f t="shared" si="11"/>
        <v>0</v>
      </c>
      <c r="AD10" s="16">
        <f t="shared" si="12"/>
        <v>0</v>
      </c>
      <c r="AE10" s="16">
        <f t="shared" si="13"/>
        <v>0</v>
      </c>
      <c r="AF10" s="16">
        <f t="shared" si="14"/>
        <v>0</v>
      </c>
      <c r="AG10" s="16"/>
      <c r="AH10" s="17"/>
      <c r="AI10" s="17">
        <f t="shared" si="15"/>
        <v>0</v>
      </c>
      <c r="AJ10" s="15">
        <f t="shared" si="16"/>
        <v>0</v>
      </c>
      <c r="AK10" s="18">
        <v>3</v>
      </c>
      <c r="AL10" s="25"/>
    </row>
    <row r="11" spans="1:38" ht="23.5" customHeight="1" x14ac:dyDescent="0.2">
      <c r="A11" s="5" t="s">
        <v>35</v>
      </c>
      <c r="B11" s="30"/>
      <c r="C11" s="65"/>
      <c r="D11" s="20"/>
      <c r="E11" s="26"/>
      <c r="F11" s="27"/>
      <c r="G11" s="27"/>
      <c r="H11" s="26"/>
      <c r="I11" s="10"/>
      <c r="J11" s="67"/>
      <c r="K11" s="11"/>
      <c r="L11" s="12"/>
      <c r="M11" s="12"/>
      <c r="N11" s="13">
        <f t="shared" si="6"/>
        <v>0</v>
      </c>
      <c r="O11" s="108"/>
      <c r="P11" s="106"/>
      <c r="Q11" s="106"/>
      <c r="R11" s="68"/>
      <c r="S11" s="15">
        <f t="shared" si="7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8"/>
        <v>0</v>
      </c>
      <c r="Y11" s="15">
        <f t="shared" si="4"/>
        <v>0</v>
      </c>
      <c r="Z11" s="15">
        <f t="shared" si="9"/>
        <v>0</v>
      </c>
      <c r="AA11" s="15">
        <f t="shared" si="5"/>
        <v>0</v>
      </c>
      <c r="AB11" s="15">
        <f t="shared" si="10"/>
        <v>0</v>
      </c>
      <c r="AC11" s="16">
        <f t="shared" si="11"/>
        <v>0</v>
      </c>
      <c r="AD11" s="16">
        <f t="shared" si="12"/>
        <v>0</v>
      </c>
      <c r="AE11" s="16">
        <f t="shared" si="13"/>
        <v>0</v>
      </c>
      <c r="AF11" s="16">
        <f t="shared" si="14"/>
        <v>0</v>
      </c>
      <c r="AG11" s="16"/>
      <c r="AH11" s="17"/>
      <c r="AI11" s="17">
        <f t="shared" si="15"/>
        <v>0</v>
      </c>
      <c r="AJ11" s="15">
        <f t="shared" si="16"/>
        <v>0</v>
      </c>
      <c r="AK11" s="18">
        <v>4</v>
      </c>
      <c r="AL11" s="25"/>
    </row>
    <row r="12" spans="1:38" ht="23.5" customHeight="1" x14ac:dyDescent="0.2">
      <c r="A12" s="5" t="s">
        <v>36</v>
      </c>
      <c r="B12" s="30"/>
      <c r="C12" s="65"/>
      <c r="D12" s="20"/>
      <c r="E12" s="26"/>
      <c r="F12" s="27"/>
      <c r="G12" s="27"/>
      <c r="H12" s="26"/>
      <c r="I12" s="10"/>
      <c r="J12" s="67"/>
      <c r="K12" s="11"/>
      <c r="L12" s="12"/>
      <c r="M12" s="12"/>
      <c r="N12" s="13">
        <f t="shared" si="6"/>
        <v>0</v>
      </c>
      <c r="O12" s="108"/>
      <c r="P12" s="106"/>
      <c r="Q12" s="106"/>
      <c r="R12" s="68"/>
      <c r="S12" s="15">
        <f t="shared" si="7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8"/>
        <v>0</v>
      </c>
      <c r="Y12" s="15">
        <f t="shared" si="4"/>
        <v>0</v>
      </c>
      <c r="Z12" s="15">
        <f t="shared" si="9"/>
        <v>0</v>
      </c>
      <c r="AA12" s="15">
        <f t="shared" si="5"/>
        <v>0</v>
      </c>
      <c r="AB12" s="15">
        <f t="shared" si="10"/>
        <v>0</v>
      </c>
      <c r="AC12" s="16">
        <f t="shared" si="11"/>
        <v>0</v>
      </c>
      <c r="AD12" s="16">
        <f t="shared" si="12"/>
        <v>0</v>
      </c>
      <c r="AE12" s="16">
        <f t="shared" si="13"/>
        <v>0</v>
      </c>
      <c r="AF12" s="16">
        <f t="shared" si="14"/>
        <v>0</v>
      </c>
      <c r="AG12" s="16"/>
      <c r="AH12" s="17"/>
      <c r="AI12" s="17">
        <f t="shared" si="15"/>
        <v>0</v>
      </c>
      <c r="AJ12" s="15">
        <f t="shared" si="16"/>
        <v>0</v>
      </c>
      <c r="AK12" s="18">
        <v>5</v>
      </c>
      <c r="AL12" s="25"/>
    </row>
    <row r="13" spans="1:38" ht="23.5" customHeight="1" x14ac:dyDescent="0.2">
      <c r="A13" s="5" t="s">
        <v>37</v>
      </c>
      <c r="B13" s="30"/>
      <c r="C13" s="65"/>
      <c r="D13" s="20"/>
      <c r="E13" s="26"/>
      <c r="F13" s="27"/>
      <c r="G13" s="27"/>
      <c r="H13" s="26"/>
      <c r="I13" s="10"/>
      <c r="J13" s="67"/>
      <c r="K13" s="11"/>
      <c r="L13" s="12"/>
      <c r="M13" s="12"/>
      <c r="N13" s="13">
        <f t="shared" si="6"/>
        <v>0</v>
      </c>
      <c r="O13" s="108"/>
      <c r="P13" s="106"/>
      <c r="Q13" s="106"/>
      <c r="R13" s="68"/>
      <c r="S13" s="15">
        <f t="shared" si="7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8"/>
        <v>0</v>
      </c>
      <c r="Y13" s="15">
        <f t="shared" si="4"/>
        <v>0</v>
      </c>
      <c r="Z13" s="15">
        <f t="shared" si="9"/>
        <v>0</v>
      </c>
      <c r="AA13" s="15">
        <f t="shared" si="5"/>
        <v>0</v>
      </c>
      <c r="AB13" s="15">
        <f t="shared" si="10"/>
        <v>0</v>
      </c>
      <c r="AC13" s="16">
        <f t="shared" si="11"/>
        <v>0</v>
      </c>
      <c r="AD13" s="16">
        <f t="shared" si="12"/>
        <v>0</v>
      </c>
      <c r="AE13" s="16">
        <f t="shared" si="13"/>
        <v>0</v>
      </c>
      <c r="AF13" s="16">
        <f t="shared" si="14"/>
        <v>0</v>
      </c>
      <c r="AG13" s="16"/>
      <c r="AH13" s="17"/>
      <c r="AI13" s="17">
        <f t="shared" si="15"/>
        <v>0</v>
      </c>
      <c r="AJ13" s="15">
        <f t="shared" si="16"/>
        <v>0</v>
      </c>
      <c r="AK13" s="18">
        <v>6</v>
      </c>
      <c r="AL13" s="25"/>
    </row>
    <row r="14" spans="1:38" ht="23.5" customHeight="1" x14ac:dyDescent="0.2">
      <c r="A14" s="5" t="s">
        <v>38</v>
      </c>
      <c r="B14" s="30"/>
      <c r="C14" s="65"/>
      <c r="D14" s="20"/>
      <c r="E14" s="26"/>
      <c r="F14" s="27"/>
      <c r="G14" s="27"/>
      <c r="H14" s="26"/>
      <c r="I14" s="10"/>
      <c r="J14" s="67"/>
      <c r="K14" s="11"/>
      <c r="L14" s="12"/>
      <c r="M14" s="12"/>
      <c r="N14" s="13">
        <f t="shared" si="6"/>
        <v>0</v>
      </c>
      <c r="O14" s="108"/>
      <c r="P14" s="106"/>
      <c r="Q14" s="106"/>
      <c r="R14" s="68"/>
      <c r="S14" s="15">
        <f t="shared" si="7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8"/>
        <v>0</v>
      </c>
      <c r="Y14" s="15">
        <f t="shared" si="4"/>
        <v>0</v>
      </c>
      <c r="Z14" s="15">
        <f t="shared" si="9"/>
        <v>0</v>
      </c>
      <c r="AA14" s="15">
        <f t="shared" si="5"/>
        <v>0</v>
      </c>
      <c r="AB14" s="15">
        <f t="shared" si="10"/>
        <v>0</v>
      </c>
      <c r="AC14" s="16">
        <f t="shared" si="11"/>
        <v>0</v>
      </c>
      <c r="AD14" s="16">
        <f t="shared" si="12"/>
        <v>0</v>
      </c>
      <c r="AE14" s="16">
        <f t="shared" si="13"/>
        <v>0</v>
      </c>
      <c r="AF14" s="16">
        <f t="shared" si="14"/>
        <v>0</v>
      </c>
      <c r="AG14" s="16"/>
      <c r="AH14" s="17"/>
      <c r="AI14" s="17">
        <f t="shared" si="15"/>
        <v>0</v>
      </c>
      <c r="AJ14" s="15">
        <f t="shared" si="16"/>
        <v>0</v>
      </c>
      <c r="AK14" s="18">
        <v>7</v>
      </c>
      <c r="AL14" s="25"/>
    </row>
    <row r="15" spans="1:38" ht="23.5" customHeight="1" x14ac:dyDescent="0.2">
      <c r="A15" s="5" t="s">
        <v>39</v>
      </c>
      <c r="B15" s="30"/>
      <c r="C15" s="65"/>
      <c r="D15" s="20"/>
      <c r="E15" s="26"/>
      <c r="F15" s="27"/>
      <c r="G15" s="27"/>
      <c r="H15" s="26"/>
      <c r="I15" s="10"/>
      <c r="J15" s="67"/>
      <c r="K15" s="11"/>
      <c r="L15" s="12"/>
      <c r="M15" s="12"/>
      <c r="N15" s="13">
        <f t="shared" si="6"/>
        <v>0</v>
      </c>
      <c r="O15" s="108"/>
      <c r="P15" s="106"/>
      <c r="Q15" s="106"/>
      <c r="R15" s="68"/>
      <c r="S15" s="15">
        <f t="shared" si="7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8"/>
        <v>0</v>
      </c>
      <c r="Y15" s="15">
        <f t="shared" si="4"/>
        <v>0</v>
      </c>
      <c r="Z15" s="15">
        <f t="shared" si="9"/>
        <v>0</v>
      </c>
      <c r="AA15" s="15">
        <f t="shared" si="5"/>
        <v>0</v>
      </c>
      <c r="AB15" s="15">
        <f t="shared" si="10"/>
        <v>0</v>
      </c>
      <c r="AC15" s="16">
        <f t="shared" si="11"/>
        <v>0</v>
      </c>
      <c r="AD15" s="16">
        <f t="shared" si="12"/>
        <v>0</v>
      </c>
      <c r="AE15" s="16">
        <f t="shared" si="13"/>
        <v>0</v>
      </c>
      <c r="AF15" s="16">
        <f t="shared" si="14"/>
        <v>0</v>
      </c>
      <c r="AG15" s="16"/>
      <c r="AH15" s="17"/>
      <c r="AI15" s="17">
        <f t="shared" si="15"/>
        <v>0</v>
      </c>
      <c r="AJ15" s="15">
        <f t="shared" si="16"/>
        <v>0</v>
      </c>
      <c r="AK15" s="18">
        <v>8</v>
      </c>
      <c r="AL15" s="25"/>
    </row>
    <row r="16" spans="1:38" ht="23.5" customHeight="1" x14ac:dyDescent="0.2">
      <c r="A16" s="5" t="s">
        <v>40</v>
      </c>
      <c r="B16" s="30"/>
      <c r="C16" s="65"/>
      <c r="D16" s="20"/>
      <c r="E16" s="26"/>
      <c r="F16" s="27"/>
      <c r="G16" s="27"/>
      <c r="H16" s="26"/>
      <c r="I16" s="10"/>
      <c r="J16" s="67"/>
      <c r="K16" s="11"/>
      <c r="L16" s="12"/>
      <c r="M16" s="12"/>
      <c r="N16" s="13">
        <f t="shared" si="6"/>
        <v>0</v>
      </c>
      <c r="O16" s="108"/>
      <c r="P16" s="106"/>
      <c r="Q16" s="106"/>
      <c r="R16" s="68"/>
      <c r="S16" s="15">
        <f t="shared" si="7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8"/>
        <v>0</v>
      </c>
      <c r="Y16" s="15">
        <f t="shared" si="4"/>
        <v>0</v>
      </c>
      <c r="Z16" s="15">
        <f t="shared" si="9"/>
        <v>0</v>
      </c>
      <c r="AA16" s="15">
        <f t="shared" si="5"/>
        <v>0</v>
      </c>
      <c r="AB16" s="15">
        <f t="shared" si="10"/>
        <v>0</v>
      </c>
      <c r="AC16" s="16">
        <f t="shared" si="11"/>
        <v>0</v>
      </c>
      <c r="AD16" s="16">
        <f t="shared" si="12"/>
        <v>0</v>
      </c>
      <c r="AE16" s="16">
        <f t="shared" si="13"/>
        <v>0</v>
      </c>
      <c r="AF16" s="16">
        <f t="shared" si="14"/>
        <v>0</v>
      </c>
      <c r="AG16" s="16"/>
      <c r="AH16" s="17"/>
      <c r="AI16" s="17">
        <f t="shared" si="15"/>
        <v>0</v>
      </c>
      <c r="AJ16" s="15">
        <f t="shared" si="16"/>
        <v>0</v>
      </c>
      <c r="AK16" s="18">
        <v>9</v>
      </c>
      <c r="AL16" s="43"/>
    </row>
    <row r="17" spans="1:38" ht="23.5" customHeight="1" x14ac:dyDescent="0.2">
      <c r="A17" s="5" t="s">
        <v>41</v>
      </c>
      <c r="B17" s="30"/>
      <c r="C17" s="65"/>
      <c r="D17" s="20"/>
      <c r="E17" s="26"/>
      <c r="F17" s="27"/>
      <c r="G17" s="27"/>
      <c r="H17" s="26"/>
      <c r="I17" s="10"/>
      <c r="J17" s="67"/>
      <c r="K17" s="11"/>
      <c r="L17" s="12"/>
      <c r="M17" s="12"/>
      <c r="N17" s="13">
        <f t="shared" si="6"/>
        <v>0</v>
      </c>
      <c r="O17" s="108"/>
      <c r="P17" s="106"/>
      <c r="Q17" s="106"/>
      <c r="R17" s="68"/>
      <c r="S17" s="15">
        <f t="shared" si="7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8"/>
        <v>0</v>
      </c>
      <c r="Y17" s="15">
        <f t="shared" si="4"/>
        <v>0</v>
      </c>
      <c r="Z17" s="15">
        <f t="shared" si="9"/>
        <v>0</v>
      </c>
      <c r="AA17" s="15">
        <f t="shared" si="5"/>
        <v>0</v>
      </c>
      <c r="AB17" s="15">
        <f t="shared" si="10"/>
        <v>0</v>
      </c>
      <c r="AC17" s="16">
        <f t="shared" si="11"/>
        <v>0</v>
      </c>
      <c r="AD17" s="16">
        <f t="shared" si="12"/>
        <v>0</v>
      </c>
      <c r="AE17" s="16">
        <f t="shared" si="13"/>
        <v>0</v>
      </c>
      <c r="AF17" s="16">
        <f t="shared" si="14"/>
        <v>0</v>
      </c>
      <c r="AG17" s="16"/>
      <c r="AH17" s="17"/>
      <c r="AI17" s="17">
        <f t="shared" si="15"/>
        <v>0</v>
      </c>
      <c r="AJ17" s="15">
        <f t="shared" si="16"/>
        <v>0</v>
      </c>
      <c r="AK17" s="18">
        <v>10</v>
      </c>
      <c r="AL17" s="25"/>
    </row>
    <row r="18" spans="1:38" ht="23.5" customHeight="1" x14ac:dyDescent="0.2">
      <c r="A18" s="5" t="s">
        <v>42</v>
      </c>
      <c r="B18" s="30"/>
      <c r="C18" s="65"/>
      <c r="D18" s="20"/>
      <c r="E18" s="26"/>
      <c r="F18" s="27"/>
      <c r="G18" s="27"/>
      <c r="H18" s="26"/>
      <c r="I18" s="10"/>
      <c r="J18" s="67"/>
      <c r="K18" s="11"/>
      <c r="L18" s="12"/>
      <c r="M18" s="12"/>
      <c r="N18" s="13">
        <f t="shared" si="6"/>
        <v>0</v>
      </c>
      <c r="O18" s="108"/>
      <c r="P18" s="106"/>
      <c r="Q18" s="106"/>
      <c r="R18" s="68"/>
      <c r="S18" s="15">
        <f t="shared" si="7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8"/>
        <v>0</v>
      </c>
      <c r="Y18" s="15">
        <f t="shared" si="4"/>
        <v>0</v>
      </c>
      <c r="Z18" s="15">
        <f t="shared" si="9"/>
        <v>0</v>
      </c>
      <c r="AA18" s="15">
        <f t="shared" si="5"/>
        <v>0</v>
      </c>
      <c r="AB18" s="15">
        <f t="shared" si="10"/>
        <v>0</v>
      </c>
      <c r="AC18" s="16">
        <f t="shared" si="11"/>
        <v>0</v>
      </c>
      <c r="AD18" s="16">
        <f t="shared" si="12"/>
        <v>0</v>
      </c>
      <c r="AE18" s="16">
        <f t="shared" si="13"/>
        <v>0</v>
      </c>
      <c r="AF18" s="16">
        <f t="shared" si="14"/>
        <v>0</v>
      </c>
      <c r="AG18" s="16"/>
      <c r="AH18" s="17"/>
      <c r="AI18" s="17">
        <f t="shared" si="15"/>
        <v>0</v>
      </c>
      <c r="AJ18" s="15">
        <f t="shared" si="16"/>
        <v>0</v>
      </c>
      <c r="AK18" s="18">
        <v>11</v>
      </c>
      <c r="AL18" s="43"/>
    </row>
    <row r="19" spans="1:38" ht="23.5" customHeight="1" x14ac:dyDescent="0.2">
      <c r="A19" s="5" t="s">
        <v>43</v>
      </c>
      <c r="B19" s="30"/>
      <c r="C19" s="65"/>
      <c r="D19" s="20"/>
      <c r="E19" s="26"/>
      <c r="F19" s="27"/>
      <c r="G19" s="27"/>
      <c r="H19" s="26"/>
      <c r="I19" s="10"/>
      <c r="J19" s="67"/>
      <c r="K19" s="11"/>
      <c r="L19" s="12"/>
      <c r="M19" s="12"/>
      <c r="N19" s="13">
        <f t="shared" si="6"/>
        <v>0</v>
      </c>
      <c r="O19" s="108"/>
      <c r="P19" s="106"/>
      <c r="Q19" s="106"/>
      <c r="R19" s="68"/>
      <c r="S19" s="15">
        <f t="shared" si="7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8"/>
        <v>0</v>
      </c>
      <c r="Y19" s="15">
        <f t="shared" si="4"/>
        <v>0</v>
      </c>
      <c r="Z19" s="15">
        <f t="shared" si="9"/>
        <v>0</v>
      </c>
      <c r="AA19" s="15">
        <f t="shared" si="5"/>
        <v>0</v>
      </c>
      <c r="AB19" s="15">
        <f t="shared" si="10"/>
        <v>0</v>
      </c>
      <c r="AC19" s="16">
        <f t="shared" si="11"/>
        <v>0</v>
      </c>
      <c r="AD19" s="16">
        <f t="shared" si="12"/>
        <v>0</v>
      </c>
      <c r="AE19" s="16">
        <f t="shared" si="13"/>
        <v>0</v>
      </c>
      <c r="AF19" s="16">
        <f t="shared" si="14"/>
        <v>0</v>
      </c>
      <c r="AG19" s="16"/>
      <c r="AH19" s="17"/>
      <c r="AI19" s="17">
        <f t="shared" si="15"/>
        <v>0</v>
      </c>
      <c r="AJ19" s="15">
        <f t="shared" si="16"/>
        <v>0</v>
      </c>
      <c r="AK19" s="18">
        <v>12</v>
      </c>
      <c r="AL19" s="25"/>
    </row>
    <row r="20" spans="1:38" ht="23.5" customHeight="1" x14ac:dyDescent="0.2">
      <c r="A20" s="5" t="s">
        <v>44</v>
      </c>
      <c r="B20" s="30"/>
      <c r="C20" s="65"/>
      <c r="D20" s="20"/>
      <c r="E20" s="26"/>
      <c r="F20" s="27"/>
      <c r="G20" s="27"/>
      <c r="H20" s="26"/>
      <c r="I20" s="10"/>
      <c r="J20" s="67"/>
      <c r="K20" s="11"/>
      <c r="L20" s="12"/>
      <c r="M20" s="12"/>
      <c r="N20" s="13">
        <f t="shared" si="6"/>
        <v>0</v>
      </c>
      <c r="O20" s="108"/>
      <c r="P20" s="106"/>
      <c r="Q20" s="106"/>
      <c r="R20" s="68"/>
      <c r="S20" s="15">
        <f t="shared" si="7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8"/>
        <v>0</v>
      </c>
      <c r="Y20" s="15">
        <f t="shared" si="4"/>
        <v>0</v>
      </c>
      <c r="Z20" s="15">
        <f t="shared" si="9"/>
        <v>0</v>
      </c>
      <c r="AA20" s="15">
        <f t="shared" si="5"/>
        <v>0</v>
      </c>
      <c r="AB20" s="15">
        <f t="shared" si="10"/>
        <v>0</v>
      </c>
      <c r="AC20" s="16">
        <f t="shared" si="11"/>
        <v>0</v>
      </c>
      <c r="AD20" s="16">
        <f t="shared" si="12"/>
        <v>0</v>
      </c>
      <c r="AE20" s="16">
        <f t="shared" si="13"/>
        <v>0</v>
      </c>
      <c r="AF20" s="16">
        <f t="shared" si="14"/>
        <v>0</v>
      </c>
      <c r="AG20" s="16"/>
      <c r="AH20" s="17"/>
      <c r="AI20" s="17">
        <f t="shared" si="15"/>
        <v>0</v>
      </c>
      <c r="AJ20" s="15">
        <f t="shared" si="16"/>
        <v>0</v>
      </c>
      <c r="AK20" s="18">
        <v>13</v>
      </c>
      <c r="AL20" s="25"/>
    </row>
    <row r="21" spans="1:38" ht="23.5" customHeight="1" x14ac:dyDescent="0.2">
      <c r="A21" s="5" t="s">
        <v>45</v>
      </c>
      <c r="B21" s="30"/>
      <c r="C21" s="65"/>
      <c r="D21" s="20"/>
      <c r="E21" s="26"/>
      <c r="F21" s="27"/>
      <c r="G21" s="27"/>
      <c r="H21" s="26"/>
      <c r="I21" s="10"/>
      <c r="J21" s="67"/>
      <c r="K21" s="11"/>
      <c r="L21" s="12"/>
      <c r="M21" s="12"/>
      <c r="N21" s="13">
        <f t="shared" si="6"/>
        <v>0</v>
      </c>
      <c r="O21" s="108"/>
      <c r="P21" s="106"/>
      <c r="Q21" s="106"/>
      <c r="R21" s="68"/>
      <c r="S21" s="15">
        <f t="shared" si="7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8"/>
        <v>0</v>
      </c>
      <c r="Y21" s="15">
        <f t="shared" si="4"/>
        <v>0</v>
      </c>
      <c r="Z21" s="15">
        <f t="shared" si="9"/>
        <v>0</v>
      </c>
      <c r="AA21" s="15">
        <f t="shared" si="5"/>
        <v>0</v>
      </c>
      <c r="AB21" s="15">
        <f t="shared" si="10"/>
        <v>0</v>
      </c>
      <c r="AC21" s="16">
        <f t="shared" si="11"/>
        <v>0</v>
      </c>
      <c r="AD21" s="16">
        <f t="shared" si="12"/>
        <v>0</v>
      </c>
      <c r="AE21" s="16">
        <f t="shared" si="13"/>
        <v>0</v>
      </c>
      <c r="AF21" s="16">
        <f t="shared" si="14"/>
        <v>0</v>
      </c>
      <c r="AG21" s="16"/>
      <c r="AH21" s="17"/>
      <c r="AI21" s="17">
        <f t="shared" si="15"/>
        <v>0</v>
      </c>
      <c r="AJ21" s="15">
        <f t="shared" si="16"/>
        <v>0</v>
      </c>
      <c r="AK21" s="18">
        <v>14</v>
      </c>
      <c r="AL21" s="25"/>
    </row>
    <row r="22" spans="1:38" ht="23.5" customHeight="1" x14ac:dyDescent="0.2">
      <c r="A22" s="5" t="s">
        <v>46</v>
      </c>
      <c r="B22" s="30"/>
      <c r="C22" s="65"/>
      <c r="D22" s="20"/>
      <c r="E22" s="26"/>
      <c r="F22" s="27"/>
      <c r="G22" s="27"/>
      <c r="H22" s="26"/>
      <c r="I22" s="10"/>
      <c r="J22" s="67"/>
      <c r="K22" s="11"/>
      <c r="L22" s="12"/>
      <c r="M22" s="12"/>
      <c r="N22" s="13">
        <f t="shared" si="6"/>
        <v>0</v>
      </c>
      <c r="O22" s="108"/>
      <c r="P22" s="106"/>
      <c r="Q22" s="106"/>
      <c r="R22" s="68"/>
      <c r="S22" s="15">
        <f t="shared" si="7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8"/>
        <v>0</v>
      </c>
      <c r="Y22" s="15">
        <f t="shared" si="4"/>
        <v>0</v>
      </c>
      <c r="Z22" s="15">
        <f t="shared" si="9"/>
        <v>0</v>
      </c>
      <c r="AA22" s="15">
        <f t="shared" si="5"/>
        <v>0</v>
      </c>
      <c r="AB22" s="15">
        <f t="shared" si="10"/>
        <v>0</v>
      </c>
      <c r="AC22" s="16">
        <f t="shared" si="11"/>
        <v>0</v>
      </c>
      <c r="AD22" s="16">
        <f t="shared" si="12"/>
        <v>0</v>
      </c>
      <c r="AE22" s="16">
        <f t="shared" si="13"/>
        <v>0</v>
      </c>
      <c r="AF22" s="16">
        <f t="shared" si="14"/>
        <v>0</v>
      </c>
      <c r="AG22" s="16"/>
      <c r="AH22" s="17"/>
      <c r="AI22" s="17">
        <f t="shared" si="15"/>
        <v>0</v>
      </c>
      <c r="AJ22" s="15">
        <f t="shared" si="16"/>
        <v>0</v>
      </c>
      <c r="AK22" s="18">
        <v>15</v>
      </c>
      <c r="AL22" s="25"/>
    </row>
    <row r="23" spans="1:38" ht="23.5" customHeight="1" x14ac:dyDescent="0.2">
      <c r="A23" s="5" t="s">
        <v>47</v>
      </c>
      <c r="B23" s="30"/>
      <c r="C23" s="65"/>
      <c r="D23" s="20"/>
      <c r="E23" s="26"/>
      <c r="F23" s="27"/>
      <c r="G23" s="27"/>
      <c r="H23" s="26"/>
      <c r="I23" s="10"/>
      <c r="J23" s="67"/>
      <c r="K23" s="11"/>
      <c r="L23" s="12"/>
      <c r="M23" s="12"/>
      <c r="N23" s="13">
        <f t="shared" si="6"/>
        <v>0</v>
      </c>
      <c r="O23" s="108"/>
      <c r="P23" s="106"/>
      <c r="Q23" s="106"/>
      <c r="R23" s="68"/>
      <c r="S23" s="15">
        <f t="shared" si="7"/>
        <v>0</v>
      </c>
      <c r="T23" s="15">
        <f t="shared" si="0"/>
        <v>0</v>
      </c>
      <c r="U23" s="15">
        <f t="shared" si="1"/>
        <v>0</v>
      </c>
      <c r="V23" s="15">
        <f t="shared" si="2"/>
        <v>0</v>
      </c>
      <c r="W23" s="15">
        <f t="shared" si="3"/>
        <v>0</v>
      </c>
      <c r="X23" s="15">
        <f t="shared" si="8"/>
        <v>0</v>
      </c>
      <c r="Y23" s="15">
        <f t="shared" si="4"/>
        <v>0</v>
      </c>
      <c r="Z23" s="15">
        <f t="shared" si="9"/>
        <v>0</v>
      </c>
      <c r="AA23" s="15">
        <f t="shared" si="5"/>
        <v>0</v>
      </c>
      <c r="AB23" s="15">
        <f t="shared" si="10"/>
        <v>0</v>
      </c>
      <c r="AC23" s="16">
        <f t="shared" si="11"/>
        <v>0</v>
      </c>
      <c r="AD23" s="16">
        <f t="shared" si="12"/>
        <v>0</v>
      </c>
      <c r="AE23" s="16">
        <f t="shared" si="13"/>
        <v>0</v>
      </c>
      <c r="AF23" s="16">
        <f t="shared" si="14"/>
        <v>0</v>
      </c>
      <c r="AG23" s="16"/>
      <c r="AH23" s="17"/>
      <c r="AI23" s="17">
        <f t="shared" si="15"/>
        <v>0</v>
      </c>
      <c r="AJ23" s="15">
        <f t="shared" si="16"/>
        <v>0</v>
      </c>
      <c r="AK23" s="18">
        <v>16</v>
      </c>
      <c r="AL23" s="25"/>
    </row>
    <row r="24" spans="1:38" ht="23.5" customHeight="1" x14ac:dyDescent="0.2">
      <c r="A24" s="5" t="s">
        <v>48</v>
      </c>
      <c r="B24" s="30"/>
      <c r="C24" s="65"/>
      <c r="D24" s="20"/>
      <c r="E24" s="26"/>
      <c r="F24" s="27"/>
      <c r="G24" s="27"/>
      <c r="H24" s="26"/>
      <c r="I24" s="10"/>
      <c r="J24" s="67"/>
      <c r="K24" s="11"/>
      <c r="L24" s="12"/>
      <c r="M24" s="12"/>
      <c r="N24" s="13">
        <f t="shared" si="6"/>
        <v>0</v>
      </c>
      <c r="O24" s="108"/>
      <c r="P24" s="106"/>
      <c r="Q24" s="106"/>
      <c r="R24" s="68"/>
      <c r="S24" s="15">
        <f t="shared" si="7"/>
        <v>0</v>
      </c>
      <c r="T24" s="15">
        <f t="shared" si="0"/>
        <v>0</v>
      </c>
      <c r="U24" s="15">
        <f t="shared" si="1"/>
        <v>0</v>
      </c>
      <c r="V24" s="15">
        <f t="shared" si="2"/>
        <v>0</v>
      </c>
      <c r="W24" s="15">
        <f t="shared" si="3"/>
        <v>0</v>
      </c>
      <c r="X24" s="15">
        <f t="shared" si="8"/>
        <v>0</v>
      </c>
      <c r="Y24" s="15">
        <f t="shared" si="4"/>
        <v>0</v>
      </c>
      <c r="Z24" s="15">
        <f t="shared" si="9"/>
        <v>0</v>
      </c>
      <c r="AA24" s="15">
        <f t="shared" si="5"/>
        <v>0</v>
      </c>
      <c r="AB24" s="15">
        <f t="shared" si="10"/>
        <v>0</v>
      </c>
      <c r="AC24" s="16">
        <f t="shared" si="11"/>
        <v>0</v>
      </c>
      <c r="AD24" s="16">
        <f t="shared" si="12"/>
        <v>0</v>
      </c>
      <c r="AE24" s="16">
        <f t="shared" si="13"/>
        <v>0</v>
      </c>
      <c r="AF24" s="16">
        <f t="shared" si="14"/>
        <v>0</v>
      </c>
      <c r="AG24" s="16"/>
      <c r="AH24" s="17"/>
      <c r="AI24" s="17">
        <f t="shared" si="15"/>
        <v>0</v>
      </c>
      <c r="AJ24" s="15">
        <f t="shared" si="16"/>
        <v>0</v>
      </c>
      <c r="AK24" s="18">
        <v>17</v>
      </c>
      <c r="AL24" s="25"/>
    </row>
    <row r="25" spans="1:38" ht="23.5" customHeight="1" x14ac:dyDescent="0.2">
      <c r="A25" s="5" t="s">
        <v>49</v>
      </c>
      <c r="B25" s="30"/>
      <c r="C25" s="65"/>
      <c r="D25" s="20"/>
      <c r="E25" s="26"/>
      <c r="F25" s="27"/>
      <c r="G25" s="27"/>
      <c r="H25" s="26"/>
      <c r="I25" s="10"/>
      <c r="J25" s="67"/>
      <c r="K25" s="11"/>
      <c r="L25" s="12"/>
      <c r="M25" s="12"/>
      <c r="N25" s="13">
        <f t="shared" si="6"/>
        <v>0</v>
      </c>
      <c r="O25" s="108"/>
      <c r="P25" s="106"/>
      <c r="Q25" s="106"/>
      <c r="R25" s="68"/>
      <c r="S25" s="15">
        <f t="shared" si="7"/>
        <v>0</v>
      </c>
      <c r="T25" s="15">
        <f t="shared" si="0"/>
        <v>0</v>
      </c>
      <c r="U25" s="15">
        <f t="shared" si="1"/>
        <v>0</v>
      </c>
      <c r="V25" s="15">
        <f t="shared" si="2"/>
        <v>0</v>
      </c>
      <c r="W25" s="15">
        <f t="shared" si="3"/>
        <v>0</v>
      </c>
      <c r="X25" s="15">
        <f t="shared" si="8"/>
        <v>0</v>
      </c>
      <c r="Y25" s="15">
        <f t="shared" si="4"/>
        <v>0</v>
      </c>
      <c r="Z25" s="15">
        <f t="shared" si="9"/>
        <v>0</v>
      </c>
      <c r="AA25" s="15">
        <f t="shared" si="5"/>
        <v>0</v>
      </c>
      <c r="AB25" s="15">
        <f t="shared" si="10"/>
        <v>0</v>
      </c>
      <c r="AC25" s="16">
        <f t="shared" si="11"/>
        <v>0</v>
      </c>
      <c r="AD25" s="16">
        <f t="shared" si="12"/>
        <v>0</v>
      </c>
      <c r="AE25" s="16">
        <f t="shared" si="13"/>
        <v>0</v>
      </c>
      <c r="AF25" s="16">
        <f t="shared" si="14"/>
        <v>0</v>
      </c>
      <c r="AG25" s="16"/>
      <c r="AH25" s="17"/>
      <c r="AI25" s="17">
        <f t="shared" si="15"/>
        <v>0</v>
      </c>
      <c r="AJ25" s="15">
        <f t="shared" si="16"/>
        <v>0</v>
      </c>
      <c r="AK25" s="18">
        <v>18</v>
      </c>
      <c r="AL25" s="43"/>
    </row>
    <row r="26" spans="1:38" ht="23.5" customHeight="1" x14ac:dyDescent="0.2">
      <c r="A26" s="5" t="s">
        <v>50</v>
      </c>
      <c r="B26" s="30"/>
      <c r="C26" s="65"/>
      <c r="D26" s="20"/>
      <c r="E26" s="26"/>
      <c r="F26" s="27"/>
      <c r="G26" s="27"/>
      <c r="H26" s="26"/>
      <c r="I26" s="10"/>
      <c r="J26" s="67"/>
      <c r="K26" s="11"/>
      <c r="L26" s="12"/>
      <c r="M26" s="12"/>
      <c r="N26" s="13">
        <f t="shared" si="6"/>
        <v>0</v>
      </c>
      <c r="O26" s="108"/>
      <c r="P26" s="106"/>
      <c r="Q26" s="106"/>
      <c r="R26" s="68"/>
      <c r="S26" s="15">
        <f t="shared" si="7"/>
        <v>0</v>
      </c>
      <c r="T26" s="15">
        <f t="shared" si="0"/>
        <v>0</v>
      </c>
      <c r="U26" s="15">
        <f t="shared" si="1"/>
        <v>0</v>
      </c>
      <c r="V26" s="15">
        <f t="shared" si="2"/>
        <v>0</v>
      </c>
      <c r="W26" s="15">
        <f t="shared" si="3"/>
        <v>0</v>
      </c>
      <c r="X26" s="15">
        <f t="shared" si="8"/>
        <v>0</v>
      </c>
      <c r="Y26" s="15">
        <f t="shared" si="4"/>
        <v>0</v>
      </c>
      <c r="Z26" s="15">
        <f t="shared" si="9"/>
        <v>0</v>
      </c>
      <c r="AA26" s="15">
        <f t="shared" si="5"/>
        <v>0</v>
      </c>
      <c r="AB26" s="15">
        <f t="shared" si="10"/>
        <v>0</v>
      </c>
      <c r="AC26" s="16">
        <f t="shared" si="11"/>
        <v>0</v>
      </c>
      <c r="AD26" s="16">
        <f t="shared" si="12"/>
        <v>0</v>
      </c>
      <c r="AE26" s="16">
        <f t="shared" si="13"/>
        <v>0</v>
      </c>
      <c r="AF26" s="16">
        <f t="shared" si="14"/>
        <v>0</v>
      </c>
      <c r="AG26" s="16"/>
      <c r="AH26" s="17"/>
      <c r="AI26" s="17">
        <f t="shared" si="15"/>
        <v>0</v>
      </c>
      <c r="AJ26" s="15">
        <f t="shared" si="16"/>
        <v>0</v>
      </c>
      <c r="AK26" s="18">
        <v>19</v>
      </c>
      <c r="AL26" s="25"/>
    </row>
    <row r="27" spans="1:38" ht="23.5" customHeight="1" x14ac:dyDescent="0.2">
      <c r="A27" s="5" t="s">
        <v>51</v>
      </c>
      <c r="B27" s="30"/>
      <c r="C27" s="65"/>
      <c r="D27" s="20"/>
      <c r="E27" s="26"/>
      <c r="F27" s="27"/>
      <c r="G27" s="27"/>
      <c r="H27" s="26"/>
      <c r="I27" s="10"/>
      <c r="J27" s="67"/>
      <c r="K27" s="11"/>
      <c r="L27" s="12"/>
      <c r="M27" s="12"/>
      <c r="N27" s="13">
        <f t="shared" si="6"/>
        <v>0</v>
      </c>
      <c r="O27" s="108"/>
      <c r="P27" s="106"/>
      <c r="Q27" s="106"/>
      <c r="R27" s="68"/>
      <c r="S27" s="15">
        <f t="shared" si="7"/>
        <v>0</v>
      </c>
      <c r="T27" s="15">
        <f t="shared" si="0"/>
        <v>0</v>
      </c>
      <c r="U27" s="15">
        <f t="shared" si="1"/>
        <v>0</v>
      </c>
      <c r="V27" s="15">
        <f t="shared" si="2"/>
        <v>0</v>
      </c>
      <c r="W27" s="15">
        <f t="shared" si="3"/>
        <v>0</v>
      </c>
      <c r="X27" s="15">
        <f t="shared" si="8"/>
        <v>0</v>
      </c>
      <c r="Y27" s="15">
        <f t="shared" si="4"/>
        <v>0</v>
      </c>
      <c r="Z27" s="15">
        <f t="shared" si="9"/>
        <v>0</v>
      </c>
      <c r="AA27" s="15">
        <f t="shared" si="5"/>
        <v>0</v>
      </c>
      <c r="AB27" s="15">
        <f t="shared" si="10"/>
        <v>0</v>
      </c>
      <c r="AC27" s="16">
        <f t="shared" si="11"/>
        <v>0</v>
      </c>
      <c r="AD27" s="16">
        <f t="shared" si="12"/>
        <v>0</v>
      </c>
      <c r="AE27" s="16">
        <f t="shared" si="13"/>
        <v>0</v>
      </c>
      <c r="AF27" s="16">
        <f t="shared" si="14"/>
        <v>0</v>
      </c>
      <c r="AG27" s="16"/>
      <c r="AH27" s="17"/>
      <c r="AI27" s="17">
        <f t="shared" si="15"/>
        <v>0</v>
      </c>
      <c r="AJ27" s="15">
        <f t="shared" si="16"/>
        <v>0</v>
      </c>
      <c r="AK27" s="18">
        <v>20</v>
      </c>
      <c r="AL27" s="43"/>
    </row>
    <row r="28" spans="1:38" ht="23.5" customHeight="1" x14ac:dyDescent="0.2">
      <c r="A28" s="5" t="s">
        <v>52</v>
      </c>
      <c r="B28" s="30"/>
      <c r="C28" s="65"/>
      <c r="D28" s="20"/>
      <c r="E28" s="26"/>
      <c r="F28" s="27"/>
      <c r="G28" s="27"/>
      <c r="H28" s="26"/>
      <c r="I28" s="10"/>
      <c r="J28" s="67"/>
      <c r="K28" s="11"/>
      <c r="L28" s="12"/>
      <c r="M28" s="12"/>
      <c r="N28" s="13">
        <f t="shared" si="6"/>
        <v>0</v>
      </c>
      <c r="O28" s="108"/>
      <c r="P28" s="106"/>
      <c r="Q28" s="106"/>
      <c r="R28" s="68"/>
      <c r="S28" s="15">
        <f t="shared" si="7"/>
        <v>0</v>
      </c>
      <c r="T28" s="15">
        <f t="shared" si="0"/>
        <v>0</v>
      </c>
      <c r="U28" s="15">
        <f t="shared" si="1"/>
        <v>0</v>
      </c>
      <c r="V28" s="15">
        <f t="shared" si="2"/>
        <v>0</v>
      </c>
      <c r="W28" s="15">
        <f t="shared" si="3"/>
        <v>0</v>
      </c>
      <c r="X28" s="15">
        <f t="shared" si="8"/>
        <v>0</v>
      </c>
      <c r="Y28" s="15">
        <f t="shared" si="4"/>
        <v>0</v>
      </c>
      <c r="Z28" s="15">
        <f t="shared" si="9"/>
        <v>0</v>
      </c>
      <c r="AA28" s="15">
        <f t="shared" si="5"/>
        <v>0</v>
      </c>
      <c r="AB28" s="15">
        <f t="shared" si="10"/>
        <v>0</v>
      </c>
      <c r="AC28" s="16">
        <f t="shared" si="11"/>
        <v>0</v>
      </c>
      <c r="AD28" s="16">
        <f t="shared" si="12"/>
        <v>0</v>
      </c>
      <c r="AE28" s="16">
        <f t="shared" si="13"/>
        <v>0</v>
      </c>
      <c r="AF28" s="16">
        <f t="shared" si="14"/>
        <v>0</v>
      </c>
      <c r="AG28" s="16"/>
      <c r="AH28" s="17"/>
      <c r="AI28" s="17">
        <f t="shared" si="15"/>
        <v>0</v>
      </c>
      <c r="AJ28" s="15">
        <f t="shared" si="16"/>
        <v>0</v>
      </c>
      <c r="AK28" s="18">
        <v>21</v>
      </c>
      <c r="AL28" s="25"/>
    </row>
    <row r="29" spans="1:38" ht="23.5" customHeight="1" x14ac:dyDescent="0.2">
      <c r="A29" s="5" t="s">
        <v>53</v>
      </c>
      <c r="B29" s="30"/>
      <c r="C29" s="65"/>
      <c r="D29" s="20"/>
      <c r="E29" s="26"/>
      <c r="F29" s="27"/>
      <c r="G29" s="27"/>
      <c r="H29" s="26"/>
      <c r="I29" s="10"/>
      <c r="J29" s="67"/>
      <c r="K29" s="11"/>
      <c r="L29" s="12"/>
      <c r="M29" s="12"/>
      <c r="N29" s="13">
        <f t="shared" si="6"/>
        <v>0</v>
      </c>
      <c r="O29" s="108"/>
      <c r="P29" s="106"/>
      <c r="Q29" s="106"/>
      <c r="R29" s="68"/>
      <c r="S29" s="15">
        <f t="shared" si="7"/>
        <v>0</v>
      </c>
      <c r="T29" s="15">
        <f t="shared" si="0"/>
        <v>0</v>
      </c>
      <c r="U29" s="15">
        <f t="shared" si="1"/>
        <v>0</v>
      </c>
      <c r="V29" s="15">
        <f t="shared" si="2"/>
        <v>0</v>
      </c>
      <c r="W29" s="15">
        <f t="shared" si="3"/>
        <v>0</v>
      </c>
      <c r="X29" s="15">
        <f t="shared" si="8"/>
        <v>0</v>
      </c>
      <c r="Y29" s="15">
        <f t="shared" si="4"/>
        <v>0</v>
      </c>
      <c r="Z29" s="15">
        <f t="shared" si="9"/>
        <v>0</v>
      </c>
      <c r="AA29" s="15">
        <f t="shared" si="5"/>
        <v>0</v>
      </c>
      <c r="AB29" s="15">
        <f t="shared" si="10"/>
        <v>0</v>
      </c>
      <c r="AC29" s="16">
        <f t="shared" si="11"/>
        <v>0</v>
      </c>
      <c r="AD29" s="16">
        <f t="shared" si="12"/>
        <v>0</v>
      </c>
      <c r="AE29" s="16">
        <f t="shared" si="13"/>
        <v>0</v>
      </c>
      <c r="AF29" s="16">
        <f t="shared" si="14"/>
        <v>0</v>
      </c>
      <c r="AG29" s="16"/>
      <c r="AH29" s="17"/>
      <c r="AI29" s="17">
        <f t="shared" si="15"/>
        <v>0</v>
      </c>
      <c r="AJ29" s="15">
        <f t="shared" si="16"/>
        <v>0</v>
      </c>
      <c r="AK29" s="18">
        <v>22</v>
      </c>
      <c r="AL29" s="25"/>
    </row>
    <row r="30" spans="1:38" ht="23.5" customHeight="1" x14ac:dyDescent="0.2">
      <c r="A30" s="5" t="s">
        <v>54</v>
      </c>
      <c r="B30" s="30"/>
      <c r="C30" s="65"/>
      <c r="D30" s="20"/>
      <c r="E30" s="26"/>
      <c r="F30" s="27"/>
      <c r="G30" s="27"/>
      <c r="H30" s="26"/>
      <c r="I30" s="10"/>
      <c r="J30" s="67"/>
      <c r="K30" s="11"/>
      <c r="L30" s="12"/>
      <c r="M30" s="12"/>
      <c r="N30" s="13">
        <f t="shared" si="6"/>
        <v>0</v>
      </c>
      <c r="O30" s="108"/>
      <c r="P30" s="106"/>
      <c r="Q30" s="106"/>
      <c r="R30" s="68"/>
      <c r="S30" s="15">
        <f t="shared" si="7"/>
        <v>0</v>
      </c>
      <c r="T30" s="15">
        <f t="shared" si="0"/>
        <v>0</v>
      </c>
      <c r="U30" s="15">
        <f t="shared" si="1"/>
        <v>0</v>
      </c>
      <c r="V30" s="15">
        <f t="shared" si="2"/>
        <v>0</v>
      </c>
      <c r="W30" s="15">
        <f t="shared" si="3"/>
        <v>0</v>
      </c>
      <c r="X30" s="15">
        <f t="shared" si="8"/>
        <v>0</v>
      </c>
      <c r="Y30" s="15">
        <f t="shared" si="4"/>
        <v>0</v>
      </c>
      <c r="Z30" s="15">
        <f t="shared" si="9"/>
        <v>0</v>
      </c>
      <c r="AA30" s="15">
        <f t="shared" si="5"/>
        <v>0</v>
      </c>
      <c r="AB30" s="15">
        <f t="shared" si="10"/>
        <v>0</v>
      </c>
      <c r="AC30" s="16">
        <f t="shared" si="11"/>
        <v>0</v>
      </c>
      <c r="AD30" s="16">
        <f t="shared" si="12"/>
        <v>0</v>
      </c>
      <c r="AE30" s="16">
        <f t="shared" si="13"/>
        <v>0</v>
      </c>
      <c r="AF30" s="16">
        <f t="shared" si="14"/>
        <v>0</v>
      </c>
      <c r="AG30" s="16"/>
      <c r="AH30" s="17"/>
      <c r="AI30" s="17">
        <f t="shared" si="15"/>
        <v>0</v>
      </c>
      <c r="AJ30" s="15">
        <f t="shared" si="16"/>
        <v>0</v>
      </c>
      <c r="AK30" s="18">
        <v>23</v>
      </c>
      <c r="AL30" s="25"/>
    </row>
    <row r="31" spans="1:38" ht="23.5" customHeight="1" x14ac:dyDescent="0.2">
      <c r="A31" s="5" t="s">
        <v>55</v>
      </c>
      <c r="B31" s="30"/>
      <c r="C31" s="65"/>
      <c r="D31" s="20"/>
      <c r="E31" s="26"/>
      <c r="F31" s="27"/>
      <c r="G31" s="27"/>
      <c r="H31" s="26"/>
      <c r="I31" s="10"/>
      <c r="J31" s="67"/>
      <c r="K31" s="11"/>
      <c r="L31" s="12"/>
      <c r="M31" s="12"/>
      <c r="N31" s="13">
        <f t="shared" si="6"/>
        <v>0</v>
      </c>
      <c r="O31" s="108"/>
      <c r="P31" s="106"/>
      <c r="Q31" s="106"/>
      <c r="R31" s="68"/>
      <c r="S31" s="15">
        <f t="shared" si="7"/>
        <v>0</v>
      </c>
      <c r="T31" s="15">
        <f t="shared" si="0"/>
        <v>0</v>
      </c>
      <c r="U31" s="15">
        <f t="shared" si="1"/>
        <v>0</v>
      </c>
      <c r="V31" s="15">
        <f t="shared" si="2"/>
        <v>0</v>
      </c>
      <c r="W31" s="15">
        <f t="shared" si="3"/>
        <v>0</v>
      </c>
      <c r="X31" s="15">
        <f t="shared" si="8"/>
        <v>0</v>
      </c>
      <c r="Y31" s="15">
        <f t="shared" si="4"/>
        <v>0</v>
      </c>
      <c r="Z31" s="15">
        <f t="shared" si="9"/>
        <v>0</v>
      </c>
      <c r="AA31" s="15">
        <f t="shared" si="5"/>
        <v>0</v>
      </c>
      <c r="AB31" s="15">
        <f t="shared" si="10"/>
        <v>0</v>
      </c>
      <c r="AC31" s="16">
        <f t="shared" si="11"/>
        <v>0</v>
      </c>
      <c r="AD31" s="16">
        <f t="shared" si="12"/>
        <v>0</v>
      </c>
      <c r="AE31" s="16">
        <f t="shared" si="13"/>
        <v>0</v>
      </c>
      <c r="AF31" s="16">
        <f t="shared" si="14"/>
        <v>0</v>
      </c>
      <c r="AG31" s="16"/>
      <c r="AH31" s="17"/>
      <c r="AI31" s="17">
        <f t="shared" si="15"/>
        <v>0</v>
      </c>
      <c r="AJ31" s="15">
        <f t="shared" si="16"/>
        <v>0</v>
      </c>
      <c r="AK31" s="18">
        <v>24</v>
      </c>
      <c r="AL31" s="25"/>
    </row>
    <row r="32" spans="1:38" ht="23.5" customHeight="1" x14ac:dyDescent="0.2">
      <c r="A32" s="5" t="s">
        <v>56</v>
      </c>
      <c r="B32" s="30"/>
      <c r="C32" s="65"/>
      <c r="D32" s="20"/>
      <c r="E32" s="26"/>
      <c r="F32" s="27"/>
      <c r="G32" s="27"/>
      <c r="H32" s="26"/>
      <c r="I32" s="10"/>
      <c r="J32" s="67"/>
      <c r="K32" s="11"/>
      <c r="L32" s="12"/>
      <c r="M32" s="12"/>
      <c r="N32" s="13">
        <f t="shared" si="6"/>
        <v>0</v>
      </c>
      <c r="O32" s="108"/>
      <c r="P32" s="106"/>
      <c r="Q32" s="106"/>
      <c r="R32" s="68"/>
      <c r="S32" s="15">
        <f t="shared" si="7"/>
        <v>0</v>
      </c>
      <c r="T32" s="15">
        <f t="shared" si="0"/>
        <v>0</v>
      </c>
      <c r="U32" s="15">
        <f t="shared" si="1"/>
        <v>0</v>
      </c>
      <c r="V32" s="15">
        <f t="shared" si="2"/>
        <v>0</v>
      </c>
      <c r="W32" s="15">
        <f t="shared" si="3"/>
        <v>0</v>
      </c>
      <c r="X32" s="15">
        <f t="shared" si="8"/>
        <v>0</v>
      </c>
      <c r="Y32" s="15">
        <f t="shared" si="4"/>
        <v>0</v>
      </c>
      <c r="Z32" s="15">
        <f t="shared" si="9"/>
        <v>0</v>
      </c>
      <c r="AA32" s="15">
        <f t="shared" si="5"/>
        <v>0</v>
      </c>
      <c r="AB32" s="15">
        <f t="shared" si="10"/>
        <v>0</v>
      </c>
      <c r="AC32" s="16">
        <f t="shared" si="11"/>
        <v>0</v>
      </c>
      <c r="AD32" s="16">
        <f t="shared" si="12"/>
        <v>0</v>
      </c>
      <c r="AE32" s="16">
        <f t="shared" si="13"/>
        <v>0</v>
      </c>
      <c r="AF32" s="16">
        <f t="shared" si="14"/>
        <v>0</v>
      </c>
      <c r="AG32" s="16"/>
      <c r="AH32" s="17"/>
      <c r="AI32" s="17">
        <f t="shared" si="15"/>
        <v>0</v>
      </c>
      <c r="AJ32" s="15">
        <f t="shared" si="16"/>
        <v>0</v>
      </c>
      <c r="AK32" s="18">
        <v>25</v>
      </c>
      <c r="AL32" s="25"/>
    </row>
    <row r="33" spans="1:38" ht="23.5" customHeight="1" x14ac:dyDescent="0.2">
      <c r="A33" s="5" t="s">
        <v>57</v>
      </c>
      <c r="B33" s="30"/>
      <c r="C33" s="65"/>
      <c r="D33" s="20"/>
      <c r="E33" s="26"/>
      <c r="F33" s="27"/>
      <c r="G33" s="27"/>
      <c r="H33" s="26"/>
      <c r="I33" s="10"/>
      <c r="J33" s="67"/>
      <c r="K33" s="11"/>
      <c r="L33" s="12"/>
      <c r="M33" s="12"/>
      <c r="N33" s="13">
        <f t="shared" si="6"/>
        <v>0</v>
      </c>
      <c r="O33" s="108"/>
      <c r="P33" s="106"/>
      <c r="Q33" s="106"/>
      <c r="R33" s="68"/>
      <c r="S33" s="15">
        <f t="shared" si="7"/>
        <v>0</v>
      </c>
      <c r="T33" s="15">
        <f t="shared" si="0"/>
        <v>0</v>
      </c>
      <c r="U33" s="15">
        <f t="shared" si="1"/>
        <v>0</v>
      </c>
      <c r="V33" s="15">
        <f t="shared" si="2"/>
        <v>0</v>
      </c>
      <c r="W33" s="15">
        <f t="shared" si="3"/>
        <v>0</v>
      </c>
      <c r="X33" s="15">
        <f t="shared" si="8"/>
        <v>0</v>
      </c>
      <c r="Y33" s="15">
        <f t="shared" si="4"/>
        <v>0</v>
      </c>
      <c r="Z33" s="15">
        <f t="shared" si="9"/>
        <v>0</v>
      </c>
      <c r="AA33" s="15">
        <f t="shared" si="5"/>
        <v>0</v>
      </c>
      <c r="AB33" s="15">
        <f t="shared" si="10"/>
        <v>0</v>
      </c>
      <c r="AC33" s="16">
        <f t="shared" si="11"/>
        <v>0</v>
      </c>
      <c r="AD33" s="16">
        <f t="shared" si="12"/>
        <v>0</v>
      </c>
      <c r="AE33" s="16">
        <f t="shared" si="13"/>
        <v>0</v>
      </c>
      <c r="AF33" s="16">
        <f t="shared" si="14"/>
        <v>0</v>
      </c>
      <c r="AG33" s="16"/>
      <c r="AH33" s="17"/>
      <c r="AI33" s="17">
        <f t="shared" si="15"/>
        <v>0</v>
      </c>
      <c r="AJ33" s="15">
        <f t="shared" si="16"/>
        <v>0</v>
      </c>
      <c r="AK33" s="18">
        <v>26</v>
      </c>
      <c r="AL33" s="25"/>
    </row>
    <row r="34" spans="1:38" ht="23.5" customHeight="1" x14ac:dyDescent="0.2">
      <c r="A34" s="5" t="s">
        <v>58</v>
      </c>
      <c r="B34" s="30"/>
      <c r="C34" s="65"/>
      <c r="D34" s="20"/>
      <c r="E34" s="26"/>
      <c r="F34" s="27"/>
      <c r="G34" s="27"/>
      <c r="H34" s="26"/>
      <c r="I34" s="10"/>
      <c r="J34" s="67"/>
      <c r="K34" s="11"/>
      <c r="L34" s="12"/>
      <c r="M34" s="12"/>
      <c r="N34" s="13">
        <f t="shared" si="6"/>
        <v>0</v>
      </c>
      <c r="O34" s="108"/>
      <c r="P34" s="106"/>
      <c r="Q34" s="106"/>
      <c r="R34" s="68"/>
      <c r="S34" s="15">
        <f t="shared" si="7"/>
        <v>0</v>
      </c>
      <c r="T34" s="15">
        <f t="shared" si="0"/>
        <v>0</v>
      </c>
      <c r="U34" s="15">
        <f t="shared" si="1"/>
        <v>0</v>
      </c>
      <c r="V34" s="15">
        <f t="shared" si="2"/>
        <v>0</v>
      </c>
      <c r="W34" s="15">
        <f t="shared" si="3"/>
        <v>0</v>
      </c>
      <c r="X34" s="15">
        <f t="shared" si="8"/>
        <v>0</v>
      </c>
      <c r="Y34" s="15">
        <f t="shared" si="4"/>
        <v>0</v>
      </c>
      <c r="Z34" s="15">
        <f t="shared" si="9"/>
        <v>0</v>
      </c>
      <c r="AA34" s="15">
        <f t="shared" si="5"/>
        <v>0</v>
      </c>
      <c r="AB34" s="15">
        <f t="shared" si="10"/>
        <v>0</v>
      </c>
      <c r="AC34" s="16">
        <f t="shared" si="11"/>
        <v>0</v>
      </c>
      <c r="AD34" s="16">
        <f t="shared" si="12"/>
        <v>0</v>
      </c>
      <c r="AE34" s="16">
        <f t="shared" si="13"/>
        <v>0</v>
      </c>
      <c r="AF34" s="16">
        <f t="shared" si="14"/>
        <v>0</v>
      </c>
      <c r="AG34" s="16"/>
      <c r="AH34" s="17"/>
      <c r="AI34" s="17">
        <f t="shared" si="15"/>
        <v>0</v>
      </c>
      <c r="AJ34" s="15">
        <f t="shared" si="16"/>
        <v>0</v>
      </c>
      <c r="AK34" s="18">
        <v>27</v>
      </c>
      <c r="AL34" s="43"/>
    </row>
    <row r="35" spans="1:38" ht="23.5" customHeight="1" x14ac:dyDescent="0.2">
      <c r="A35" s="5" t="s">
        <v>59</v>
      </c>
      <c r="B35" s="30"/>
      <c r="C35" s="65"/>
      <c r="D35" s="20"/>
      <c r="E35" s="26"/>
      <c r="F35" s="27"/>
      <c r="G35" s="27"/>
      <c r="H35" s="26"/>
      <c r="I35" s="10"/>
      <c r="J35" s="67"/>
      <c r="K35" s="11"/>
      <c r="L35" s="12"/>
      <c r="M35" s="12"/>
      <c r="N35" s="13">
        <f t="shared" si="6"/>
        <v>0</v>
      </c>
      <c r="O35" s="108"/>
      <c r="P35" s="106"/>
      <c r="Q35" s="106"/>
      <c r="R35" s="68"/>
      <c r="S35" s="15">
        <f t="shared" si="7"/>
        <v>0</v>
      </c>
      <c r="T35" s="15">
        <f t="shared" si="0"/>
        <v>0</v>
      </c>
      <c r="U35" s="15">
        <f t="shared" si="1"/>
        <v>0</v>
      </c>
      <c r="V35" s="15">
        <f t="shared" si="2"/>
        <v>0</v>
      </c>
      <c r="W35" s="15">
        <f t="shared" si="3"/>
        <v>0</v>
      </c>
      <c r="X35" s="15">
        <f t="shared" si="8"/>
        <v>0</v>
      </c>
      <c r="Y35" s="15">
        <f t="shared" si="4"/>
        <v>0</v>
      </c>
      <c r="Z35" s="15">
        <f t="shared" si="9"/>
        <v>0</v>
      </c>
      <c r="AA35" s="15">
        <f t="shared" si="5"/>
        <v>0</v>
      </c>
      <c r="AB35" s="15">
        <f t="shared" si="10"/>
        <v>0</v>
      </c>
      <c r="AC35" s="16">
        <f t="shared" si="11"/>
        <v>0</v>
      </c>
      <c r="AD35" s="16">
        <f t="shared" si="12"/>
        <v>0</v>
      </c>
      <c r="AE35" s="16">
        <f t="shared" si="13"/>
        <v>0</v>
      </c>
      <c r="AF35" s="16">
        <f t="shared" si="14"/>
        <v>0</v>
      </c>
      <c r="AG35" s="16"/>
      <c r="AH35" s="17"/>
      <c r="AI35" s="17">
        <f t="shared" si="15"/>
        <v>0</v>
      </c>
      <c r="AJ35" s="15">
        <f t="shared" si="16"/>
        <v>0</v>
      </c>
      <c r="AK35" s="18">
        <v>28</v>
      </c>
      <c r="AL35" s="25"/>
    </row>
    <row r="36" spans="1:38" ht="23.5" customHeight="1" x14ac:dyDescent="0.2">
      <c r="A36" s="5" t="s">
        <v>60</v>
      </c>
      <c r="B36" s="30"/>
      <c r="C36" s="65"/>
      <c r="D36" s="20"/>
      <c r="E36" s="26"/>
      <c r="F36" s="27"/>
      <c r="G36" s="27"/>
      <c r="H36" s="26"/>
      <c r="I36" s="10"/>
      <c r="J36" s="67"/>
      <c r="K36" s="11"/>
      <c r="L36" s="12"/>
      <c r="M36" s="12"/>
      <c r="N36" s="13">
        <f t="shared" si="6"/>
        <v>0</v>
      </c>
      <c r="O36" s="108"/>
      <c r="P36" s="106"/>
      <c r="Q36" s="106"/>
      <c r="R36" s="68"/>
      <c r="S36" s="15">
        <f t="shared" si="7"/>
        <v>0</v>
      </c>
      <c r="T36" s="15">
        <f t="shared" si="0"/>
        <v>0</v>
      </c>
      <c r="U36" s="15">
        <f t="shared" si="1"/>
        <v>0</v>
      </c>
      <c r="V36" s="15">
        <f t="shared" si="2"/>
        <v>0</v>
      </c>
      <c r="W36" s="15">
        <f t="shared" si="3"/>
        <v>0</v>
      </c>
      <c r="X36" s="15">
        <f t="shared" si="8"/>
        <v>0</v>
      </c>
      <c r="Y36" s="15">
        <f t="shared" si="4"/>
        <v>0</v>
      </c>
      <c r="Z36" s="15">
        <f t="shared" si="9"/>
        <v>0</v>
      </c>
      <c r="AA36" s="15">
        <f t="shared" si="5"/>
        <v>0</v>
      </c>
      <c r="AB36" s="15">
        <f t="shared" si="10"/>
        <v>0</v>
      </c>
      <c r="AC36" s="16">
        <f t="shared" si="11"/>
        <v>0</v>
      </c>
      <c r="AD36" s="16">
        <f t="shared" si="12"/>
        <v>0</v>
      </c>
      <c r="AE36" s="16">
        <f t="shared" si="13"/>
        <v>0</v>
      </c>
      <c r="AF36" s="16">
        <f t="shared" si="14"/>
        <v>0</v>
      </c>
      <c r="AG36" s="16"/>
      <c r="AH36" s="17"/>
      <c r="AI36" s="17">
        <f t="shared" si="15"/>
        <v>0</v>
      </c>
      <c r="AJ36" s="15">
        <f t="shared" si="16"/>
        <v>0</v>
      </c>
      <c r="AK36" s="18">
        <v>29</v>
      </c>
      <c r="AL36" s="43"/>
    </row>
    <row r="37" spans="1:38" ht="23.5" customHeight="1" x14ac:dyDescent="0.2">
      <c r="A37" s="5" t="s">
        <v>61</v>
      </c>
      <c r="B37" s="30"/>
      <c r="C37" s="65"/>
      <c r="D37" s="20"/>
      <c r="E37" s="26"/>
      <c r="F37" s="27"/>
      <c r="G37" s="27"/>
      <c r="H37" s="26"/>
      <c r="I37" s="10"/>
      <c r="J37" s="67"/>
      <c r="K37" s="11"/>
      <c r="L37" s="12"/>
      <c r="M37" s="12"/>
      <c r="N37" s="13">
        <f t="shared" si="6"/>
        <v>0</v>
      </c>
      <c r="O37" s="108"/>
      <c r="P37" s="106"/>
      <c r="Q37" s="106"/>
      <c r="R37" s="68"/>
      <c r="S37" s="15">
        <f t="shared" si="7"/>
        <v>0</v>
      </c>
      <c r="T37" s="15">
        <f t="shared" si="0"/>
        <v>0</v>
      </c>
      <c r="U37" s="15">
        <f t="shared" si="1"/>
        <v>0</v>
      </c>
      <c r="V37" s="15">
        <f t="shared" si="2"/>
        <v>0</v>
      </c>
      <c r="W37" s="15">
        <f t="shared" si="3"/>
        <v>0</v>
      </c>
      <c r="X37" s="15">
        <f t="shared" si="8"/>
        <v>0</v>
      </c>
      <c r="Y37" s="15">
        <f t="shared" si="4"/>
        <v>0</v>
      </c>
      <c r="Z37" s="15">
        <f t="shared" si="9"/>
        <v>0</v>
      </c>
      <c r="AA37" s="15">
        <f t="shared" si="5"/>
        <v>0</v>
      </c>
      <c r="AB37" s="15">
        <f t="shared" si="10"/>
        <v>0</v>
      </c>
      <c r="AC37" s="16">
        <f t="shared" si="11"/>
        <v>0</v>
      </c>
      <c r="AD37" s="16">
        <f t="shared" si="12"/>
        <v>0</v>
      </c>
      <c r="AE37" s="16">
        <f t="shared" si="13"/>
        <v>0</v>
      </c>
      <c r="AF37" s="16">
        <f t="shared" si="14"/>
        <v>0</v>
      </c>
      <c r="AG37" s="16"/>
      <c r="AH37" s="17"/>
      <c r="AI37" s="17">
        <f t="shared" si="15"/>
        <v>0</v>
      </c>
      <c r="AJ37" s="15">
        <f t="shared" si="16"/>
        <v>0</v>
      </c>
      <c r="AK37" s="18">
        <v>30</v>
      </c>
      <c r="AL37" s="25"/>
    </row>
    <row r="38" spans="1:38" ht="23.5" customHeight="1" x14ac:dyDescent="0.2">
      <c r="A38" s="5" t="s">
        <v>62</v>
      </c>
      <c r="B38" s="30"/>
      <c r="C38" s="65"/>
      <c r="D38" s="20"/>
      <c r="E38" s="26"/>
      <c r="F38" s="27"/>
      <c r="G38" s="27"/>
      <c r="H38" s="26"/>
      <c r="I38" s="10"/>
      <c r="J38" s="67"/>
      <c r="K38" s="11"/>
      <c r="L38" s="12"/>
      <c r="M38" s="12"/>
      <c r="N38" s="13">
        <f t="shared" si="6"/>
        <v>0</v>
      </c>
      <c r="O38" s="108"/>
      <c r="P38" s="106"/>
      <c r="Q38" s="106"/>
      <c r="R38" s="68"/>
      <c r="S38" s="15">
        <f t="shared" si="7"/>
        <v>0</v>
      </c>
      <c r="T38" s="15">
        <f t="shared" si="0"/>
        <v>0</v>
      </c>
      <c r="U38" s="15">
        <f t="shared" si="1"/>
        <v>0</v>
      </c>
      <c r="V38" s="15">
        <f t="shared" si="2"/>
        <v>0</v>
      </c>
      <c r="W38" s="15">
        <f t="shared" si="3"/>
        <v>0</v>
      </c>
      <c r="X38" s="15">
        <f t="shared" si="8"/>
        <v>0</v>
      </c>
      <c r="Y38" s="15">
        <f t="shared" si="4"/>
        <v>0</v>
      </c>
      <c r="Z38" s="15">
        <f t="shared" si="9"/>
        <v>0</v>
      </c>
      <c r="AA38" s="15">
        <f t="shared" si="5"/>
        <v>0</v>
      </c>
      <c r="AB38" s="15">
        <f t="shared" si="10"/>
        <v>0</v>
      </c>
      <c r="AC38" s="16">
        <f t="shared" si="11"/>
        <v>0</v>
      </c>
      <c r="AD38" s="16">
        <f t="shared" si="12"/>
        <v>0</v>
      </c>
      <c r="AE38" s="16">
        <f t="shared" si="13"/>
        <v>0</v>
      </c>
      <c r="AF38" s="16">
        <f t="shared" si="14"/>
        <v>0</v>
      </c>
      <c r="AG38" s="16"/>
      <c r="AH38" s="17"/>
      <c r="AI38" s="17">
        <f t="shared" si="15"/>
        <v>0</v>
      </c>
      <c r="AJ38" s="15">
        <f t="shared" si="16"/>
        <v>0</v>
      </c>
      <c r="AK38" s="18">
        <v>31</v>
      </c>
      <c r="AL38" s="25"/>
    </row>
    <row r="39" spans="1:38" ht="23.5" customHeight="1" x14ac:dyDescent="0.2">
      <c r="A39" s="5" t="s">
        <v>63</v>
      </c>
      <c r="B39" s="30"/>
      <c r="C39" s="65"/>
      <c r="D39" s="20"/>
      <c r="E39" s="26"/>
      <c r="F39" s="27"/>
      <c r="G39" s="27"/>
      <c r="H39" s="26"/>
      <c r="I39" s="10"/>
      <c r="J39" s="67"/>
      <c r="K39" s="11"/>
      <c r="L39" s="12"/>
      <c r="M39" s="12"/>
      <c r="N39" s="13">
        <f t="shared" si="6"/>
        <v>0</v>
      </c>
      <c r="O39" s="108"/>
      <c r="P39" s="106"/>
      <c r="Q39" s="106"/>
      <c r="R39" s="68"/>
      <c r="S39" s="15">
        <f t="shared" si="7"/>
        <v>0</v>
      </c>
      <c r="T39" s="15">
        <f t="shared" si="0"/>
        <v>0</v>
      </c>
      <c r="U39" s="15">
        <f t="shared" si="1"/>
        <v>0</v>
      </c>
      <c r="V39" s="15">
        <f t="shared" si="2"/>
        <v>0</v>
      </c>
      <c r="W39" s="15">
        <f t="shared" si="3"/>
        <v>0</v>
      </c>
      <c r="X39" s="15">
        <f t="shared" si="8"/>
        <v>0</v>
      </c>
      <c r="Y39" s="15">
        <f t="shared" si="4"/>
        <v>0</v>
      </c>
      <c r="Z39" s="15">
        <f t="shared" si="9"/>
        <v>0</v>
      </c>
      <c r="AA39" s="15">
        <f t="shared" si="5"/>
        <v>0</v>
      </c>
      <c r="AB39" s="15">
        <f t="shared" si="10"/>
        <v>0</v>
      </c>
      <c r="AC39" s="16">
        <f t="shared" si="11"/>
        <v>0</v>
      </c>
      <c r="AD39" s="16">
        <f t="shared" si="12"/>
        <v>0</v>
      </c>
      <c r="AE39" s="16">
        <f t="shared" si="13"/>
        <v>0</v>
      </c>
      <c r="AF39" s="16">
        <f t="shared" si="14"/>
        <v>0</v>
      </c>
      <c r="AG39" s="16"/>
      <c r="AH39" s="17"/>
      <c r="AI39" s="17">
        <f t="shared" si="15"/>
        <v>0</v>
      </c>
      <c r="AJ39" s="15">
        <f t="shared" si="16"/>
        <v>0</v>
      </c>
      <c r="AK39" s="18">
        <v>32</v>
      </c>
      <c r="AL39" s="25"/>
    </row>
    <row r="40" spans="1:38" ht="23.5" customHeight="1" x14ac:dyDescent="0.2">
      <c r="A40" s="5" t="s">
        <v>64</v>
      </c>
      <c r="B40" s="30"/>
      <c r="C40" s="65"/>
      <c r="D40" s="20"/>
      <c r="E40" s="26"/>
      <c r="F40" s="27"/>
      <c r="G40" s="27"/>
      <c r="H40" s="26"/>
      <c r="I40" s="10"/>
      <c r="J40" s="67"/>
      <c r="K40" s="11"/>
      <c r="L40" s="12"/>
      <c r="M40" s="12"/>
      <c r="N40" s="13">
        <f t="shared" si="6"/>
        <v>0</v>
      </c>
      <c r="O40" s="108"/>
      <c r="P40" s="106"/>
      <c r="Q40" s="106"/>
      <c r="R40" s="68"/>
      <c r="S40" s="15">
        <f t="shared" si="7"/>
        <v>0</v>
      </c>
      <c r="T40" s="15">
        <f t="shared" ref="T40:T71" si="17">ROUND(SUM(S40:S40),0)</f>
        <v>0</v>
      </c>
      <c r="U40" s="15">
        <f t="shared" ref="U40:U71" si="18">I40*K40*40%*O40</f>
        <v>0</v>
      </c>
      <c r="V40" s="15">
        <f t="shared" ref="V40:V71" si="19">IF(P40&gt;=6750,(I40*K40*40%),0)</f>
        <v>0</v>
      </c>
      <c r="W40" s="15">
        <f t="shared" ref="W40:W71" si="20">IF(P40&lt;6750,0,IF(Q40="",0,IF(OR(Q40="KURANG",Q40="SANGAT KURANG"),I40*K40*10%,I40*K40*20%)))</f>
        <v>0</v>
      </c>
      <c r="X40" s="15">
        <f t="shared" si="8"/>
        <v>0</v>
      </c>
      <c r="Y40" s="15">
        <f t="shared" ref="Y40:Y71" si="21">I40*L40</f>
        <v>0</v>
      </c>
      <c r="Z40" s="15">
        <f t="shared" si="9"/>
        <v>0</v>
      </c>
      <c r="AA40" s="15">
        <f t="shared" ref="AA40:AA71" si="22">I40*M40</f>
        <v>0</v>
      </c>
      <c r="AB40" s="15">
        <f t="shared" si="10"/>
        <v>0</v>
      </c>
      <c r="AC40" s="16">
        <f t="shared" si="11"/>
        <v>0</v>
      </c>
      <c r="AD40" s="16">
        <f t="shared" si="12"/>
        <v>0</v>
      </c>
      <c r="AE40" s="16">
        <f t="shared" si="13"/>
        <v>0</v>
      </c>
      <c r="AF40" s="16">
        <f t="shared" si="14"/>
        <v>0</v>
      </c>
      <c r="AG40" s="16"/>
      <c r="AH40" s="17"/>
      <c r="AI40" s="17">
        <f t="shared" si="15"/>
        <v>0</v>
      </c>
      <c r="AJ40" s="15">
        <f t="shared" si="16"/>
        <v>0</v>
      </c>
      <c r="AK40" s="18">
        <v>33</v>
      </c>
      <c r="AL40" s="25"/>
    </row>
    <row r="41" spans="1:38" ht="23.5" customHeight="1" x14ac:dyDescent="0.2">
      <c r="A41" s="5" t="s">
        <v>65</v>
      </c>
      <c r="B41" s="30"/>
      <c r="C41" s="65"/>
      <c r="D41" s="20"/>
      <c r="E41" s="26"/>
      <c r="F41" s="27"/>
      <c r="G41" s="27"/>
      <c r="H41" s="26"/>
      <c r="I41" s="10"/>
      <c r="J41" s="67"/>
      <c r="K41" s="11"/>
      <c r="L41" s="12"/>
      <c r="M41" s="12"/>
      <c r="N41" s="13">
        <f t="shared" si="6"/>
        <v>0</v>
      </c>
      <c r="O41" s="108"/>
      <c r="P41" s="106"/>
      <c r="Q41" s="106"/>
      <c r="R41" s="68"/>
      <c r="S41" s="15">
        <f t="shared" si="7"/>
        <v>0</v>
      </c>
      <c r="T41" s="15">
        <f t="shared" si="17"/>
        <v>0</v>
      </c>
      <c r="U41" s="15">
        <f t="shared" si="18"/>
        <v>0</v>
      </c>
      <c r="V41" s="15">
        <f t="shared" si="19"/>
        <v>0</v>
      </c>
      <c r="W41" s="15">
        <f t="shared" si="20"/>
        <v>0</v>
      </c>
      <c r="X41" s="15">
        <f t="shared" si="8"/>
        <v>0</v>
      </c>
      <c r="Y41" s="15">
        <f t="shared" si="21"/>
        <v>0</v>
      </c>
      <c r="Z41" s="15">
        <f t="shared" si="9"/>
        <v>0</v>
      </c>
      <c r="AA41" s="15">
        <f t="shared" si="22"/>
        <v>0</v>
      </c>
      <c r="AB41" s="15">
        <f t="shared" si="10"/>
        <v>0</v>
      </c>
      <c r="AC41" s="16">
        <f t="shared" si="11"/>
        <v>0</v>
      </c>
      <c r="AD41" s="16">
        <f t="shared" si="12"/>
        <v>0</v>
      </c>
      <c r="AE41" s="16">
        <f t="shared" si="13"/>
        <v>0</v>
      </c>
      <c r="AF41" s="16">
        <f t="shared" si="14"/>
        <v>0</v>
      </c>
      <c r="AG41" s="16"/>
      <c r="AH41" s="17"/>
      <c r="AI41" s="17">
        <f t="shared" si="15"/>
        <v>0</v>
      </c>
      <c r="AJ41" s="15">
        <f t="shared" si="16"/>
        <v>0</v>
      </c>
      <c r="AK41" s="18">
        <v>34</v>
      </c>
      <c r="AL41" s="25"/>
    </row>
    <row r="42" spans="1:38" ht="23.5" customHeight="1" x14ac:dyDescent="0.2">
      <c r="A42" s="5" t="s">
        <v>66</v>
      </c>
      <c r="B42" s="30"/>
      <c r="C42" s="65"/>
      <c r="D42" s="20"/>
      <c r="E42" s="26"/>
      <c r="F42" s="27"/>
      <c r="G42" s="27"/>
      <c r="H42" s="26"/>
      <c r="I42" s="10"/>
      <c r="J42" s="67"/>
      <c r="K42" s="11"/>
      <c r="L42" s="12"/>
      <c r="M42" s="12"/>
      <c r="N42" s="13">
        <f t="shared" si="6"/>
        <v>0</v>
      </c>
      <c r="O42" s="108"/>
      <c r="P42" s="106"/>
      <c r="Q42" s="106"/>
      <c r="R42" s="68"/>
      <c r="S42" s="15">
        <f t="shared" si="7"/>
        <v>0</v>
      </c>
      <c r="T42" s="15">
        <f t="shared" si="17"/>
        <v>0</v>
      </c>
      <c r="U42" s="15">
        <f t="shared" si="18"/>
        <v>0</v>
      </c>
      <c r="V42" s="15">
        <f t="shared" si="19"/>
        <v>0</v>
      </c>
      <c r="W42" s="15">
        <f t="shared" si="20"/>
        <v>0</v>
      </c>
      <c r="X42" s="15">
        <f t="shared" si="8"/>
        <v>0</v>
      </c>
      <c r="Y42" s="15">
        <f t="shared" si="21"/>
        <v>0</v>
      </c>
      <c r="Z42" s="15">
        <f t="shared" si="9"/>
        <v>0</v>
      </c>
      <c r="AA42" s="15">
        <f t="shared" si="22"/>
        <v>0</v>
      </c>
      <c r="AB42" s="15">
        <f t="shared" si="10"/>
        <v>0</v>
      </c>
      <c r="AC42" s="16">
        <f t="shared" si="11"/>
        <v>0</v>
      </c>
      <c r="AD42" s="16">
        <f t="shared" si="12"/>
        <v>0</v>
      </c>
      <c r="AE42" s="16">
        <f t="shared" si="13"/>
        <v>0</v>
      </c>
      <c r="AF42" s="16">
        <f t="shared" si="14"/>
        <v>0</v>
      </c>
      <c r="AG42" s="16"/>
      <c r="AH42" s="17"/>
      <c r="AI42" s="17">
        <f t="shared" si="15"/>
        <v>0</v>
      </c>
      <c r="AJ42" s="15">
        <f t="shared" si="16"/>
        <v>0</v>
      </c>
      <c r="AK42" s="18">
        <v>35</v>
      </c>
      <c r="AL42" s="25"/>
    </row>
    <row r="43" spans="1:38" ht="23.5" customHeight="1" x14ac:dyDescent="0.2">
      <c r="A43" s="5" t="s">
        <v>67</v>
      </c>
      <c r="B43" s="30"/>
      <c r="C43" s="65"/>
      <c r="D43" s="20"/>
      <c r="E43" s="26"/>
      <c r="F43" s="27"/>
      <c r="G43" s="27"/>
      <c r="H43" s="26"/>
      <c r="I43" s="10"/>
      <c r="J43" s="67"/>
      <c r="K43" s="11"/>
      <c r="L43" s="12"/>
      <c r="M43" s="12"/>
      <c r="N43" s="13">
        <f t="shared" si="6"/>
        <v>0</v>
      </c>
      <c r="O43" s="108"/>
      <c r="P43" s="106"/>
      <c r="Q43" s="106"/>
      <c r="R43" s="68"/>
      <c r="S43" s="15">
        <f t="shared" si="7"/>
        <v>0</v>
      </c>
      <c r="T43" s="15">
        <f t="shared" si="17"/>
        <v>0</v>
      </c>
      <c r="U43" s="15">
        <f t="shared" si="18"/>
        <v>0</v>
      </c>
      <c r="V43" s="15">
        <f t="shared" si="19"/>
        <v>0</v>
      </c>
      <c r="W43" s="15">
        <f t="shared" si="20"/>
        <v>0</v>
      </c>
      <c r="X43" s="15">
        <f t="shared" si="8"/>
        <v>0</v>
      </c>
      <c r="Y43" s="15">
        <f t="shared" si="21"/>
        <v>0</v>
      </c>
      <c r="Z43" s="15">
        <f t="shared" si="9"/>
        <v>0</v>
      </c>
      <c r="AA43" s="15">
        <f t="shared" si="22"/>
        <v>0</v>
      </c>
      <c r="AB43" s="15">
        <f t="shared" si="10"/>
        <v>0</v>
      </c>
      <c r="AC43" s="16">
        <f t="shared" si="11"/>
        <v>0</v>
      </c>
      <c r="AD43" s="16">
        <f t="shared" si="12"/>
        <v>0</v>
      </c>
      <c r="AE43" s="16">
        <f t="shared" si="13"/>
        <v>0</v>
      </c>
      <c r="AF43" s="16">
        <f t="shared" si="14"/>
        <v>0</v>
      </c>
      <c r="AG43" s="16"/>
      <c r="AH43" s="17"/>
      <c r="AI43" s="17">
        <f t="shared" si="15"/>
        <v>0</v>
      </c>
      <c r="AJ43" s="15">
        <f t="shared" si="16"/>
        <v>0</v>
      </c>
      <c r="AK43" s="18">
        <v>36</v>
      </c>
      <c r="AL43" s="43"/>
    </row>
    <row r="44" spans="1:38" ht="23.5" customHeight="1" x14ac:dyDescent="0.2">
      <c r="A44" s="5" t="s">
        <v>68</v>
      </c>
      <c r="B44" s="30"/>
      <c r="C44" s="65"/>
      <c r="D44" s="20"/>
      <c r="E44" s="26"/>
      <c r="F44" s="27"/>
      <c r="G44" s="27"/>
      <c r="H44" s="26"/>
      <c r="I44" s="10"/>
      <c r="J44" s="67"/>
      <c r="K44" s="11"/>
      <c r="L44" s="12"/>
      <c r="M44" s="12"/>
      <c r="N44" s="13">
        <f t="shared" si="6"/>
        <v>0</v>
      </c>
      <c r="O44" s="108"/>
      <c r="P44" s="106"/>
      <c r="Q44" s="106"/>
      <c r="R44" s="68"/>
      <c r="S44" s="15">
        <f t="shared" si="7"/>
        <v>0</v>
      </c>
      <c r="T44" s="15">
        <f t="shared" si="17"/>
        <v>0</v>
      </c>
      <c r="U44" s="15">
        <f t="shared" si="18"/>
        <v>0</v>
      </c>
      <c r="V44" s="15">
        <f t="shared" si="19"/>
        <v>0</v>
      </c>
      <c r="W44" s="15">
        <f t="shared" si="20"/>
        <v>0</v>
      </c>
      <c r="X44" s="15">
        <f t="shared" si="8"/>
        <v>0</v>
      </c>
      <c r="Y44" s="15">
        <f t="shared" si="21"/>
        <v>0</v>
      </c>
      <c r="Z44" s="15">
        <f t="shared" si="9"/>
        <v>0</v>
      </c>
      <c r="AA44" s="15">
        <f t="shared" si="22"/>
        <v>0</v>
      </c>
      <c r="AB44" s="15">
        <f t="shared" si="10"/>
        <v>0</v>
      </c>
      <c r="AC44" s="16">
        <f t="shared" si="11"/>
        <v>0</v>
      </c>
      <c r="AD44" s="16">
        <f t="shared" si="12"/>
        <v>0</v>
      </c>
      <c r="AE44" s="16">
        <f t="shared" si="13"/>
        <v>0</v>
      </c>
      <c r="AF44" s="16">
        <f t="shared" si="14"/>
        <v>0</v>
      </c>
      <c r="AG44" s="16"/>
      <c r="AH44" s="17"/>
      <c r="AI44" s="17">
        <f t="shared" si="15"/>
        <v>0</v>
      </c>
      <c r="AJ44" s="15">
        <f t="shared" si="16"/>
        <v>0</v>
      </c>
      <c r="AK44" s="18">
        <v>37</v>
      </c>
      <c r="AL44" s="25"/>
    </row>
    <row r="45" spans="1:38" ht="23.5" customHeight="1" x14ac:dyDescent="0.2">
      <c r="A45" s="5" t="s">
        <v>69</v>
      </c>
      <c r="B45" s="30"/>
      <c r="C45" s="65"/>
      <c r="D45" s="20"/>
      <c r="E45" s="26"/>
      <c r="F45" s="27"/>
      <c r="G45" s="27"/>
      <c r="H45" s="26"/>
      <c r="I45" s="10"/>
      <c r="J45" s="67"/>
      <c r="K45" s="11"/>
      <c r="L45" s="12"/>
      <c r="M45" s="12"/>
      <c r="N45" s="13">
        <f t="shared" si="6"/>
        <v>0</v>
      </c>
      <c r="O45" s="108"/>
      <c r="P45" s="106"/>
      <c r="Q45" s="106"/>
      <c r="R45" s="68"/>
      <c r="S45" s="15">
        <f t="shared" si="7"/>
        <v>0</v>
      </c>
      <c r="T45" s="15">
        <f t="shared" si="17"/>
        <v>0</v>
      </c>
      <c r="U45" s="15">
        <f t="shared" si="18"/>
        <v>0</v>
      </c>
      <c r="V45" s="15">
        <f t="shared" si="19"/>
        <v>0</v>
      </c>
      <c r="W45" s="15">
        <f t="shared" si="20"/>
        <v>0</v>
      </c>
      <c r="X45" s="15">
        <f t="shared" si="8"/>
        <v>0</v>
      </c>
      <c r="Y45" s="15">
        <f t="shared" si="21"/>
        <v>0</v>
      </c>
      <c r="Z45" s="15">
        <f t="shared" si="9"/>
        <v>0</v>
      </c>
      <c r="AA45" s="15">
        <f t="shared" si="22"/>
        <v>0</v>
      </c>
      <c r="AB45" s="15">
        <f t="shared" si="10"/>
        <v>0</v>
      </c>
      <c r="AC45" s="16">
        <f t="shared" si="11"/>
        <v>0</v>
      </c>
      <c r="AD45" s="16">
        <f t="shared" si="12"/>
        <v>0</v>
      </c>
      <c r="AE45" s="16">
        <f t="shared" si="13"/>
        <v>0</v>
      </c>
      <c r="AF45" s="16">
        <f t="shared" si="14"/>
        <v>0</v>
      </c>
      <c r="AG45" s="16"/>
      <c r="AH45" s="17"/>
      <c r="AI45" s="17">
        <f t="shared" si="15"/>
        <v>0</v>
      </c>
      <c r="AJ45" s="15">
        <f t="shared" si="16"/>
        <v>0</v>
      </c>
      <c r="AK45" s="18">
        <v>38</v>
      </c>
      <c r="AL45" s="43"/>
    </row>
    <row r="46" spans="1:38" ht="23.5" customHeight="1" x14ac:dyDescent="0.2">
      <c r="A46" s="5" t="s">
        <v>70</v>
      </c>
      <c r="B46" s="30"/>
      <c r="C46" s="65"/>
      <c r="D46" s="20"/>
      <c r="E46" s="26"/>
      <c r="F46" s="27"/>
      <c r="G46" s="27"/>
      <c r="H46" s="26"/>
      <c r="I46" s="10"/>
      <c r="J46" s="67"/>
      <c r="K46" s="11"/>
      <c r="L46" s="12"/>
      <c r="M46" s="12"/>
      <c r="N46" s="13">
        <f t="shared" si="6"/>
        <v>0</v>
      </c>
      <c r="O46" s="108"/>
      <c r="P46" s="106"/>
      <c r="Q46" s="106"/>
      <c r="R46" s="68"/>
      <c r="S46" s="15">
        <f t="shared" si="7"/>
        <v>0</v>
      </c>
      <c r="T46" s="15">
        <f t="shared" si="17"/>
        <v>0</v>
      </c>
      <c r="U46" s="15">
        <f t="shared" si="18"/>
        <v>0</v>
      </c>
      <c r="V46" s="15">
        <f t="shared" si="19"/>
        <v>0</v>
      </c>
      <c r="W46" s="15">
        <f t="shared" si="20"/>
        <v>0</v>
      </c>
      <c r="X46" s="15">
        <f t="shared" si="8"/>
        <v>0</v>
      </c>
      <c r="Y46" s="15">
        <f t="shared" si="21"/>
        <v>0</v>
      </c>
      <c r="Z46" s="15">
        <f t="shared" si="9"/>
        <v>0</v>
      </c>
      <c r="AA46" s="15">
        <f t="shared" si="22"/>
        <v>0</v>
      </c>
      <c r="AB46" s="15">
        <f t="shared" si="10"/>
        <v>0</v>
      </c>
      <c r="AC46" s="16">
        <f t="shared" si="11"/>
        <v>0</v>
      </c>
      <c r="AD46" s="16">
        <f t="shared" si="12"/>
        <v>0</v>
      </c>
      <c r="AE46" s="16">
        <f t="shared" si="13"/>
        <v>0</v>
      </c>
      <c r="AF46" s="16">
        <f t="shared" si="14"/>
        <v>0</v>
      </c>
      <c r="AG46" s="16"/>
      <c r="AH46" s="17"/>
      <c r="AI46" s="17">
        <f t="shared" si="15"/>
        <v>0</v>
      </c>
      <c r="AJ46" s="15">
        <f t="shared" si="16"/>
        <v>0</v>
      </c>
      <c r="AK46" s="18">
        <v>39</v>
      </c>
      <c r="AL46" s="25"/>
    </row>
    <row r="47" spans="1:38" ht="23.5" customHeight="1" x14ac:dyDescent="0.2">
      <c r="A47" s="5" t="s">
        <v>71</v>
      </c>
      <c r="B47" s="30"/>
      <c r="C47" s="65"/>
      <c r="D47" s="20"/>
      <c r="E47" s="26"/>
      <c r="F47" s="27"/>
      <c r="G47" s="27"/>
      <c r="H47" s="26"/>
      <c r="I47" s="10"/>
      <c r="J47" s="67"/>
      <c r="K47" s="11"/>
      <c r="L47" s="12"/>
      <c r="M47" s="12"/>
      <c r="N47" s="13">
        <f t="shared" si="6"/>
        <v>0</v>
      </c>
      <c r="O47" s="108"/>
      <c r="P47" s="106"/>
      <c r="Q47" s="106"/>
      <c r="R47" s="68"/>
      <c r="S47" s="15">
        <f t="shared" si="7"/>
        <v>0</v>
      </c>
      <c r="T47" s="15">
        <f t="shared" si="17"/>
        <v>0</v>
      </c>
      <c r="U47" s="15">
        <f t="shared" si="18"/>
        <v>0</v>
      </c>
      <c r="V47" s="15">
        <f t="shared" si="19"/>
        <v>0</v>
      </c>
      <c r="W47" s="15">
        <f t="shared" si="20"/>
        <v>0</v>
      </c>
      <c r="X47" s="15">
        <f t="shared" si="8"/>
        <v>0</v>
      </c>
      <c r="Y47" s="15">
        <f t="shared" si="21"/>
        <v>0</v>
      </c>
      <c r="Z47" s="15">
        <f t="shared" si="9"/>
        <v>0</v>
      </c>
      <c r="AA47" s="15">
        <f t="shared" si="22"/>
        <v>0</v>
      </c>
      <c r="AB47" s="15">
        <f t="shared" si="10"/>
        <v>0</v>
      </c>
      <c r="AC47" s="16">
        <f t="shared" si="11"/>
        <v>0</v>
      </c>
      <c r="AD47" s="16">
        <f t="shared" si="12"/>
        <v>0</v>
      </c>
      <c r="AE47" s="16">
        <f t="shared" si="13"/>
        <v>0</v>
      </c>
      <c r="AF47" s="16">
        <f t="shared" si="14"/>
        <v>0</v>
      </c>
      <c r="AG47" s="16"/>
      <c r="AH47" s="17"/>
      <c r="AI47" s="17">
        <f t="shared" si="15"/>
        <v>0</v>
      </c>
      <c r="AJ47" s="15">
        <f t="shared" si="16"/>
        <v>0</v>
      </c>
      <c r="AK47" s="18">
        <v>40</v>
      </c>
      <c r="AL47" s="25"/>
    </row>
    <row r="48" spans="1:38" ht="23.5" customHeight="1" x14ac:dyDescent="0.2">
      <c r="A48" s="5" t="s">
        <v>72</v>
      </c>
      <c r="B48" s="30"/>
      <c r="C48" s="65"/>
      <c r="D48" s="20"/>
      <c r="E48" s="26"/>
      <c r="F48" s="27"/>
      <c r="G48" s="27"/>
      <c r="H48" s="26"/>
      <c r="I48" s="10"/>
      <c r="J48" s="67"/>
      <c r="K48" s="11"/>
      <c r="L48" s="12"/>
      <c r="M48" s="12"/>
      <c r="N48" s="13">
        <f t="shared" si="6"/>
        <v>0</v>
      </c>
      <c r="O48" s="108"/>
      <c r="P48" s="106"/>
      <c r="Q48" s="106"/>
      <c r="R48" s="68"/>
      <c r="S48" s="15">
        <f t="shared" si="7"/>
        <v>0</v>
      </c>
      <c r="T48" s="15">
        <f t="shared" si="17"/>
        <v>0</v>
      </c>
      <c r="U48" s="15">
        <f t="shared" si="18"/>
        <v>0</v>
      </c>
      <c r="V48" s="15">
        <f t="shared" si="19"/>
        <v>0</v>
      </c>
      <c r="W48" s="15">
        <f t="shared" si="20"/>
        <v>0</v>
      </c>
      <c r="X48" s="15">
        <f t="shared" si="8"/>
        <v>0</v>
      </c>
      <c r="Y48" s="15">
        <f t="shared" si="21"/>
        <v>0</v>
      </c>
      <c r="Z48" s="15">
        <f t="shared" si="9"/>
        <v>0</v>
      </c>
      <c r="AA48" s="15">
        <f t="shared" si="22"/>
        <v>0</v>
      </c>
      <c r="AB48" s="15">
        <f t="shared" si="10"/>
        <v>0</v>
      </c>
      <c r="AC48" s="16">
        <f t="shared" si="11"/>
        <v>0</v>
      </c>
      <c r="AD48" s="16">
        <f t="shared" si="12"/>
        <v>0</v>
      </c>
      <c r="AE48" s="16">
        <f t="shared" si="13"/>
        <v>0</v>
      </c>
      <c r="AF48" s="16">
        <f t="shared" si="14"/>
        <v>0</v>
      </c>
      <c r="AG48" s="16"/>
      <c r="AH48" s="17"/>
      <c r="AI48" s="17">
        <f t="shared" si="15"/>
        <v>0</v>
      </c>
      <c r="AJ48" s="15">
        <f t="shared" si="16"/>
        <v>0</v>
      </c>
      <c r="AK48" s="18">
        <v>41</v>
      </c>
      <c r="AL48" s="25"/>
    </row>
    <row r="49" spans="1:38" ht="23.5" customHeight="1" x14ac:dyDescent="0.2">
      <c r="A49" s="5" t="s">
        <v>73</v>
      </c>
      <c r="B49" s="30"/>
      <c r="C49" s="65"/>
      <c r="D49" s="20"/>
      <c r="E49" s="26"/>
      <c r="F49" s="27"/>
      <c r="G49" s="27"/>
      <c r="H49" s="26"/>
      <c r="I49" s="10"/>
      <c r="J49" s="67"/>
      <c r="K49" s="11"/>
      <c r="L49" s="12"/>
      <c r="M49" s="12"/>
      <c r="N49" s="13">
        <f t="shared" si="6"/>
        <v>0</v>
      </c>
      <c r="O49" s="108"/>
      <c r="P49" s="106"/>
      <c r="Q49" s="106"/>
      <c r="R49" s="68"/>
      <c r="S49" s="15">
        <f t="shared" si="7"/>
        <v>0</v>
      </c>
      <c r="T49" s="15">
        <f t="shared" si="17"/>
        <v>0</v>
      </c>
      <c r="U49" s="15">
        <f t="shared" si="18"/>
        <v>0</v>
      </c>
      <c r="V49" s="15">
        <f t="shared" si="19"/>
        <v>0</v>
      </c>
      <c r="W49" s="15">
        <f t="shared" si="20"/>
        <v>0</v>
      </c>
      <c r="X49" s="15">
        <f t="shared" si="8"/>
        <v>0</v>
      </c>
      <c r="Y49" s="15">
        <f t="shared" si="21"/>
        <v>0</v>
      </c>
      <c r="Z49" s="15">
        <f t="shared" si="9"/>
        <v>0</v>
      </c>
      <c r="AA49" s="15">
        <f t="shared" si="22"/>
        <v>0</v>
      </c>
      <c r="AB49" s="15">
        <f t="shared" si="10"/>
        <v>0</v>
      </c>
      <c r="AC49" s="16">
        <f t="shared" si="11"/>
        <v>0</v>
      </c>
      <c r="AD49" s="16">
        <f t="shared" si="12"/>
        <v>0</v>
      </c>
      <c r="AE49" s="16">
        <f t="shared" si="13"/>
        <v>0</v>
      </c>
      <c r="AF49" s="16">
        <f t="shared" si="14"/>
        <v>0</v>
      </c>
      <c r="AG49" s="16"/>
      <c r="AH49" s="17"/>
      <c r="AI49" s="17">
        <f t="shared" si="15"/>
        <v>0</v>
      </c>
      <c r="AJ49" s="15">
        <f t="shared" si="16"/>
        <v>0</v>
      </c>
      <c r="AK49" s="18">
        <v>42</v>
      </c>
      <c r="AL49" s="25"/>
    </row>
    <row r="50" spans="1:38" ht="23.5" customHeight="1" x14ac:dyDescent="0.2">
      <c r="A50" s="5" t="s">
        <v>74</v>
      </c>
      <c r="B50" s="30"/>
      <c r="C50" s="65"/>
      <c r="D50" s="20"/>
      <c r="E50" s="26"/>
      <c r="F50" s="27"/>
      <c r="G50" s="27"/>
      <c r="H50" s="26"/>
      <c r="I50" s="10"/>
      <c r="J50" s="67"/>
      <c r="K50" s="11"/>
      <c r="L50" s="12"/>
      <c r="M50" s="12"/>
      <c r="N50" s="13">
        <f t="shared" si="6"/>
        <v>0</v>
      </c>
      <c r="O50" s="108"/>
      <c r="P50" s="106"/>
      <c r="Q50" s="106"/>
      <c r="R50" s="68"/>
      <c r="S50" s="15">
        <f t="shared" si="7"/>
        <v>0</v>
      </c>
      <c r="T50" s="15">
        <f t="shared" si="17"/>
        <v>0</v>
      </c>
      <c r="U50" s="15">
        <f t="shared" si="18"/>
        <v>0</v>
      </c>
      <c r="V50" s="15">
        <f t="shared" si="19"/>
        <v>0</v>
      </c>
      <c r="W50" s="15">
        <f t="shared" si="20"/>
        <v>0</v>
      </c>
      <c r="X50" s="15">
        <f t="shared" si="8"/>
        <v>0</v>
      </c>
      <c r="Y50" s="15">
        <f t="shared" si="21"/>
        <v>0</v>
      </c>
      <c r="Z50" s="15">
        <f t="shared" si="9"/>
        <v>0</v>
      </c>
      <c r="AA50" s="15">
        <f t="shared" si="22"/>
        <v>0</v>
      </c>
      <c r="AB50" s="15">
        <f t="shared" si="10"/>
        <v>0</v>
      </c>
      <c r="AC50" s="16">
        <f t="shared" si="11"/>
        <v>0</v>
      </c>
      <c r="AD50" s="16">
        <f t="shared" si="12"/>
        <v>0</v>
      </c>
      <c r="AE50" s="16">
        <f t="shared" si="13"/>
        <v>0</v>
      </c>
      <c r="AF50" s="16">
        <f t="shared" si="14"/>
        <v>0</v>
      </c>
      <c r="AG50" s="16"/>
      <c r="AH50" s="17"/>
      <c r="AI50" s="17">
        <f t="shared" si="15"/>
        <v>0</v>
      </c>
      <c r="AJ50" s="15">
        <f t="shared" si="16"/>
        <v>0</v>
      </c>
      <c r="AK50" s="18">
        <v>43</v>
      </c>
      <c r="AL50" s="25"/>
    </row>
    <row r="51" spans="1:38" ht="23.5" customHeight="1" x14ac:dyDescent="0.2">
      <c r="A51" s="5" t="s">
        <v>75</v>
      </c>
      <c r="B51" s="30"/>
      <c r="C51" s="65"/>
      <c r="D51" s="20"/>
      <c r="E51" s="26"/>
      <c r="F51" s="27"/>
      <c r="G51" s="27"/>
      <c r="H51" s="26"/>
      <c r="I51" s="10"/>
      <c r="J51" s="67"/>
      <c r="K51" s="11"/>
      <c r="L51" s="12"/>
      <c r="M51" s="12"/>
      <c r="N51" s="13">
        <f t="shared" si="6"/>
        <v>0</v>
      </c>
      <c r="O51" s="108"/>
      <c r="P51" s="106"/>
      <c r="Q51" s="106"/>
      <c r="R51" s="68"/>
      <c r="S51" s="15">
        <f t="shared" si="7"/>
        <v>0</v>
      </c>
      <c r="T51" s="15">
        <f t="shared" si="17"/>
        <v>0</v>
      </c>
      <c r="U51" s="15">
        <f t="shared" si="18"/>
        <v>0</v>
      </c>
      <c r="V51" s="15">
        <f t="shared" si="19"/>
        <v>0</v>
      </c>
      <c r="W51" s="15">
        <f t="shared" si="20"/>
        <v>0</v>
      </c>
      <c r="X51" s="15">
        <f t="shared" si="8"/>
        <v>0</v>
      </c>
      <c r="Y51" s="15">
        <f t="shared" si="21"/>
        <v>0</v>
      </c>
      <c r="Z51" s="15">
        <f t="shared" si="9"/>
        <v>0</v>
      </c>
      <c r="AA51" s="15">
        <f t="shared" si="22"/>
        <v>0</v>
      </c>
      <c r="AB51" s="15">
        <f t="shared" si="10"/>
        <v>0</v>
      </c>
      <c r="AC51" s="16">
        <f t="shared" si="11"/>
        <v>0</v>
      </c>
      <c r="AD51" s="16">
        <f t="shared" si="12"/>
        <v>0</v>
      </c>
      <c r="AE51" s="16">
        <f t="shared" si="13"/>
        <v>0</v>
      </c>
      <c r="AF51" s="16">
        <f t="shared" si="14"/>
        <v>0</v>
      </c>
      <c r="AG51" s="16"/>
      <c r="AH51" s="17"/>
      <c r="AI51" s="17">
        <f t="shared" si="15"/>
        <v>0</v>
      </c>
      <c r="AJ51" s="15">
        <f t="shared" si="16"/>
        <v>0</v>
      </c>
      <c r="AK51" s="18">
        <v>44</v>
      </c>
      <c r="AL51" s="43"/>
    </row>
    <row r="52" spans="1:38" ht="23.5" customHeight="1" x14ac:dyDescent="0.2">
      <c r="A52" s="5" t="s">
        <v>76</v>
      </c>
      <c r="B52" s="30"/>
      <c r="C52" s="65"/>
      <c r="D52" s="20"/>
      <c r="E52" s="26"/>
      <c r="F52" s="27"/>
      <c r="G52" s="27"/>
      <c r="H52" s="26"/>
      <c r="I52" s="10"/>
      <c r="J52" s="67"/>
      <c r="K52" s="11"/>
      <c r="L52" s="12"/>
      <c r="M52" s="12"/>
      <c r="N52" s="13">
        <f t="shared" si="6"/>
        <v>0</v>
      </c>
      <c r="O52" s="108"/>
      <c r="P52" s="106"/>
      <c r="Q52" s="106"/>
      <c r="R52" s="68"/>
      <c r="S52" s="15">
        <f t="shared" si="7"/>
        <v>0</v>
      </c>
      <c r="T52" s="15">
        <f t="shared" si="17"/>
        <v>0</v>
      </c>
      <c r="U52" s="15">
        <f t="shared" si="18"/>
        <v>0</v>
      </c>
      <c r="V52" s="15">
        <f t="shared" si="19"/>
        <v>0</v>
      </c>
      <c r="W52" s="15">
        <f t="shared" si="20"/>
        <v>0</v>
      </c>
      <c r="X52" s="15">
        <f t="shared" si="8"/>
        <v>0</v>
      </c>
      <c r="Y52" s="15">
        <f t="shared" si="21"/>
        <v>0</v>
      </c>
      <c r="Z52" s="15">
        <f t="shared" si="9"/>
        <v>0</v>
      </c>
      <c r="AA52" s="15">
        <f t="shared" si="22"/>
        <v>0</v>
      </c>
      <c r="AB52" s="15">
        <f t="shared" si="10"/>
        <v>0</v>
      </c>
      <c r="AC52" s="16">
        <f t="shared" si="11"/>
        <v>0</v>
      </c>
      <c r="AD52" s="16">
        <f t="shared" si="12"/>
        <v>0</v>
      </c>
      <c r="AE52" s="16">
        <f t="shared" si="13"/>
        <v>0</v>
      </c>
      <c r="AF52" s="16">
        <f t="shared" si="14"/>
        <v>0</v>
      </c>
      <c r="AG52" s="16"/>
      <c r="AH52" s="17"/>
      <c r="AI52" s="17">
        <f t="shared" si="15"/>
        <v>0</v>
      </c>
      <c r="AJ52" s="15">
        <f t="shared" si="16"/>
        <v>0</v>
      </c>
      <c r="AK52" s="18">
        <v>45</v>
      </c>
      <c r="AL52" s="25"/>
    </row>
    <row r="53" spans="1:38" ht="23.5" customHeight="1" x14ac:dyDescent="0.2">
      <c r="A53" s="5" t="s">
        <v>83</v>
      </c>
      <c r="B53" s="26"/>
      <c r="C53" s="65"/>
      <c r="D53" s="20"/>
      <c r="E53" s="26"/>
      <c r="F53" s="27"/>
      <c r="G53" s="27"/>
      <c r="H53" s="26"/>
      <c r="I53" s="10"/>
      <c r="J53" s="67"/>
      <c r="K53" s="11"/>
      <c r="L53" s="12"/>
      <c r="M53" s="12"/>
      <c r="N53" s="13">
        <f t="shared" si="6"/>
        <v>0</v>
      </c>
      <c r="O53" s="108"/>
      <c r="P53" s="106"/>
      <c r="Q53" s="106"/>
      <c r="R53" s="68"/>
      <c r="S53" s="15">
        <f t="shared" si="7"/>
        <v>0</v>
      </c>
      <c r="T53" s="15">
        <f t="shared" si="17"/>
        <v>0</v>
      </c>
      <c r="U53" s="15">
        <f t="shared" si="18"/>
        <v>0</v>
      </c>
      <c r="V53" s="15">
        <f t="shared" si="19"/>
        <v>0</v>
      </c>
      <c r="W53" s="15">
        <f t="shared" si="20"/>
        <v>0</v>
      </c>
      <c r="X53" s="15">
        <f t="shared" si="8"/>
        <v>0</v>
      </c>
      <c r="Y53" s="15">
        <f t="shared" si="21"/>
        <v>0</v>
      </c>
      <c r="Z53" s="15">
        <f t="shared" si="9"/>
        <v>0</v>
      </c>
      <c r="AA53" s="15">
        <f t="shared" si="22"/>
        <v>0</v>
      </c>
      <c r="AB53" s="15">
        <f t="shared" si="10"/>
        <v>0</v>
      </c>
      <c r="AC53" s="16">
        <f t="shared" si="11"/>
        <v>0</v>
      </c>
      <c r="AD53" s="16">
        <f t="shared" si="12"/>
        <v>0</v>
      </c>
      <c r="AE53" s="16">
        <f t="shared" si="13"/>
        <v>0</v>
      </c>
      <c r="AF53" s="16">
        <f t="shared" si="14"/>
        <v>0</v>
      </c>
      <c r="AG53" s="16"/>
      <c r="AH53" s="17"/>
      <c r="AI53" s="17">
        <f t="shared" si="15"/>
        <v>0</v>
      </c>
      <c r="AJ53" s="15">
        <f t="shared" si="16"/>
        <v>0</v>
      </c>
      <c r="AK53" s="18">
        <v>46</v>
      </c>
      <c r="AL53" s="43"/>
    </row>
    <row r="54" spans="1:38" ht="23.5" customHeight="1" x14ac:dyDescent="0.2">
      <c r="A54" s="5" t="s">
        <v>84</v>
      </c>
      <c r="B54" s="64"/>
      <c r="C54" s="65"/>
      <c r="D54" s="20"/>
      <c r="E54" s="28"/>
      <c r="F54" s="29"/>
      <c r="G54" s="27"/>
      <c r="H54" s="26"/>
      <c r="I54" s="10"/>
      <c r="J54" s="67"/>
      <c r="K54" s="11"/>
      <c r="L54" s="12"/>
      <c r="M54" s="12"/>
      <c r="N54" s="13">
        <f t="shared" si="6"/>
        <v>0</v>
      </c>
      <c r="O54" s="108"/>
      <c r="P54" s="106"/>
      <c r="Q54" s="106"/>
      <c r="R54" s="68"/>
      <c r="S54" s="15">
        <f t="shared" si="7"/>
        <v>0</v>
      </c>
      <c r="T54" s="15">
        <f t="shared" si="17"/>
        <v>0</v>
      </c>
      <c r="U54" s="15">
        <f t="shared" si="18"/>
        <v>0</v>
      </c>
      <c r="V54" s="15">
        <f t="shared" si="19"/>
        <v>0</v>
      </c>
      <c r="W54" s="15">
        <f t="shared" si="20"/>
        <v>0</v>
      </c>
      <c r="X54" s="15">
        <f t="shared" si="8"/>
        <v>0</v>
      </c>
      <c r="Y54" s="15">
        <f t="shared" si="21"/>
        <v>0</v>
      </c>
      <c r="Z54" s="15">
        <f t="shared" si="9"/>
        <v>0</v>
      </c>
      <c r="AA54" s="15">
        <f t="shared" si="22"/>
        <v>0</v>
      </c>
      <c r="AB54" s="15">
        <f t="shared" si="10"/>
        <v>0</v>
      </c>
      <c r="AC54" s="16">
        <f t="shared" si="11"/>
        <v>0</v>
      </c>
      <c r="AD54" s="16">
        <f t="shared" si="12"/>
        <v>0</v>
      </c>
      <c r="AE54" s="16">
        <f t="shared" si="13"/>
        <v>0</v>
      </c>
      <c r="AF54" s="16">
        <f t="shared" si="14"/>
        <v>0</v>
      </c>
      <c r="AG54" s="16"/>
      <c r="AH54" s="17"/>
      <c r="AI54" s="17">
        <f t="shared" si="15"/>
        <v>0</v>
      </c>
      <c r="AJ54" s="15">
        <f t="shared" si="16"/>
        <v>0</v>
      </c>
      <c r="AK54" s="18">
        <v>47</v>
      </c>
      <c r="AL54" s="25"/>
    </row>
    <row r="55" spans="1:38" ht="23.5" customHeight="1" x14ac:dyDescent="0.2">
      <c r="A55" s="5" t="s">
        <v>85</v>
      </c>
      <c r="B55" s="30"/>
      <c r="C55" s="65"/>
      <c r="D55" s="20"/>
      <c r="E55" s="26"/>
      <c r="F55" s="29"/>
      <c r="G55" s="27"/>
      <c r="H55" s="26"/>
      <c r="I55" s="10"/>
      <c r="J55" s="67"/>
      <c r="K55" s="11"/>
      <c r="L55" s="12"/>
      <c r="M55" s="12"/>
      <c r="N55" s="13">
        <f t="shared" si="6"/>
        <v>0</v>
      </c>
      <c r="O55" s="108"/>
      <c r="P55" s="106"/>
      <c r="Q55" s="106"/>
      <c r="R55" s="68"/>
      <c r="S55" s="15">
        <f t="shared" si="7"/>
        <v>0</v>
      </c>
      <c r="T55" s="15">
        <f t="shared" si="17"/>
        <v>0</v>
      </c>
      <c r="U55" s="15">
        <f t="shared" si="18"/>
        <v>0</v>
      </c>
      <c r="V55" s="15">
        <f t="shared" si="19"/>
        <v>0</v>
      </c>
      <c r="W55" s="15">
        <f t="shared" si="20"/>
        <v>0</v>
      </c>
      <c r="X55" s="15">
        <f t="shared" si="8"/>
        <v>0</v>
      </c>
      <c r="Y55" s="15">
        <f t="shared" si="21"/>
        <v>0</v>
      </c>
      <c r="Z55" s="15">
        <f t="shared" si="9"/>
        <v>0</v>
      </c>
      <c r="AA55" s="15">
        <f t="shared" si="22"/>
        <v>0</v>
      </c>
      <c r="AB55" s="15">
        <f t="shared" si="10"/>
        <v>0</v>
      </c>
      <c r="AC55" s="16">
        <f t="shared" si="11"/>
        <v>0</v>
      </c>
      <c r="AD55" s="16">
        <f t="shared" si="12"/>
        <v>0</v>
      </c>
      <c r="AE55" s="16">
        <f t="shared" si="13"/>
        <v>0</v>
      </c>
      <c r="AF55" s="16">
        <f t="shared" si="14"/>
        <v>0</v>
      </c>
      <c r="AG55" s="16"/>
      <c r="AH55" s="17"/>
      <c r="AI55" s="17">
        <f t="shared" si="15"/>
        <v>0</v>
      </c>
      <c r="AJ55" s="15">
        <f t="shared" si="16"/>
        <v>0</v>
      </c>
      <c r="AK55" s="18">
        <v>48</v>
      </c>
      <c r="AL55" s="25"/>
    </row>
    <row r="56" spans="1:38" ht="23.5" customHeight="1" x14ac:dyDescent="0.2">
      <c r="A56" s="5" t="s">
        <v>86</v>
      </c>
      <c r="B56" s="30"/>
      <c r="C56" s="65"/>
      <c r="D56" s="20"/>
      <c r="E56" s="26"/>
      <c r="F56" s="27"/>
      <c r="G56" s="9"/>
      <c r="H56" s="7"/>
      <c r="I56" s="10"/>
      <c r="J56" s="67"/>
      <c r="K56" s="11"/>
      <c r="L56" s="12"/>
      <c r="M56" s="12"/>
      <c r="N56" s="13">
        <f t="shared" si="6"/>
        <v>0</v>
      </c>
      <c r="O56" s="108"/>
      <c r="P56" s="106"/>
      <c r="Q56" s="106"/>
      <c r="R56" s="68"/>
      <c r="S56" s="15">
        <f t="shared" si="7"/>
        <v>0</v>
      </c>
      <c r="T56" s="15">
        <f t="shared" si="17"/>
        <v>0</v>
      </c>
      <c r="U56" s="15">
        <f t="shared" si="18"/>
        <v>0</v>
      </c>
      <c r="V56" s="15">
        <f t="shared" si="19"/>
        <v>0</v>
      </c>
      <c r="W56" s="15">
        <f t="shared" si="20"/>
        <v>0</v>
      </c>
      <c r="X56" s="15">
        <f t="shared" si="8"/>
        <v>0</v>
      </c>
      <c r="Y56" s="15">
        <f t="shared" si="21"/>
        <v>0</v>
      </c>
      <c r="Z56" s="15">
        <f t="shared" si="9"/>
        <v>0</v>
      </c>
      <c r="AA56" s="15">
        <f t="shared" si="22"/>
        <v>0</v>
      </c>
      <c r="AB56" s="15">
        <f t="shared" si="10"/>
        <v>0</v>
      </c>
      <c r="AC56" s="16">
        <f t="shared" si="11"/>
        <v>0</v>
      </c>
      <c r="AD56" s="16">
        <f t="shared" si="12"/>
        <v>0</v>
      </c>
      <c r="AE56" s="16">
        <f t="shared" si="13"/>
        <v>0</v>
      </c>
      <c r="AF56" s="16">
        <f t="shared" si="14"/>
        <v>0</v>
      </c>
      <c r="AG56" s="16"/>
      <c r="AH56" s="17"/>
      <c r="AI56" s="17">
        <f t="shared" si="15"/>
        <v>0</v>
      </c>
      <c r="AJ56" s="15">
        <f t="shared" si="16"/>
        <v>0</v>
      </c>
      <c r="AK56" s="18">
        <v>49</v>
      </c>
      <c r="AL56" s="25"/>
    </row>
    <row r="57" spans="1:38" ht="23.5" customHeight="1" x14ac:dyDescent="0.2">
      <c r="A57" s="5" t="s">
        <v>87</v>
      </c>
      <c r="B57" s="26"/>
      <c r="C57" s="65"/>
      <c r="D57" s="20"/>
      <c r="E57" s="26"/>
      <c r="F57" s="27"/>
      <c r="G57" s="9"/>
      <c r="H57" s="7"/>
      <c r="I57" s="10"/>
      <c r="J57" s="67"/>
      <c r="K57" s="11"/>
      <c r="L57" s="12"/>
      <c r="M57" s="12"/>
      <c r="N57" s="13">
        <f t="shared" si="6"/>
        <v>0</v>
      </c>
      <c r="O57" s="108"/>
      <c r="P57" s="106"/>
      <c r="Q57" s="106"/>
      <c r="R57" s="68"/>
      <c r="S57" s="15">
        <f t="shared" si="7"/>
        <v>0</v>
      </c>
      <c r="T57" s="15">
        <f t="shared" si="17"/>
        <v>0</v>
      </c>
      <c r="U57" s="15">
        <f t="shared" si="18"/>
        <v>0</v>
      </c>
      <c r="V57" s="15">
        <f t="shared" si="19"/>
        <v>0</v>
      </c>
      <c r="W57" s="15">
        <f t="shared" si="20"/>
        <v>0</v>
      </c>
      <c r="X57" s="15">
        <f t="shared" si="8"/>
        <v>0</v>
      </c>
      <c r="Y57" s="15">
        <f t="shared" si="21"/>
        <v>0</v>
      </c>
      <c r="Z57" s="15">
        <f t="shared" si="9"/>
        <v>0</v>
      </c>
      <c r="AA57" s="15">
        <f t="shared" si="22"/>
        <v>0</v>
      </c>
      <c r="AB57" s="15">
        <f t="shared" si="10"/>
        <v>0</v>
      </c>
      <c r="AC57" s="16">
        <f t="shared" si="11"/>
        <v>0</v>
      </c>
      <c r="AD57" s="16">
        <f t="shared" si="12"/>
        <v>0</v>
      </c>
      <c r="AE57" s="16">
        <f t="shared" si="13"/>
        <v>0</v>
      </c>
      <c r="AF57" s="16">
        <f t="shared" si="14"/>
        <v>0</v>
      </c>
      <c r="AG57" s="16"/>
      <c r="AH57" s="17"/>
      <c r="AI57" s="17">
        <f t="shared" si="15"/>
        <v>0</v>
      </c>
      <c r="AJ57" s="15">
        <f t="shared" si="16"/>
        <v>0</v>
      </c>
      <c r="AK57" s="18">
        <v>50</v>
      </c>
      <c r="AL57" s="25"/>
    </row>
    <row r="58" spans="1:38" ht="23.5" customHeight="1" x14ac:dyDescent="0.2">
      <c r="A58" s="5" t="s">
        <v>88</v>
      </c>
      <c r="B58" s="30"/>
      <c r="C58" s="65"/>
      <c r="D58" s="20"/>
      <c r="E58" s="26"/>
      <c r="F58" s="27"/>
      <c r="G58" s="9"/>
      <c r="H58" s="7"/>
      <c r="I58" s="10"/>
      <c r="J58" s="67"/>
      <c r="K58" s="11"/>
      <c r="L58" s="12"/>
      <c r="M58" s="12"/>
      <c r="N58" s="13">
        <f t="shared" si="6"/>
        <v>0</v>
      </c>
      <c r="O58" s="108"/>
      <c r="P58" s="106"/>
      <c r="Q58" s="106"/>
      <c r="R58" s="68"/>
      <c r="S58" s="15">
        <f t="shared" si="7"/>
        <v>0</v>
      </c>
      <c r="T58" s="15">
        <f t="shared" si="17"/>
        <v>0</v>
      </c>
      <c r="U58" s="15">
        <f t="shared" si="18"/>
        <v>0</v>
      </c>
      <c r="V58" s="15">
        <f t="shared" si="19"/>
        <v>0</v>
      </c>
      <c r="W58" s="15">
        <f t="shared" si="20"/>
        <v>0</v>
      </c>
      <c r="X58" s="15">
        <f t="shared" si="8"/>
        <v>0</v>
      </c>
      <c r="Y58" s="15">
        <f t="shared" si="21"/>
        <v>0</v>
      </c>
      <c r="Z58" s="15">
        <f t="shared" si="9"/>
        <v>0</v>
      </c>
      <c r="AA58" s="15">
        <f t="shared" si="22"/>
        <v>0</v>
      </c>
      <c r="AB58" s="15">
        <f t="shared" si="10"/>
        <v>0</v>
      </c>
      <c r="AC58" s="16">
        <f t="shared" si="11"/>
        <v>0</v>
      </c>
      <c r="AD58" s="16">
        <f t="shared" si="12"/>
        <v>0</v>
      </c>
      <c r="AE58" s="16">
        <f t="shared" si="13"/>
        <v>0</v>
      </c>
      <c r="AF58" s="16">
        <f t="shared" si="14"/>
        <v>0</v>
      </c>
      <c r="AG58" s="16"/>
      <c r="AH58" s="17"/>
      <c r="AI58" s="17">
        <f t="shared" si="15"/>
        <v>0</v>
      </c>
      <c r="AJ58" s="15">
        <f t="shared" si="16"/>
        <v>0</v>
      </c>
      <c r="AK58" s="18">
        <v>51</v>
      </c>
      <c r="AL58" s="25"/>
    </row>
    <row r="59" spans="1:38" ht="23.5" customHeight="1" x14ac:dyDescent="0.2">
      <c r="A59" s="5" t="s">
        <v>89</v>
      </c>
      <c r="B59" s="30"/>
      <c r="C59" s="65"/>
      <c r="D59" s="20"/>
      <c r="E59" s="26"/>
      <c r="F59" s="27"/>
      <c r="G59" s="9"/>
      <c r="H59" s="7"/>
      <c r="I59" s="10"/>
      <c r="J59" s="67"/>
      <c r="K59" s="11"/>
      <c r="L59" s="12"/>
      <c r="M59" s="12"/>
      <c r="N59" s="13">
        <f t="shared" si="6"/>
        <v>0</v>
      </c>
      <c r="O59" s="108"/>
      <c r="P59" s="106"/>
      <c r="Q59" s="106"/>
      <c r="R59" s="68"/>
      <c r="S59" s="15">
        <f t="shared" si="7"/>
        <v>0</v>
      </c>
      <c r="T59" s="15">
        <f t="shared" si="17"/>
        <v>0</v>
      </c>
      <c r="U59" s="15">
        <f t="shared" si="18"/>
        <v>0</v>
      </c>
      <c r="V59" s="15">
        <f t="shared" si="19"/>
        <v>0</v>
      </c>
      <c r="W59" s="15">
        <f t="shared" si="20"/>
        <v>0</v>
      </c>
      <c r="X59" s="15">
        <f t="shared" si="8"/>
        <v>0</v>
      </c>
      <c r="Y59" s="15">
        <f t="shared" si="21"/>
        <v>0</v>
      </c>
      <c r="Z59" s="15">
        <f t="shared" si="9"/>
        <v>0</v>
      </c>
      <c r="AA59" s="15">
        <f t="shared" si="22"/>
        <v>0</v>
      </c>
      <c r="AB59" s="15">
        <f t="shared" si="10"/>
        <v>0</v>
      </c>
      <c r="AC59" s="16">
        <f t="shared" si="11"/>
        <v>0</v>
      </c>
      <c r="AD59" s="16">
        <f t="shared" si="12"/>
        <v>0</v>
      </c>
      <c r="AE59" s="16">
        <f t="shared" si="13"/>
        <v>0</v>
      </c>
      <c r="AF59" s="16">
        <f t="shared" si="14"/>
        <v>0</v>
      </c>
      <c r="AG59" s="16"/>
      <c r="AH59" s="17"/>
      <c r="AI59" s="17">
        <f t="shared" si="15"/>
        <v>0</v>
      </c>
      <c r="AJ59" s="15">
        <f t="shared" si="16"/>
        <v>0</v>
      </c>
      <c r="AK59" s="18">
        <v>52</v>
      </c>
      <c r="AL59" s="25"/>
    </row>
    <row r="60" spans="1:38" ht="23.5" customHeight="1" x14ac:dyDescent="0.2">
      <c r="A60" s="5" t="s">
        <v>90</v>
      </c>
      <c r="B60" s="26"/>
      <c r="C60" s="65"/>
      <c r="D60" s="20"/>
      <c r="E60" s="26"/>
      <c r="F60" s="27"/>
      <c r="G60" s="9"/>
      <c r="H60" s="7"/>
      <c r="I60" s="10"/>
      <c r="J60" s="67"/>
      <c r="K60" s="11"/>
      <c r="L60" s="12"/>
      <c r="M60" s="12"/>
      <c r="N60" s="13">
        <f t="shared" si="6"/>
        <v>0</v>
      </c>
      <c r="O60" s="108"/>
      <c r="P60" s="106"/>
      <c r="Q60" s="106"/>
      <c r="R60" s="68"/>
      <c r="S60" s="15">
        <f t="shared" si="7"/>
        <v>0</v>
      </c>
      <c r="T60" s="15">
        <f t="shared" si="17"/>
        <v>0</v>
      </c>
      <c r="U60" s="15">
        <f t="shared" si="18"/>
        <v>0</v>
      </c>
      <c r="V60" s="15">
        <f t="shared" si="19"/>
        <v>0</v>
      </c>
      <c r="W60" s="15">
        <f t="shared" si="20"/>
        <v>0</v>
      </c>
      <c r="X60" s="15">
        <f t="shared" si="8"/>
        <v>0</v>
      </c>
      <c r="Y60" s="15">
        <f t="shared" si="21"/>
        <v>0</v>
      </c>
      <c r="Z60" s="15">
        <f t="shared" si="9"/>
        <v>0</v>
      </c>
      <c r="AA60" s="15">
        <f t="shared" si="22"/>
        <v>0</v>
      </c>
      <c r="AB60" s="15">
        <f t="shared" si="10"/>
        <v>0</v>
      </c>
      <c r="AC60" s="16">
        <f t="shared" si="11"/>
        <v>0</v>
      </c>
      <c r="AD60" s="16">
        <f t="shared" si="12"/>
        <v>0</v>
      </c>
      <c r="AE60" s="16">
        <f t="shared" si="13"/>
        <v>0</v>
      </c>
      <c r="AF60" s="16">
        <f t="shared" si="14"/>
        <v>0</v>
      </c>
      <c r="AG60" s="16"/>
      <c r="AH60" s="17"/>
      <c r="AI60" s="17">
        <f t="shared" si="15"/>
        <v>0</v>
      </c>
      <c r="AJ60" s="15">
        <f t="shared" si="16"/>
        <v>0</v>
      </c>
      <c r="AK60" s="18">
        <v>53</v>
      </c>
      <c r="AL60" s="43"/>
    </row>
    <row r="61" spans="1:38" ht="23.5" customHeight="1" x14ac:dyDescent="0.2">
      <c r="A61" s="5" t="s">
        <v>91</v>
      </c>
      <c r="B61" s="26"/>
      <c r="C61" s="65"/>
      <c r="D61" s="20"/>
      <c r="E61" s="26"/>
      <c r="F61" s="27"/>
      <c r="G61" s="9"/>
      <c r="H61" s="7"/>
      <c r="I61" s="10"/>
      <c r="J61" s="67"/>
      <c r="K61" s="11"/>
      <c r="L61" s="12"/>
      <c r="M61" s="12"/>
      <c r="N61" s="13">
        <f t="shared" si="6"/>
        <v>0</v>
      </c>
      <c r="O61" s="108"/>
      <c r="P61" s="106"/>
      <c r="Q61" s="106"/>
      <c r="R61" s="68"/>
      <c r="S61" s="15">
        <f t="shared" si="7"/>
        <v>0</v>
      </c>
      <c r="T61" s="15">
        <f t="shared" si="17"/>
        <v>0</v>
      </c>
      <c r="U61" s="15">
        <f t="shared" si="18"/>
        <v>0</v>
      </c>
      <c r="V61" s="15">
        <f t="shared" si="19"/>
        <v>0</v>
      </c>
      <c r="W61" s="15">
        <f t="shared" si="20"/>
        <v>0</v>
      </c>
      <c r="X61" s="15">
        <f t="shared" si="8"/>
        <v>0</v>
      </c>
      <c r="Y61" s="15">
        <f t="shared" si="21"/>
        <v>0</v>
      </c>
      <c r="Z61" s="15">
        <f t="shared" si="9"/>
        <v>0</v>
      </c>
      <c r="AA61" s="15">
        <f t="shared" si="22"/>
        <v>0</v>
      </c>
      <c r="AB61" s="15">
        <f t="shared" si="10"/>
        <v>0</v>
      </c>
      <c r="AC61" s="16">
        <f t="shared" si="11"/>
        <v>0</v>
      </c>
      <c r="AD61" s="16">
        <f t="shared" si="12"/>
        <v>0</v>
      </c>
      <c r="AE61" s="16">
        <f t="shared" si="13"/>
        <v>0</v>
      </c>
      <c r="AF61" s="16">
        <f t="shared" si="14"/>
        <v>0</v>
      </c>
      <c r="AG61" s="16"/>
      <c r="AH61" s="17"/>
      <c r="AI61" s="17">
        <f t="shared" si="15"/>
        <v>0</v>
      </c>
      <c r="AJ61" s="15">
        <f t="shared" si="16"/>
        <v>0</v>
      </c>
      <c r="AK61" s="18">
        <v>54</v>
      </c>
      <c r="AL61" s="25"/>
    </row>
    <row r="62" spans="1:38" ht="23.5" customHeight="1" x14ac:dyDescent="0.2">
      <c r="A62" s="5" t="s">
        <v>92</v>
      </c>
      <c r="B62" s="26"/>
      <c r="C62" s="65"/>
      <c r="D62" s="20"/>
      <c r="E62" s="26"/>
      <c r="F62" s="27"/>
      <c r="G62" s="9"/>
      <c r="H62" s="7"/>
      <c r="I62" s="10"/>
      <c r="J62" s="67"/>
      <c r="K62" s="11"/>
      <c r="L62" s="12"/>
      <c r="M62" s="12"/>
      <c r="N62" s="13">
        <f t="shared" si="6"/>
        <v>0</v>
      </c>
      <c r="O62" s="108"/>
      <c r="P62" s="106"/>
      <c r="Q62" s="106"/>
      <c r="R62" s="68"/>
      <c r="S62" s="15">
        <f t="shared" si="7"/>
        <v>0</v>
      </c>
      <c r="T62" s="15">
        <f t="shared" si="17"/>
        <v>0</v>
      </c>
      <c r="U62" s="15">
        <f t="shared" si="18"/>
        <v>0</v>
      </c>
      <c r="V62" s="15">
        <f t="shared" si="19"/>
        <v>0</v>
      </c>
      <c r="W62" s="15">
        <f t="shared" si="20"/>
        <v>0</v>
      </c>
      <c r="X62" s="15">
        <f t="shared" si="8"/>
        <v>0</v>
      </c>
      <c r="Y62" s="15">
        <f t="shared" si="21"/>
        <v>0</v>
      </c>
      <c r="Z62" s="15">
        <f t="shared" si="9"/>
        <v>0</v>
      </c>
      <c r="AA62" s="15">
        <f t="shared" si="22"/>
        <v>0</v>
      </c>
      <c r="AB62" s="15">
        <f t="shared" si="10"/>
        <v>0</v>
      </c>
      <c r="AC62" s="16">
        <f t="shared" si="11"/>
        <v>0</v>
      </c>
      <c r="AD62" s="16">
        <f t="shared" si="12"/>
        <v>0</v>
      </c>
      <c r="AE62" s="16">
        <f t="shared" si="13"/>
        <v>0</v>
      </c>
      <c r="AF62" s="16">
        <f t="shared" si="14"/>
        <v>0</v>
      </c>
      <c r="AG62" s="16"/>
      <c r="AH62" s="17"/>
      <c r="AI62" s="17">
        <f t="shared" si="15"/>
        <v>0</v>
      </c>
      <c r="AJ62" s="15">
        <f t="shared" si="16"/>
        <v>0</v>
      </c>
      <c r="AK62" s="18">
        <v>55</v>
      </c>
      <c r="AL62" s="43"/>
    </row>
    <row r="63" spans="1:38" ht="23.5" customHeight="1" x14ac:dyDescent="0.2">
      <c r="A63" s="5" t="s">
        <v>93</v>
      </c>
      <c r="B63" s="30"/>
      <c r="C63" s="65"/>
      <c r="D63" s="20"/>
      <c r="E63" s="26"/>
      <c r="F63" s="27"/>
      <c r="G63" s="9"/>
      <c r="H63" s="7"/>
      <c r="I63" s="10"/>
      <c r="J63" s="67"/>
      <c r="K63" s="11"/>
      <c r="L63" s="12"/>
      <c r="M63" s="12"/>
      <c r="N63" s="13">
        <f t="shared" si="6"/>
        <v>0</v>
      </c>
      <c r="O63" s="108"/>
      <c r="P63" s="106"/>
      <c r="Q63" s="106"/>
      <c r="R63" s="68"/>
      <c r="S63" s="15">
        <f t="shared" si="7"/>
        <v>0</v>
      </c>
      <c r="T63" s="15">
        <f t="shared" si="17"/>
        <v>0</v>
      </c>
      <c r="U63" s="15">
        <f t="shared" si="18"/>
        <v>0</v>
      </c>
      <c r="V63" s="15">
        <f t="shared" si="19"/>
        <v>0</v>
      </c>
      <c r="W63" s="15">
        <f t="shared" si="20"/>
        <v>0</v>
      </c>
      <c r="X63" s="15">
        <f t="shared" si="8"/>
        <v>0</v>
      </c>
      <c r="Y63" s="15">
        <f t="shared" si="21"/>
        <v>0</v>
      </c>
      <c r="Z63" s="15">
        <f t="shared" si="9"/>
        <v>0</v>
      </c>
      <c r="AA63" s="15">
        <f t="shared" si="22"/>
        <v>0</v>
      </c>
      <c r="AB63" s="15">
        <f t="shared" si="10"/>
        <v>0</v>
      </c>
      <c r="AC63" s="16">
        <f t="shared" si="11"/>
        <v>0</v>
      </c>
      <c r="AD63" s="16">
        <f t="shared" si="12"/>
        <v>0</v>
      </c>
      <c r="AE63" s="16">
        <f t="shared" si="13"/>
        <v>0</v>
      </c>
      <c r="AF63" s="16">
        <f t="shared" si="14"/>
        <v>0</v>
      </c>
      <c r="AG63" s="16"/>
      <c r="AH63" s="17"/>
      <c r="AI63" s="17">
        <f t="shared" si="15"/>
        <v>0</v>
      </c>
      <c r="AJ63" s="15">
        <f t="shared" si="16"/>
        <v>0</v>
      </c>
      <c r="AK63" s="18">
        <v>56</v>
      </c>
      <c r="AL63" s="25"/>
    </row>
    <row r="64" spans="1:38" ht="23.5" customHeight="1" x14ac:dyDescent="0.2">
      <c r="A64" s="5" t="s">
        <v>94</v>
      </c>
      <c r="B64" s="26"/>
      <c r="C64" s="65"/>
      <c r="D64" s="20"/>
      <c r="E64" s="26"/>
      <c r="F64" s="27"/>
      <c r="G64" s="9"/>
      <c r="H64" s="7"/>
      <c r="I64" s="10"/>
      <c r="J64" s="67"/>
      <c r="K64" s="11"/>
      <c r="L64" s="23"/>
      <c r="M64" s="12"/>
      <c r="N64" s="13">
        <f t="shared" ref="N64:N87" si="23">ROUND(I64*(SUM(J64:M64)),0)</f>
        <v>0</v>
      </c>
      <c r="O64" s="108"/>
      <c r="P64" s="106"/>
      <c r="Q64" s="106"/>
      <c r="R64" s="68"/>
      <c r="S64" s="15">
        <f t="shared" si="7"/>
        <v>0</v>
      </c>
      <c r="T64" s="15">
        <f t="shared" si="17"/>
        <v>0</v>
      </c>
      <c r="U64" s="15">
        <f t="shared" si="18"/>
        <v>0</v>
      </c>
      <c r="V64" s="15">
        <f t="shared" si="19"/>
        <v>0</v>
      </c>
      <c r="W64" s="15">
        <f t="shared" si="20"/>
        <v>0</v>
      </c>
      <c r="X64" s="15">
        <f t="shared" ref="X64:X108" si="24">ROUND(SUM(U64:W64),0)</f>
        <v>0</v>
      </c>
      <c r="Y64" s="15">
        <f t="shared" si="21"/>
        <v>0</v>
      </c>
      <c r="Z64" s="15">
        <f t="shared" ref="Z64:Z108" si="25">ROUND(Y64,0)</f>
        <v>0</v>
      </c>
      <c r="AA64" s="15">
        <f t="shared" si="22"/>
        <v>0</v>
      </c>
      <c r="AB64" s="15">
        <f t="shared" ref="AB64:AB108" si="26">ROUND(AA64,0)</f>
        <v>0</v>
      </c>
      <c r="AC64" s="16">
        <f t="shared" ref="AC64:AC108" si="27">ROUND((T64+X64+Z64+AB64),0)</f>
        <v>0</v>
      </c>
      <c r="AD64" s="16">
        <f t="shared" si="12"/>
        <v>0</v>
      </c>
      <c r="AE64" s="16">
        <f t="shared" si="13"/>
        <v>0</v>
      </c>
      <c r="AF64" s="16">
        <f t="shared" si="14"/>
        <v>0</v>
      </c>
      <c r="AG64" s="16"/>
      <c r="AH64" s="17"/>
      <c r="AI64" s="17">
        <f t="shared" si="15"/>
        <v>0</v>
      </c>
      <c r="AJ64" s="15">
        <f t="shared" si="16"/>
        <v>0</v>
      </c>
      <c r="AK64" s="18">
        <v>57</v>
      </c>
      <c r="AL64" s="25"/>
    </row>
    <row r="65" spans="1:38" ht="23.5" customHeight="1" x14ac:dyDescent="0.2">
      <c r="A65" s="5" t="s">
        <v>95</v>
      </c>
      <c r="B65" s="30"/>
      <c r="C65" s="65"/>
      <c r="D65" s="20"/>
      <c r="E65" s="26"/>
      <c r="F65" s="27"/>
      <c r="G65" s="9"/>
      <c r="H65" s="7"/>
      <c r="I65" s="10"/>
      <c r="J65" s="67"/>
      <c r="K65" s="11"/>
      <c r="L65" s="23"/>
      <c r="M65" s="12"/>
      <c r="N65" s="13">
        <f t="shared" si="23"/>
        <v>0</v>
      </c>
      <c r="O65" s="108"/>
      <c r="P65" s="106"/>
      <c r="Q65" s="106"/>
      <c r="R65" s="68"/>
      <c r="S65" s="15">
        <f t="shared" si="7"/>
        <v>0</v>
      </c>
      <c r="T65" s="15">
        <f t="shared" si="17"/>
        <v>0</v>
      </c>
      <c r="U65" s="15">
        <f t="shared" si="18"/>
        <v>0</v>
      </c>
      <c r="V65" s="15">
        <f t="shared" si="19"/>
        <v>0</v>
      </c>
      <c r="W65" s="15">
        <f t="shared" si="20"/>
        <v>0</v>
      </c>
      <c r="X65" s="15">
        <f t="shared" si="24"/>
        <v>0</v>
      </c>
      <c r="Y65" s="15">
        <f t="shared" si="21"/>
        <v>0</v>
      </c>
      <c r="Z65" s="15">
        <f t="shared" si="25"/>
        <v>0</v>
      </c>
      <c r="AA65" s="15">
        <f t="shared" si="22"/>
        <v>0</v>
      </c>
      <c r="AB65" s="15">
        <f t="shared" si="26"/>
        <v>0</v>
      </c>
      <c r="AC65" s="16">
        <f t="shared" si="27"/>
        <v>0</v>
      </c>
      <c r="AD65" s="16">
        <f t="shared" si="12"/>
        <v>0</v>
      </c>
      <c r="AE65" s="16">
        <f t="shared" si="13"/>
        <v>0</v>
      </c>
      <c r="AF65" s="16">
        <f t="shared" si="14"/>
        <v>0</v>
      </c>
      <c r="AG65" s="16"/>
      <c r="AH65" s="17"/>
      <c r="AI65" s="17">
        <f t="shared" si="15"/>
        <v>0</v>
      </c>
      <c r="AJ65" s="15">
        <f t="shared" si="16"/>
        <v>0</v>
      </c>
      <c r="AK65" s="18">
        <v>58</v>
      </c>
      <c r="AL65" s="25"/>
    </row>
    <row r="66" spans="1:38" ht="23.5" customHeight="1" x14ac:dyDescent="0.2">
      <c r="A66" s="5" t="s">
        <v>96</v>
      </c>
      <c r="B66" s="26"/>
      <c r="C66" s="65"/>
      <c r="D66" s="20"/>
      <c r="E66" s="26"/>
      <c r="F66" s="27"/>
      <c r="G66" s="9"/>
      <c r="H66" s="7"/>
      <c r="I66" s="10"/>
      <c r="J66" s="67"/>
      <c r="K66" s="11"/>
      <c r="L66" s="23"/>
      <c r="M66" s="12"/>
      <c r="N66" s="13">
        <f t="shared" si="23"/>
        <v>0</v>
      </c>
      <c r="O66" s="108"/>
      <c r="P66" s="106"/>
      <c r="Q66" s="106"/>
      <c r="R66" s="68"/>
      <c r="S66" s="15">
        <f t="shared" si="7"/>
        <v>0</v>
      </c>
      <c r="T66" s="15">
        <f t="shared" si="17"/>
        <v>0</v>
      </c>
      <c r="U66" s="15">
        <f t="shared" si="18"/>
        <v>0</v>
      </c>
      <c r="V66" s="15">
        <f t="shared" si="19"/>
        <v>0</v>
      </c>
      <c r="W66" s="15">
        <f t="shared" si="20"/>
        <v>0</v>
      </c>
      <c r="X66" s="15">
        <f t="shared" si="24"/>
        <v>0</v>
      </c>
      <c r="Y66" s="15">
        <f t="shared" si="21"/>
        <v>0</v>
      </c>
      <c r="Z66" s="15">
        <f t="shared" si="25"/>
        <v>0</v>
      </c>
      <c r="AA66" s="15">
        <f t="shared" si="22"/>
        <v>0</v>
      </c>
      <c r="AB66" s="15">
        <f t="shared" si="26"/>
        <v>0</v>
      </c>
      <c r="AC66" s="16">
        <f t="shared" si="27"/>
        <v>0</v>
      </c>
      <c r="AD66" s="16">
        <f t="shared" si="12"/>
        <v>0</v>
      </c>
      <c r="AE66" s="16">
        <f t="shared" si="13"/>
        <v>0</v>
      </c>
      <c r="AF66" s="16">
        <f t="shared" si="14"/>
        <v>0</v>
      </c>
      <c r="AG66" s="16"/>
      <c r="AH66" s="17"/>
      <c r="AI66" s="17">
        <f t="shared" si="15"/>
        <v>0</v>
      </c>
      <c r="AJ66" s="15">
        <f t="shared" si="16"/>
        <v>0</v>
      </c>
      <c r="AK66" s="18">
        <v>59</v>
      </c>
      <c r="AL66" s="25"/>
    </row>
    <row r="67" spans="1:38" ht="23.5" customHeight="1" x14ac:dyDescent="0.2">
      <c r="A67" s="5" t="s">
        <v>97</v>
      </c>
      <c r="B67" s="26"/>
      <c r="C67" s="65"/>
      <c r="D67" s="20"/>
      <c r="E67" s="26"/>
      <c r="F67" s="27"/>
      <c r="G67" s="9"/>
      <c r="H67" s="7"/>
      <c r="I67" s="10"/>
      <c r="J67" s="67"/>
      <c r="K67" s="11"/>
      <c r="L67" s="23"/>
      <c r="M67" s="12"/>
      <c r="N67" s="13">
        <f t="shared" si="23"/>
        <v>0</v>
      </c>
      <c r="O67" s="108"/>
      <c r="P67" s="106"/>
      <c r="Q67" s="106"/>
      <c r="R67" s="68"/>
      <c r="S67" s="15">
        <f t="shared" si="7"/>
        <v>0</v>
      </c>
      <c r="T67" s="15">
        <f t="shared" si="17"/>
        <v>0</v>
      </c>
      <c r="U67" s="15">
        <f t="shared" si="18"/>
        <v>0</v>
      </c>
      <c r="V67" s="15">
        <f t="shared" si="19"/>
        <v>0</v>
      </c>
      <c r="W67" s="15">
        <f t="shared" si="20"/>
        <v>0</v>
      </c>
      <c r="X67" s="15">
        <f t="shared" si="24"/>
        <v>0</v>
      </c>
      <c r="Y67" s="15">
        <f t="shared" si="21"/>
        <v>0</v>
      </c>
      <c r="Z67" s="15">
        <f t="shared" si="25"/>
        <v>0</v>
      </c>
      <c r="AA67" s="15">
        <f t="shared" si="22"/>
        <v>0</v>
      </c>
      <c r="AB67" s="15">
        <f t="shared" si="26"/>
        <v>0</v>
      </c>
      <c r="AC67" s="16">
        <f t="shared" si="27"/>
        <v>0</v>
      </c>
      <c r="AD67" s="16">
        <f t="shared" si="12"/>
        <v>0</v>
      </c>
      <c r="AE67" s="16">
        <f t="shared" si="13"/>
        <v>0</v>
      </c>
      <c r="AF67" s="16">
        <f t="shared" si="14"/>
        <v>0</v>
      </c>
      <c r="AG67" s="16"/>
      <c r="AH67" s="17"/>
      <c r="AI67" s="17">
        <f t="shared" si="15"/>
        <v>0</v>
      </c>
      <c r="AJ67" s="15">
        <f t="shared" si="16"/>
        <v>0</v>
      </c>
      <c r="AK67" s="18">
        <v>60</v>
      </c>
      <c r="AL67" s="25"/>
    </row>
    <row r="68" spans="1:38" ht="23.5" customHeight="1" x14ac:dyDescent="0.2">
      <c r="A68" s="5" t="s">
        <v>98</v>
      </c>
      <c r="B68" s="26"/>
      <c r="C68" s="65"/>
      <c r="D68" s="20"/>
      <c r="E68" s="26"/>
      <c r="F68" s="27"/>
      <c r="G68" s="9"/>
      <c r="H68" s="7"/>
      <c r="I68" s="10"/>
      <c r="J68" s="67"/>
      <c r="K68" s="11"/>
      <c r="L68" s="23"/>
      <c r="M68" s="12"/>
      <c r="N68" s="13">
        <f t="shared" si="23"/>
        <v>0</v>
      </c>
      <c r="O68" s="108"/>
      <c r="P68" s="106"/>
      <c r="Q68" s="106"/>
      <c r="R68" s="68"/>
      <c r="S68" s="15">
        <f t="shared" si="7"/>
        <v>0</v>
      </c>
      <c r="T68" s="15">
        <f t="shared" si="17"/>
        <v>0</v>
      </c>
      <c r="U68" s="15">
        <f t="shared" si="18"/>
        <v>0</v>
      </c>
      <c r="V68" s="15">
        <f t="shared" si="19"/>
        <v>0</v>
      </c>
      <c r="W68" s="15">
        <f t="shared" si="20"/>
        <v>0</v>
      </c>
      <c r="X68" s="15">
        <f t="shared" si="24"/>
        <v>0</v>
      </c>
      <c r="Y68" s="15">
        <f t="shared" si="21"/>
        <v>0</v>
      </c>
      <c r="Z68" s="15">
        <f t="shared" si="25"/>
        <v>0</v>
      </c>
      <c r="AA68" s="15">
        <f t="shared" si="22"/>
        <v>0</v>
      </c>
      <c r="AB68" s="15">
        <f t="shared" si="26"/>
        <v>0</v>
      </c>
      <c r="AC68" s="16">
        <f t="shared" si="27"/>
        <v>0</v>
      </c>
      <c r="AD68" s="16">
        <f t="shared" si="12"/>
        <v>0</v>
      </c>
      <c r="AE68" s="16">
        <f t="shared" si="13"/>
        <v>0</v>
      </c>
      <c r="AF68" s="16">
        <f t="shared" si="14"/>
        <v>0</v>
      </c>
      <c r="AG68" s="16"/>
      <c r="AH68" s="17"/>
      <c r="AI68" s="17">
        <f t="shared" si="15"/>
        <v>0</v>
      </c>
      <c r="AJ68" s="15">
        <f t="shared" si="16"/>
        <v>0</v>
      </c>
      <c r="AK68" s="18">
        <v>61</v>
      </c>
      <c r="AL68" s="43"/>
    </row>
    <row r="69" spans="1:38" ht="23.5" customHeight="1" x14ac:dyDescent="0.2">
      <c r="A69" s="5" t="s">
        <v>99</v>
      </c>
      <c r="B69" s="26"/>
      <c r="C69" s="65"/>
      <c r="D69" s="20"/>
      <c r="E69" s="26"/>
      <c r="F69" s="27"/>
      <c r="G69" s="9"/>
      <c r="H69" s="7"/>
      <c r="I69" s="10"/>
      <c r="J69" s="67"/>
      <c r="K69" s="11"/>
      <c r="L69" s="23"/>
      <c r="M69" s="12"/>
      <c r="N69" s="13">
        <f t="shared" si="23"/>
        <v>0</v>
      </c>
      <c r="O69" s="108"/>
      <c r="P69" s="106"/>
      <c r="Q69" s="106"/>
      <c r="R69" s="68"/>
      <c r="S69" s="15">
        <f t="shared" si="7"/>
        <v>0</v>
      </c>
      <c r="T69" s="15">
        <f t="shared" si="17"/>
        <v>0</v>
      </c>
      <c r="U69" s="15">
        <f t="shared" si="18"/>
        <v>0</v>
      </c>
      <c r="V69" s="15">
        <f t="shared" si="19"/>
        <v>0</v>
      </c>
      <c r="W69" s="15">
        <f t="shared" si="20"/>
        <v>0</v>
      </c>
      <c r="X69" s="15">
        <f t="shared" si="24"/>
        <v>0</v>
      </c>
      <c r="Y69" s="15">
        <f t="shared" si="21"/>
        <v>0</v>
      </c>
      <c r="Z69" s="15">
        <f t="shared" si="25"/>
        <v>0</v>
      </c>
      <c r="AA69" s="15">
        <f t="shared" si="22"/>
        <v>0</v>
      </c>
      <c r="AB69" s="15">
        <f t="shared" si="26"/>
        <v>0</v>
      </c>
      <c r="AC69" s="16">
        <f t="shared" si="27"/>
        <v>0</v>
      </c>
      <c r="AD69" s="16">
        <f t="shared" si="12"/>
        <v>0</v>
      </c>
      <c r="AE69" s="16">
        <f t="shared" si="13"/>
        <v>0</v>
      </c>
      <c r="AF69" s="16">
        <f t="shared" si="14"/>
        <v>0</v>
      </c>
      <c r="AG69" s="16"/>
      <c r="AH69" s="17"/>
      <c r="AI69" s="17">
        <f t="shared" si="15"/>
        <v>0</v>
      </c>
      <c r="AJ69" s="15">
        <f t="shared" si="16"/>
        <v>0</v>
      </c>
      <c r="AK69" s="18">
        <v>62</v>
      </c>
      <c r="AL69" s="25"/>
    </row>
    <row r="70" spans="1:38" ht="23.5" customHeight="1" x14ac:dyDescent="0.2">
      <c r="A70" s="5" t="s">
        <v>100</v>
      </c>
      <c r="B70" s="26"/>
      <c r="C70" s="65"/>
      <c r="D70" s="20"/>
      <c r="E70" s="26"/>
      <c r="F70" s="27"/>
      <c r="G70" s="9"/>
      <c r="H70" s="7"/>
      <c r="I70" s="10"/>
      <c r="J70" s="67"/>
      <c r="K70" s="11"/>
      <c r="L70" s="23"/>
      <c r="M70" s="12"/>
      <c r="N70" s="13">
        <f t="shared" si="23"/>
        <v>0</v>
      </c>
      <c r="O70" s="108"/>
      <c r="P70" s="106"/>
      <c r="Q70" s="106"/>
      <c r="R70" s="68"/>
      <c r="S70" s="15">
        <f t="shared" si="7"/>
        <v>0</v>
      </c>
      <c r="T70" s="15">
        <f t="shared" si="17"/>
        <v>0</v>
      </c>
      <c r="U70" s="15">
        <f t="shared" si="18"/>
        <v>0</v>
      </c>
      <c r="V70" s="15">
        <f t="shared" si="19"/>
        <v>0</v>
      </c>
      <c r="W70" s="15">
        <f t="shared" si="20"/>
        <v>0</v>
      </c>
      <c r="X70" s="15">
        <f t="shared" si="24"/>
        <v>0</v>
      </c>
      <c r="Y70" s="15">
        <f t="shared" si="21"/>
        <v>0</v>
      </c>
      <c r="Z70" s="15">
        <f t="shared" si="25"/>
        <v>0</v>
      </c>
      <c r="AA70" s="15">
        <f t="shared" si="22"/>
        <v>0</v>
      </c>
      <c r="AB70" s="15">
        <f t="shared" si="26"/>
        <v>0</v>
      </c>
      <c r="AC70" s="16">
        <f t="shared" si="27"/>
        <v>0</v>
      </c>
      <c r="AD70" s="16">
        <f t="shared" si="12"/>
        <v>0</v>
      </c>
      <c r="AE70" s="16">
        <f t="shared" si="13"/>
        <v>0</v>
      </c>
      <c r="AF70" s="16">
        <f t="shared" si="14"/>
        <v>0</v>
      </c>
      <c r="AG70" s="16"/>
      <c r="AH70" s="17"/>
      <c r="AI70" s="17">
        <f t="shared" si="15"/>
        <v>0</v>
      </c>
      <c r="AJ70" s="15">
        <f t="shared" si="16"/>
        <v>0</v>
      </c>
      <c r="AK70" s="18">
        <v>63</v>
      </c>
      <c r="AL70" s="43"/>
    </row>
    <row r="71" spans="1:38" ht="23.5" customHeight="1" x14ac:dyDescent="0.2">
      <c r="A71" s="5" t="s">
        <v>101</v>
      </c>
      <c r="B71" s="30"/>
      <c r="C71" s="65"/>
      <c r="D71" s="20"/>
      <c r="E71" s="26"/>
      <c r="F71" s="27"/>
      <c r="G71" s="9"/>
      <c r="H71" s="7"/>
      <c r="I71" s="10"/>
      <c r="J71" s="67"/>
      <c r="K71" s="11"/>
      <c r="L71" s="23"/>
      <c r="M71" s="12"/>
      <c r="N71" s="13">
        <f t="shared" si="23"/>
        <v>0</v>
      </c>
      <c r="O71" s="108"/>
      <c r="P71" s="106"/>
      <c r="Q71" s="106"/>
      <c r="R71" s="68"/>
      <c r="S71" s="15">
        <f t="shared" si="7"/>
        <v>0</v>
      </c>
      <c r="T71" s="15">
        <f t="shared" si="17"/>
        <v>0</v>
      </c>
      <c r="U71" s="15">
        <f t="shared" si="18"/>
        <v>0</v>
      </c>
      <c r="V71" s="15">
        <f t="shared" si="19"/>
        <v>0</v>
      </c>
      <c r="W71" s="15">
        <f t="shared" si="20"/>
        <v>0</v>
      </c>
      <c r="X71" s="15">
        <f t="shared" si="24"/>
        <v>0</v>
      </c>
      <c r="Y71" s="15">
        <f t="shared" si="21"/>
        <v>0</v>
      </c>
      <c r="Z71" s="15">
        <f t="shared" si="25"/>
        <v>0</v>
      </c>
      <c r="AA71" s="15">
        <f t="shared" si="22"/>
        <v>0</v>
      </c>
      <c r="AB71" s="15">
        <f t="shared" si="26"/>
        <v>0</v>
      </c>
      <c r="AC71" s="16">
        <f t="shared" si="27"/>
        <v>0</v>
      </c>
      <c r="AD71" s="16">
        <f t="shared" si="12"/>
        <v>0</v>
      </c>
      <c r="AE71" s="16">
        <f t="shared" si="13"/>
        <v>0</v>
      </c>
      <c r="AF71" s="16">
        <f t="shared" si="14"/>
        <v>0</v>
      </c>
      <c r="AG71" s="16"/>
      <c r="AH71" s="17"/>
      <c r="AI71" s="17">
        <f t="shared" si="15"/>
        <v>0</v>
      </c>
      <c r="AJ71" s="15">
        <f t="shared" si="16"/>
        <v>0</v>
      </c>
      <c r="AK71" s="18">
        <v>64</v>
      </c>
      <c r="AL71" s="25"/>
    </row>
    <row r="72" spans="1:38" ht="23.5" customHeight="1" x14ac:dyDescent="0.2">
      <c r="A72" s="5" t="s">
        <v>102</v>
      </c>
      <c r="B72" s="32"/>
      <c r="C72" s="65"/>
      <c r="D72" s="31"/>
      <c r="E72" s="32"/>
      <c r="F72" s="33"/>
      <c r="G72" s="34"/>
      <c r="H72" s="35"/>
      <c r="I72" s="10"/>
      <c r="J72" s="67"/>
      <c r="K72" s="11"/>
      <c r="L72" s="23"/>
      <c r="M72" s="12"/>
      <c r="N72" s="13">
        <f t="shared" si="23"/>
        <v>0</v>
      </c>
      <c r="O72" s="108"/>
      <c r="P72" s="106"/>
      <c r="Q72" s="106"/>
      <c r="R72" s="68"/>
      <c r="S72" s="15">
        <f t="shared" si="7"/>
        <v>0</v>
      </c>
      <c r="T72" s="15">
        <f t="shared" ref="T72:T103" si="28">ROUND(SUM(S72:S72),0)</f>
        <v>0</v>
      </c>
      <c r="U72" s="15">
        <f t="shared" ref="U72:U103" si="29">I72*K72*40%*O72</f>
        <v>0</v>
      </c>
      <c r="V72" s="15">
        <f t="shared" ref="V72:V103" si="30">IF(P72&gt;=6750,(I72*K72*40%),0)</f>
        <v>0</v>
      </c>
      <c r="W72" s="15">
        <f t="shared" ref="W72:W103" si="31">IF(P72&lt;6750,0,IF(Q72="",0,IF(OR(Q72="KURANG",Q72="SANGAT KURANG"),I72*K72*10%,I72*K72*20%)))</f>
        <v>0</v>
      </c>
      <c r="X72" s="15">
        <f t="shared" si="24"/>
        <v>0</v>
      </c>
      <c r="Y72" s="15">
        <f t="shared" ref="Y72:Y103" si="32">I72*L72</f>
        <v>0</v>
      </c>
      <c r="Z72" s="15">
        <f t="shared" si="25"/>
        <v>0</v>
      </c>
      <c r="AA72" s="15">
        <f t="shared" ref="AA72:AA103" si="33">I72*M72</f>
        <v>0</v>
      </c>
      <c r="AB72" s="15">
        <f t="shared" si="26"/>
        <v>0</v>
      </c>
      <c r="AC72" s="16">
        <f t="shared" si="27"/>
        <v>0</v>
      </c>
      <c r="AD72" s="16">
        <f t="shared" si="12"/>
        <v>0</v>
      </c>
      <c r="AE72" s="16">
        <f t="shared" si="13"/>
        <v>0</v>
      </c>
      <c r="AF72" s="16">
        <f t="shared" si="14"/>
        <v>0</v>
      </c>
      <c r="AG72" s="16"/>
      <c r="AH72" s="17"/>
      <c r="AI72" s="17">
        <f t="shared" si="15"/>
        <v>0</v>
      </c>
      <c r="AJ72" s="15">
        <f t="shared" si="16"/>
        <v>0</v>
      </c>
      <c r="AK72" s="18">
        <v>65</v>
      </c>
      <c r="AL72" s="25"/>
    </row>
    <row r="73" spans="1:38" ht="23.5" customHeight="1" x14ac:dyDescent="0.2">
      <c r="A73" s="5" t="s">
        <v>103</v>
      </c>
      <c r="B73" s="26"/>
      <c r="C73" s="65"/>
      <c r="D73" s="20"/>
      <c r="E73" s="26"/>
      <c r="F73" s="27"/>
      <c r="G73" s="27"/>
      <c r="H73" s="26"/>
      <c r="I73" s="10"/>
      <c r="J73" s="67"/>
      <c r="K73" s="11"/>
      <c r="L73" s="23"/>
      <c r="M73" s="12"/>
      <c r="N73" s="13">
        <f t="shared" si="23"/>
        <v>0</v>
      </c>
      <c r="O73" s="108"/>
      <c r="P73" s="106"/>
      <c r="Q73" s="106"/>
      <c r="R73" s="68"/>
      <c r="S73" s="15">
        <f t="shared" ref="S73:S136" si="34">I73*J73</f>
        <v>0</v>
      </c>
      <c r="T73" s="15">
        <f t="shared" si="28"/>
        <v>0</v>
      </c>
      <c r="U73" s="15">
        <f t="shared" si="29"/>
        <v>0</v>
      </c>
      <c r="V73" s="15">
        <f t="shared" si="30"/>
        <v>0</v>
      </c>
      <c r="W73" s="15">
        <f t="shared" si="31"/>
        <v>0</v>
      </c>
      <c r="X73" s="15">
        <f t="shared" si="24"/>
        <v>0</v>
      </c>
      <c r="Y73" s="15">
        <f t="shared" si="32"/>
        <v>0</v>
      </c>
      <c r="Z73" s="15">
        <f t="shared" si="25"/>
        <v>0</v>
      </c>
      <c r="AA73" s="15">
        <f t="shared" si="33"/>
        <v>0</v>
      </c>
      <c r="AB73" s="15">
        <f t="shared" si="26"/>
        <v>0</v>
      </c>
      <c r="AC73" s="16">
        <f t="shared" si="27"/>
        <v>0</v>
      </c>
      <c r="AD73" s="16">
        <f t="shared" ref="AD73:AD136" si="35">AG73</f>
        <v>0</v>
      </c>
      <c r="AE73" s="16">
        <f t="shared" ref="AE73:AE136" si="36">AI73</f>
        <v>0</v>
      </c>
      <c r="AF73" s="16">
        <f t="shared" ref="AF73:AF136" si="37">AC73+AD73+AE73</f>
        <v>0</v>
      </c>
      <c r="AG73" s="16"/>
      <c r="AH73" s="17"/>
      <c r="AI73" s="17">
        <f t="shared" ref="AI73:AI136" si="38">AH73*4</f>
        <v>0</v>
      </c>
      <c r="AJ73" s="15">
        <f t="shared" ref="AJ73:AJ136" si="39">AF73-AG73-AH73-AI73</f>
        <v>0</v>
      </c>
      <c r="AK73" s="18">
        <v>66</v>
      </c>
      <c r="AL73" s="25"/>
    </row>
    <row r="74" spans="1:38" ht="23.5" customHeight="1" x14ac:dyDescent="0.2">
      <c r="A74" s="5" t="s">
        <v>104</v>
      </c>
      <c r="B74" s="26"/>
      <c r="C74" s="65"/>
      <c r="D74" s="20"/>
      <c r="E74" s="26"/>
      <c r="F74" s="27"/>
      <c r="G74" s="27"/>
      <c r="H74" s="26"/>
      <c r="I74" s="10"/>
      <c r="J74" s="67"/>
      <c r="K74" s="11"/>
      <c r="L74" s="23"/>
      <c r="M74" s="12"/>
      <c r="N74" s="13">
        <f t="shared" si="23"/>
        <v>0</v>
      </c>
      <c r="O74" s="108"/>
      <c r="P74" s="106"/>
      <c r="Q74" s="106"/>
      <c r="R74" s="68"/>
      <c r="S74" s="15">
        <f t="shared" si="34"/>
        <v>0</v>
      </c>
      <c r="T74" s="15">
        <f t="shared" si="28"/>
        <v>0</v>
      </c>
      <c r="U74" s="15">
        <f t="shared" si="29"/>
        <v>0</v>
      </c>
      <c r="V74" s="15">
        <f t="shared" si="30"/>
        <v>0</v>
      </c>
      <c r="W74" s="15">
        <f t="shared" si="31"/>
        <v>0</v>
      </c>
      <c r="X74" s="15">
        <f t="shared" si="24"/>
        <v>0</v>
      </c>
      <c r="Y74" s="15">
        <f t="shared" si="32"/>
        <v>0</v>
      </c>
      <c r="Z74" s="15">
        <f t="shared" si="25"/>
        <v>0</v>
      </c>
      <c r="AA74" s="15">
        <f t="shared" si="33"/>
        <v>0</v>
      </c>
      <c r="AB74" s="15">
        <f t="shared" si="26"/>
        <v>0</v>
      </c>
      <c r="AC74" s="16">
        <f t="shared" si="27"/>
        <v>0</v>
      </c>
      <c r="AD74" s="16">
        <f t="shared" si="35"/>
        <v>0</v>
      </c>
      <c r="AE74" s="16">
        <f t="shared" si="36"/>
        <v>0</v>
      </c>
      <c r="AF74" s="16">
        <f t="shared" si="37"/>
        <v>0</v>
      </c>
      <c r="AG74" s="16"/>
      <c r="AH74" s="17"/>
      <c r="AI74" s="17">
        <f t="shared" si="38"/>
        <v>0</v>
      </c>
      <c r="AJ74" s="15">
        <f t="shared" si="39"/>
        <v>0</v>
      </c>
      <c r="AK74" s="18">
        <v>67</v>
      </c>
      <c r="AL74" s="25"/>
    </row>
    <row r="75" spans="1:38" ht="23.5" customHeight="1" x14ac:dyDescent="0.2">
      <c r="A75" s="5" t="s">
        <v>105</v>
      </c>
      <c r="B75" s="26"/>
      <c r="C75" s="65"/>
      <c r="D75" s="20"/>
      <c r="E75" s="26"/>
      <c r="F75" s="27"/>
      <c r="G75" s="27"/>
      <c r="H75" s="26"/>
      <c r="I75" s="10"/>
      <c r="J75" s="67"/>
      <c r="K75" s="11"/>
      <c r="L75" s="23"/>
      <c r="M75" s="12"/>
      <c r="N75" s="13">
        <f t="shared" si="23"/>
        <v>0</v>
      </c>
      <c r="O75" s="108"/>
      <c r="P75" s="106"/>
      <c r="Q75" s="106"/>
      <c r="R75" s="68"/>
      <c r="S75" s="15">
        <f t="shared" si="34"/>
        <v>0</v>
      </c>
      <c r="T75" s="15">
        <f t="shared" si="28"/>
        <v>0</v>
      </c>
      <c r="U75" s="15">
        <f t="shared" si="29"/>
        <v>0</v>
      </c>
      <c r="V75" s="15">
        <f t="shared" si="30"/>
        <v>0</v>
      </c>
      <c r="W75" s="15">
        <f t="shared" si="31"/>
        <v>0</v>
      </c>
      <c r="X75" s="15">
        <f t="shared" si="24"/>
        <v>0</v>
      </c>
      <c r="Y75" s="15">
        <f t="shared" si="32"/>
        <v>0</v>
      </c>
      <c r="Z75" s="15">
        <f t="shared" si="25"/>
        <v>0</v>
      </c>
      <c r="AA75" s="15">
        <f t="shared" si="33"/>
        <v>0</v>
      </c>
      <c r="AB75" s="15">
        <f t="shared" si="26"/>
        <v>0</v>
      </c>
      <c r="AC75" s="16">
        <f t="shared" si="27"/>
        <v>0</v>
      </c>
      <c r="AD75" s="16">
        <f t="shared" si="35"/>
        <v>0</v>
      </c>
      <c r="AE75" s="16">
        <f t="shared" si="36"/>
        <v>0</v>
      </c>
      <c r="AF75" s="16">
        <f t="shared" si="37"/>
        <v>0</v>
      </c>
      <c r="AG75" s="16"/>
      <c r="AH75" s="17"/>
      <c r="AI75" s="17">
        <f t="shared" si="38"/>
        <v>0</v>
      </c>
      <c r="AJ75" s="15">
        <f t="shared" si="39"/>
        <v>0</v>
      </c>
      <c r="AK75" s="18">
        <v>68</v>
      </c>
      <c r="AL75" s="25"/>
    </row>
    <row r="76" spans="1:38" ht="23.5" customHeight="1" x14ac:dyDescent="0.2">
      <c r="A76" s="5" t="s">
        <v>106</v>
      </c>
      <c r="B76" s="30"/>
      <c r="C76" s="65"/>
      <c r="D76" s="20"/>
      <c r="E76" s="26"/>
      <c r="F76" s="27"/>
      <c r="G76" s="27"/>
      <c r="H76" s="27"/>
      <c r="I76" s="10"/>
      <c r="J76" s="67"/>
      <c r="K76" s="11"/>
      <c r="L76" s="23"/>
      <c r="M76" s="12"/>
      <c r="N76" s="13">
        <f t="shared" si="23"/>
        <v>0</v>
      </c>
      <c r="O76" s="108"/>
      <c r="P76" s="106"/>
      <c r="Q76" s="106"/>
      <c r="R76" s="68"/>
      <c r="S76" s="15">
        <f t="shared" si="34"/>
        <v>0</v>
      </c>
      <c r="T76" s="15">
        <f t="shared" si="28"/>
        <v>0</v>
      </c>
      <c r="U76" s="15">
        <f t="shared" si="29"/>
        <v>0</v>
      </c>
      <c r="V76" s="15">
        <f t="shared" si="30"/>
        <v>0</v>
      </c>
      <c r="W76" s="15">
        <f t="shared" si="31"/>
        <v>0</v>
      </c>
      <c r="X76" s="15">
        <f t="shared" si="24"/>
        <v>0</v>
      </c>
      <c r="Y76" s="15">
        <f t="shared" si="32"/>
        <v>0</v>
      </c>
      <c r="Z76" s="15">
        <f t="shared" si="25"/>
        <v>0</v>
      </c>
      <c r="AA76" s="15">
        <f t="shared" si="33"/>
        <v>0</v>
      </c>
      <c r="AB76" s="15">
        <f t="shared" si="26"/>
        <v>0</v>
      </c>
      <c r="AC76" s="16">
        <f t="shared" si="27"/>
        <v>0</v>
      </c>
      <c r="AD76" s="16">
        <f t="shared" si="35"/>
        <v>0</v>
      </c>
      <c r="AE76" s="16">
        <f t="shared" si="36"/>
        <v>0</v>
      </c>
      <c r="AF76" s="16">
        <f t="shared" si="37"/>
        <v>0</v>
      </c>
      <c r="AG76" s="16"/>
      <c r="AH76" s="17"/>
      <c r="AI76" s="17">
        <f t="shared" si="38"/>
        <v>0</v>
      </c>
      <c r="AJ76" s="15">
        <f t="shared" si="39"/>
        <v>0</v>
      </c>
      <c r="AK76" s="18">
        <v>69</v>
      </c>
      <c r="AL76" s="25"/>
    </row>
    <row r="77" spans="1:38" ht="23.5" customHeight="1" x14ac:dyDescent="0.2">
      <c r="A77" s="5" t="s">
        <v>107</v>
      </c>
      <c r="B77" s="30"/>
      <c r="C77" s="65"/>
      <c r="D77" s="20"/>
      <c r="E77" s="26"/>
      <c r="F77" s="27"/>
      <c r="G77" s="27"/>
      <c r="H77" s="27"/>
      <c r="I77" s="10"/>
      <c r="J77" s="67"/>
      <c r="K77" s="11"/>
      <c r="L77" s="23"/>
      <c r="M77" s="12"/>
      <c r="N77" s="13">
        <f t="shared" si="23"/>
        <v>0</v>
      </c>
      <c r="O77" s="108"/>
      <c r="P77" s="106"/>
      <c r="Q77" s="106"/>
      <c r="R77" s="68"/>
      <c r="S77" s="15">
        <f t="shared" si="34"/>
        <v>0</v>
      </c>
      <c r="T77" s="15">
        <f t="shared" si="28"/>
        <v>0</v>
      </c>
      <c r="U77" s="15">
        <f t="shared" si="29"/>
        <v>0</v>
      </c>
      <c r="V77" s="15">
        <f t="shared" si="30"/>
        <v>0</v>
      </c>
      <c r="W77" s="15">
        <f t="shared" si="31"/>
        <v>0</v>
      </c>
      <c r="X77" s="15">
        <f t="shared" si="24"/>
        <v>0</v>
      </c>
      <c r="Y77" s="15">
        <f t="shared" si="32"/>
        <v>0</v>
      </c>
      <c r="Z77" s="15">
        <f t="shared" si="25"/>
        <v>0</v>
      </c>
      <c r="AA77" s="15">
        <f t="shared" si="33"/>
        <v>0</v>
      </c>
      <c r="AB77" s="15">
        <f t="shared" si="26"/>
        <v>0</v>
      </c>
      <c r="AC77" s="16">
        <f t="shared" si="27"/>
        <v>0</v>
      </c>
      <c r="AD77" s="16">
        <f t="shared" si="35"/>
        <v>0</v>
      </c>
      <c r="AE77" s="16">
        <f t="shared" si="36"/>
        <v>0</v>
      </c>
      <c r="AF77" s="16">
        <f t="shared" si="37"/>
        <v>0</v>
      </c>
      <c r="AG77" s="16"/>
      <c r="AH77" s="17"/>
      <c r="AI77" s="17">
        <f t="shared" si="38"/>
        <v>0</v>
      </c>
      <c r="AJ77" s="15">
        <f t="shared" si="39"/>
        <v>0</v>
      </c>
      <c r="AK77" s="18">
        <v>70</v>
      </c>
      <c r="AL77" s="43"/>
    </row>
    <row r="78" spans="1:38" ht="23.5" customHeight="1" x14ac:dyDescent="0.2">
      <c r="A78" s="5" t="s">
        <v>108</v>
      </c>
      <c r="B78" s="30"/>
      <c r="C78" s="65"/>
      <c r="D78" s="20"/>
      <c r="E78" s="26"/>
      <c r="F78" s="27"/>
      <c r="G78" s="27"/>
      <c r="H78" s="27"/>
      <c r="I78" s="10"/>
      <c r="J78" s="67"/>
      <c r="K78" s="11"/>
      <c r="L78" s="23"/>
      <c r="M78" s="12"/>
      <c r="N78" s="13">
        <f t="shared" si="23"/>
        <v>0</v>
      </c>
      <c r="O78" s="108"/>
      <c r="P78" s="106"/>
      <c r="Q78" s="106"/>
      <c r="R78" s="68"/>
      <c r="S78" s="15">
        <f t="shared" si="34"/>
        <v>0</v>
      </c>
      <c r="T78" s="15">
        <f t="shared" si="28"/>
        <v>0</v>
      </c>
      <c r="U78" s="15">
        <f t="shared" si="29"/>
        <v>0</v>
      </c>
      <c r="V78" s="15">
        <f t="shared" si="30"/>
        <v>0</v>
      </c>
      <c r="W78" s="15">
        <f t="shared" si="31"/>
        <v>0</v>
      </c>
      <c r="X78" s="15">
        <f t="shared" si="24"/>
        <v>0</v>
      </c>
      <c r="Y78" s="15">
        <f t="shared" si="32"/>
        <v>0</v>
      </c>
      <c r="Z78" s="15">
        <f t="shared" si="25"/>
        <v>0</v>
      </c>
      <c r="AA78" s="15">
        <f t="shared" si="33"/>
        <v>0</v>
      </c>
      <c r="AB78" s="15">
        <f t="shared" si="26"/>
        <v>0</v>
      </c>
      <c r="AC78" s="16">
        <f t="shared" si="27"/>
        <v>0</v>
      </c>
      <c r="AD78" s="16">
        <f t="shared" si="35"/>
        <v>0</v>
      </c>
      <c r="AE78" s="16">
        <f t="shared" si="36"/>
        <v>0</v>
      </c>
      <c r="AF78" s="16">
        <f t="shared" si="37"/>
        <v>0</v>
      </c>
      <c r="AG78" s="16"/>
      <c r="AH78" s="17"/>
      <c r="AI78" s="17">
        <f t="shared" si="38"/>
        <v>0</v>
      </c>
      <c r="AJ78" s="15">
        <f t="shared" si="39"/>
        <v>0</v>
      </c>
      <c r="AK78" s="18">
        <v>71</v>
      </c>
      <c r="AL78" s="25"/>
    </row>
    <row r="79" spans="1:38" ht="23.5" customHeight="1" x14ac:dyDescent="0.2">
      <c r="A79" s="5" t="s">
        <v>109</v>
      </c>
      <c r="B79" s="26"/>
      <c r="C79" s="65"/>
      <c r="D79" s="20"/>
      <c r="E79" s="26"/>
      <c r="F79" s="27"/>
      <c r="G79" s="27"/>
      <c r="H79" s="27"/>
      <c r="I79" s="10"/>
      <c r="J79" s="67"/>
      <c r="K79" s="11"/>
      <c r="L79" s="23"/>
      <c r="M79" s="12"/>
      <c r="N79" s="13">
        <f t="shared" si="23"/>
        <v>0</v>
      </c>
      <c r="O79" s="108"/>
      <c r="P79" s="106"/>
      <c r="Q79" s="106"/>
      <c r="R79" s="68"/>
      <c r="S79" s="15">
        <f t="shared" si="34"/>
        <v>0</v>
      </c>
      <c r="T79" s="15">
        <f t="shared" si="28"/>
        <v>0</v>
      </c>
      <c r="U79" s="15">
        <f t="shared" si="29"/>
        <v>0</v>
      </c>
      <c r="V79" s="15">
        <f t="shared" si="30"/>
        <v>0</v>
      </c>
      <c r="W79" s="15">
        <f t="shared" si="31"/>
        <v>0</v>
      </c>
      <c r="X79" s="15">
        <f t="shared" si="24"/>
        <v>0</v>
      </c>
      <c r="Y79" s="15">
        <f t="shared" si="32"/>
        <v>0</v>
      </c>
      <c r="Z79" s="15">
        <f t="shared" si="25"/>
        <v>0</v>
      </c>
      <c r="AA79" s="15">
        <f t="shared" si="33"/>
        <v>0</v>
      </c>
      <c r="AB79" s="15">
        <f t="shared" si="26"/>
        <v>0</v>
      </c>
      <c r="AC79" s="16">
        <f t="shared" si="27"/>
        <v>0</v>
      </c>
      <c r="AD79" s="16">
        <f t="shared" si="35"/>
        <v>0</v>
      </c>
      <c r="AE79" s="16">
        <f t="shared" si="36"/>
        <v>0</v>
      </c>
      <c r="AF79" s="16">
        <f t="shared" si="37"/>
        <v>0</v>
      </c>
      <c r="AG79" s="16"/>
      <c r="AH79" s="17"/>
      <c r="AI79" s="17">
        <f t="shared" si="38"/>
        <v>0</v>
      </c>
      <c r="AJ79" s="15">
        <f t="shared" si="39"/>
        <v>0</v>
      </c>
      <c r="AK79" s="18">
        <v>72</v>
      </c>
      <c r="AL79" s="43"/>
    </row>
    <row r="80" spans="1:38" ht="23.5" customHeight="1" x14ac:dyDescent="0.2">
      <c r="A80" s="5" t="s">
        <v>110</v>
      </c>
      <c r="B80" s="26"/>
      <c r="C80" s="65"/>
      <c r="D80" s="20"/>
      <c r="E80" s="26"/>
      <c r="F80" s="27"/>
      <c r="G80" s="27"/>
      <c r="H80" s="27"/>
      <c r="I80" s="10"/>
      <c r="J80" s="67"/>
      <c r="K80" s="11"/>
      <c r="L80" s="23"/>
      <c r="M80" s="12"/>
      <c r="N80" s="13">
        <f t="shared" si="23"/>
        <v>0</v>
      </c>
      <c r="O80" s="108"/>
      <c r="P80" s="106"/>
      <c r="Q80" s="106"/>
      <c r="R80" s="68"/>
      <c r="S80" s="15">
        <f t="shared" si="34"/>
        <v>0</v>
      </c>
      <c r="T80" s="15">
        <f t="shared" si="28"/>
        <v>0</v>
      </c>
      <c r="U80" s="15">
        <f t="shared" si="29"/>
        <v>0</v>
      </c>
      <c r="V80" s="15">
        <f t="shared" si="30"/>
        <v>0</v>
      </c>
      <c r="W80" s="15">
        <f t="shared" si="31"/>
        <v>0</v>
      </c>
      <c r="X80" s="15">
        <f t="shared" si="24"/>
        <v>0</v>
      </c>
      <c r="Y80" s="15">
        <f t="shared" si="32"/>
        <v>0</v>
      </c>
      <c r="Z80" s="15">
        <f t="shared" si="25"/>
        <v>0</v>
      </c>
      <c r="AA80" s="15">
        <f t="shared" si="33"/>
        <v>0</v>
      </c>
      <c r="AB80" s="15">
        <f t="shared" si="26"/>
        <v>0</v>
      </c>
      <c r="AC80" s="16">
        <f t="shared" si="27"/>
        <v>0</v>
      </c>
      <c r="AD80" s="16">
        <f t="shared" si="35"/>
        <v>0</v>
      </c>
      <c r="AE80" s="16">
        <f t="shared" si="36"/>
        <v>0</v>
      </c>
      <c r="AF80" s="16">
        <f t="shared" si="37"/>
        <v>0</v>
      </c>
      <c r="AG80" s="16"/>
      <c r="AH80" s="17"/>
      <c r="AI80" s="17">
        <f t="shared" si="38"/>
        <v>0</v>
      </c>
      <c r="AJ80" s="15">
        <f t="shared" si="39"/>
        <v>0</v>
      </c>
      <c r="AK80" s="18">
        <v>73</v>
      </c>
      <c r="AL80" s="25"/>
    </row>
    <row r="81" spans="1:38" ht="23.5" customHeight="1" x14ac:dyDescent="0.2">
      <c r="A81" s="5" t="s">
        <v>111</v>
      </c>
      <c r="B81" s="30"/>
      <c r="C81" s="65"/>
      <c r="D81" s="20"/>
      <c r="E81" s="26"/>
      <c r="F81" s="27"/>
      <c r="G81" s="27"/>
      <c r="H81" s="27"/>
      <c r="I81" s="10"/>
      <c r="J81" s="67"/>
      <c r="K81" s="11"/>
      <c r="L81" s="23"/>
      <c r="M81" s="12"/>
      <c r="N81" s="13">
        <f t="shared" si="23"/>
        <v>0</v>
      </c>
      <c r="O81" s="108"/>
      <c r="P81" s="106"/>
      <c r="Q81" s="106"/>
      <c r="R81" s="68"/>
      <c r="S81" s="15">
        <f t="shared" si="34"/>
        <v>0</v>
      </c>
      <c r="T81" s="15">
        <f t="shared" si="28"/>
        <v>0</v>
      </c>
      <c r="U81" s="15">
        <f t="shared" si="29"/>
        <v>0</v>
      </c>
      <c r="V81" s="15">
        <f t="shared" si="30"/>
        <v>0</v>
      </c>
      <c r="W81" s="15">
        <f t="shared" si="31"/>
        <v>0</v>
      </c>
      <c r="X81" s="15">
        <f t="shared" si="24"/>
        <v>0</v>
      </c>
      <c r="Y81" s="15">
        <f t="shared" si="32"/>
        <v>0</v>
      </c>
      <c r="Z81" s="15">
        <f t="shared" si="25"/>
        <v>0</v>
      </c>
      <c r="AA81" s="15">
        <f t="shared" si="33"/>
        <v>0</v>
      </c>
      <c r="AB81" s="15">
        <f t="shared" si="26"/>
        <v>0</v>
      </c>
      <c r="AC81" s="16">
        <f t="shared" si="27"/>
        <v>0</v>
      </c>
      <c r="AD81" s="16">
        <f t="shared" si="35"/>
        <v>0</v>
      </c>
      <c r="AE81" s="16">
        <f t="shared" si="36"/>
        <v>0</v>
      </c>
      <c r="AF81" s="16">
        <f t="shared" si="37"/>
        <v>0</v>
      </c>
      <c r="AG81" s="16"/>
      <c r="AH81" s="17"/>
      <c r="AI81" s="17">
        <f t="shared" si="38"/>
        <v>0</v>
      </c>
      <c r="AJ81" s="15">
        <f t="shared" si="39"/>
        <v>0</v>
      </c>
      <c r="AK81" s="18">
        <v>74</v>
      </c>
      <c r="AL81" s="25"/>
    </row>
    <row r="82" spans="1:38" ht="23.5" customHeight="1" x14ac:dyDescent="0.2">
      <c r="A82" s="5" t="s">
        <v>112</v>
      </c>
      <c r="B82" s="30"/>
      <c r="C82" s="65"/>
      <c r="D82" s="20"/>
      <c r="E82" s="26"/>
      <c r="F82" s="27"/>
      <c r="G82" s="27"/>
      <c r="H82" s="27"/>
      <c r="I82" s="10"/>
      <c r="J82" s="67"/>
      <c r="K82" s="11"/>
      <c r="L82" s="23"/>
      <c r="M82" s="12"/>
      <c r="N82" s="13">
        <f t="shared" si="23"/>
        <v>0</v>
      </c>
      <c r="O82" s="108"/>
      <c r="P82" s="106"/>
      <c r="Q82" s="106"/>
      <c r="R82" s="68"/>
      <c r="S82" s="15">
        <f t="shared" si="34"/>
        <v>0</v>
      </c>
      <c r="T82" s="15">
        <f t="shared" si="28"/>
        <v>0</v>
      </c>
      <c r="U82" s="15">
        <f t="shared" si="29"/>
        <v>0</v>
      </c>
      <c r="V82" s="15">
        <f t="shared" si="30"/>
        <v>0</v>
      </c>
      <c r="W82" s="15">
        <f t="shared" si="31"/>
        <v>0</v>
      </c>
      <c r="X82" s="15">
        <f t="shared" si="24"/>
        <v>0</v>
      </c>
      <c r="Y82" s="15">
        <f t="shared" si="32"/>
        <v>0</v>
      </c>
      <c r="Z82" s="15">
        <f t="shared" si="25"/>
        <v>0</v>
      </c>
      <c r="AA82" s="15">
        <f t="shared" si="33"/>
        <v>0</v>
      </c>
      <c r="AB82" s="15">
        <f t="shared" si="26"/>
        <v>0</v>
      </c>
      <c r="AC82" s="16">
        <f t="shared" si="27"/>
        <v>0</v>
      </c>
      <c r="AD82" s="16">
        <f t="shared" si="35"/>
        <v>0</v>
      </c>
      <c r="AE82" s="16">
        <f t="shared" si="36"/>
        <v>0</v>
      </c>
      <c r="AF82" s="16">
        <f t="shared" si="37"/>
        <v>0</v>
      </c>
      <c r="AG82" s="16"/>
      <c r="AH82" s="17"/>
      <c r="AI82" s="17">
        <f t="shared" si="38"/>
        <v>0</v>
      </c>
      <c r="AJ82" s="15">
        <f t="shared" si="39"/>
        <v>0</v>
      </c>
      <c r="AK82" s="18">
        <v>75</v>
      </c>
      <c r="AL82" s="25"/>
    </row>
    <row r="83" spans="1:38" ht="23.5" customHeight="1" x14ac:dyDescent="0.2">
      <c r="A83" s="5" t="s">
        <v>113</v>
      </c>
      <c r="B83" s="26"/>
      <c r="C83" s="65"/>
      <c r="D83" s="20"/>
      <c r="E83" s="26"/>
      <c r="F83" s="27"/>
      <c r="G83" s="27"/>
      <c r="H83" s="27"/>
      <c r="I83" s="10"/>
      <c r="J83" s="67"/>
      <c r="K83" s="11"/>
      <c r="L83" s="23"/>
      <c r="M83" s="12"/>
      <c r="N83" s="13">
        <f t="shared" si="23"/>
        <v>0</v>
      </c>
      <c r="O83" s="108"/>
      <c r="P83" s="106"/>
      <c r="Q83" s="106"/>
      <c r="R83" s="68"/>
      <c r="S83" s="15">
        <f t="shared" si="34"/>
        <v>0</v>
      </c>
      <c r="T83" s="15">
        <f t="shared" si="28"/>
        <v>0</v>
      </c>
      <c r="U83" s="15">
        <f t="shared" si="29"/>
        <v>0</v>
      </c>
      <c r="V83" s="15">
        <f t="shared" si="30"/>
        <v>0</v>
      </c>
      <c r="W83" s="15">
        <f t="shared" si="31"/>
        <v>0</v>
      </c>
      <c r="X83" s="15">
        <f t="shared" si="24"/>
        <v>0</v>
      </c>
      <c r="Y83" s="15">
        <f t="shared" si="32"/>
        <v>0</v>
      </c>
      <c r="Z83" s="15">
        <f t="shared" si="25"/>
        <v>0</v>
      </c>
      <c r="AA83" s="15">
        <f t="shared" si="33"/>
        <v>0</v>
      </c>
      <c r="AB83" s="15">
        <f t="shared" si="26"/>
        <v>0</v>
      </c>
      <c r="AC83" s="16">
        <f t="shared" si="27"/>
        <v>0</v>
      </c>
      <c r="AD83" s="16">
        <f t="shared" si="35"/>
        <v>0</v>
      </c>
      <c r="AE83" s="16">
        <f t="shared" si="36"/>
        <v>0</v>
      </c>
      <c r="AF83" s="16">
        <f t="shared" si="37"/>
        <v>0</v>
      </c>
      <c r="AG83" s="16"/>
      <c r="AH83" s="17"/>
      <c r="AI83" s="17">
        <f t="shared" si="38"/>
        <v>0</v>
      </c>
      <c r="AJ83" s="15">
        <f t="shared" si="39"/>
        <v>0</v>
      </c>
      <c r="AK83" s="18">
        <v>76</v>
      </c>
      <c r="AL83" s="25"/>
    </row>
    <row r="84" spans="1:38" ht="23.5" customHeight="1" x14ac:dyDescent="0.2">
      <c r="A84" s="5" t="s">
        <v>114</v>
      </c>
      <c r="B84" s="26"/>
      <c r="C84" s="65"/>
      <c r="D84" s="20"/>
      <c r="E84" s="26"/>
      <c r="F84" s="27"/>
      <c r="G84" s="27"/>
      <c r="H84" s="27"/>
      <c r="I84" s="10"/>
      <c r="J84" s="67"/>
      <c r="K84" s="11"/>
      <c r="L84" s="23"/>
      <c r="M84" s="12"/>
      <c r="N84" s="13">
        <f t="shared" si="23"/>
        <v>0</v>
      </c>
      <c r="O84" s="108"/>
      <c r="P84" s="106"/>
      <c r="Q84" s="106"/>
      <c r="R84" s="68"/>
      <c r="S84" s="15">
        <f t="shared" si="34"/>
        <v>0</v>
      </c>
      <c r="T84" s="15">
        <f t="shared" si="28"/>
        <v>0</v>
      </c>
      <c r="U84" s="15">
        <f t="shared" si="29"/>
        <v>0</v>
      </c>
      <c r="V84" s="15">
        <f t="shared" si="30"/>
        <v>0</v>
      </c>
      <c r="W84" s="15">
        <f t="shared" si="31"/>
        <v>0</v>
      </c>
      <c r="X84" s="15">
        <f t="shared" si="24"/>
        <v>0</v>
      </c>
      <c r="Y84" s="15">
        <f t="shared" si="32"/>
        <v>0</v>
      </c>
      <c r="Z84" s="15">
        <f t="shared" si="25"/>
        <v>0</v>
      </c>
      <c r="AA84" s="15">
        <f t="shared" si="33"/>
        <v>0</v>
      </c>
      <c r="AB84" s="15">
        <f t="shared" si="26"/>
        <v>0</v>
      </c>
      <c r="AC84" s="16">
        <f t="shared" si="27"/>
        <v>0</v>
      </c>
      <c r="AD84" s="16">
        <f t="shared" si="35"/>
        <v>0</v>
      </c>
      <c r="AE84" s="16">
        <f t="shared" si="36"/>
        <v>0</v>
      </c>
      <c r="AF84" s="16">
        <f t="shared" si="37"/>
        <v>0</v>
      </c>
      <c r="AG84" s="16"/>
      <c r="AH84" s="17"/>
      <c r="AI84" s="17">
        <f t="shared" si="38"/>
        <v>0</v>
      </c>
      <c r="AJ84" s="15">
        <f t="shared" si="39"/>
        <v>0</v>
      </c>
      <c r="AK84" s="18">
        <v>77</v>
      </c>
      <c r="AL84" s="25"/>
    </row>
    <row r="85" spans="1:38" ht="23.5" customHeight="1" x14ac:dyDescent="0.2">
      <c r="A85" s="5" t="s">
        <v>115</v>
      </c>
      <c r="B85" s="26"/>
      <c r="C85" s="65"/>
      <c r="D85" s="20"/>
      <c r="E85" s="26"/>
      <c r="F85" s="27"/>
      <c r="G85" s="27"/>
      <c r="H85" s="27"/>
      <c r="I85" s="10"/>
      <c r="J85" s="67"/>
      <c r="K85" s="11"/>
      <c r="L85" s="23"/>
      <c r="M85" s="12"/>
      <c r="N85" s="13">
        <f t="shared" si="23"/>
        <v>0</v>
      </c>
      <c r="O85" s="108"/>
      <c r="P85" s="106"/>
      <c r="Q85" s="106"/>
      <c r="R85" s="68"/>
      <c r="S85" s="15">
        <f t="shared" si="34"/>
        <v>0</v>
      </c>
      <c r="T85" s="15">
        <f t="shared" si="28"/>
        <v>0</v>
      </c>
      <c r="U85" s="15">
        <f t="shared" si="29"/>
        <v>0</v>
      </c>
      <c r="V85" s="15">
        <f t="shared" si="30"/>
        <v>0</v>
      </c>
      <c r="W85" s="15">
        <f t="shared" si="31"/>
        <v>0</v>
      </c>
      <c r="X85" s="15">
        <f t="shared" si="24"/>
        <v>0</v>
      </c>
      <c r="Y85" s="15">
        <f t="shared" si="32"/>
        <v>0</v>
      </c>
      <c r="Z85" s="15">
        <f t="shared" si="25"/>
        <v>0</v>
      </c>
      <c r="AA85" s="15">
        <f t="shared" si="33"/>
        <v>0</v>
      </c>
      <c r="AB85" s="15">
        <f t="shared" si="26"/>
        <v>0</v>
      </c>
      <c r="AC85" s="16">
        <f t="shared" si="27"/>
        <v>0</v>
      </c>
      <c r="AD85" s="16">
        <f t="shared" si="35"/>
        <v>0</v>
      </c>
      <c r="AE85" s="16">
        <f t="shared" si="36"/>
        <v>0</v>
      </c>
      <c r="AF85" s="16">
        <f t="shared" si="37"/>
        <v>0</v>
      </c>
      <c r="AG85" s="16"/>
      <c r="AH85" s="17"/>
      <c r="AI85" s="17">
        <f t="shared" si="38"/>
        <v>0</v>
      </c>
      <c r="AJ85" s="15">
        <f t="shared" si="39"/>
        <v>0</v>
      </c>
      <c r="AK85" s="18">
        <v>78</v>
      </c>
      <c r="AL85" s="43"/>
    </row>
    <row r="86" spans="1:38" ht="23.5" customHeight="1" x14ac:dyDescent="0.2">
      <c r="A86" s="5" t="s">
        <v>116</v>
      </c>
      <c r="B86" s="26"/>
      <c r="C86" s="65"/>
      <c r="D86" s="20"/>
      <c r="E86" s="26"/>
      <c r="F86" s="27"/>
      <c r="G86" s="27"/>
      <c r="H86" s="27"/>
      <c r="I86" s="10"/>
      <c r="J86" s="67"/>
      <c r="K86" s="11"/>
      <c r="L86" s="23"/>
      <c r="M86" s="12"/>
      <c r="N86" s="13">
        <f t="shared" si="23"/>
        <v>0</v>
      </c>
      <c r="O86" s="108"/>
      <c r="P86" s="106"/>
      <c r="Q86" s="106"/>
      <c r="R86" s="68"/>
      <c r="S86" s="15">
        <f t="shared" si="34"/>
        <v>0</v>
      </c>
      <c r="T86" s="15">
        <f t="shared" si="28"/>
        <v>0</v>
      </c>
      <c r="U86" s="15">
        <f t="shared" si="29"/>
        <v>0</v>
      </c>
      <c r="V86" s="15">
        <f t="shared" si="30"/>
        <v>0</v>
      </c>
      <c r="W86" s="15">
        <f t="shared" si="31"/>
        <v>0</v>
      </c>
      <c r="X86" s="15">
        <f t="shared" si="24"/>
        <v>0</v>
      </c>
      <c r="Y86" s="15">
        <f t="shared" si="32"/>
        <v>0</v>
      </c>
      <c r="Z86" s="15">
        <f t="shared" si="25"/>
        <v>0</v>
      </c>
      <c r="AA86" s="15">
        <f t="shared" si="33"/>
        <v>0</v>
      </c>
      <c r="AB86" s="15">
        <f t="shared" si="26"/>
        <v>0</v>
      </c>
      <c r="AC86" s="16">
        <f t="shared" si="27"/>
        <v>0</v>
      </c>
      <c r="AD86" s="16">
        <f t="shared" si="35"/>
        <v>0</v>
      </c>
      <c r="AE86" s="16">
        <f t="shared" si="36"/>
        <v>0</v>
      </c>
      <c r="AF86" s="16">
        <f t="shared" si="37"/>
        <v>0</v>
      </c>
      <c r="AG86" s="16"/>
      <c r="AH86" s="17"/>
      <c r="AI86" s="17">
        <f t="shared" si="38"/>
        <v>0</v>
      </c>
      <c r="AJ86" s="15">
        <f t="shared" si="39"/>
        <v>0</v>
      </c>
      <c r="AK86" s="18">
        <v>79</v>
      </c>
      <c r="AL86" s="25"/>
    </row>
    <row r="87" spans="1:38" ht="23.5" customHeight="1" x14ac:dyDescent="0.2">
      <c r="A87" s="5" t="s">
        <v>117</v>
      </c>
      <c r="B87" s="26"/>
      <c r="C87" s="65"/>
      <c r="D87" s="20"/>
      <c r="E87" s="26"/>
      <c r="F87" s="27"/>
      <c r="G87" s="27"/>
      <c r="H87" s="27"/>
      <c r="I87" s="10"/>
      <c r="J87" s="67"/>
      <c r="K87" s="11"/>
      <c r="L87" s="23"/>
      <c r="M87" s="12"/>
      <c r="N87" s="13">
        <f t="shared" si="23"/>
        <v>0</v>
      </c>
      <c r="O87" s="108"/>
      <c r="P87" s="106"/>
      <c r="Q87" s="106"/>
      <c r="R87" s="68"/>
      <c r="S87" s="15">
        <f t="shared" si="34"/>
        <v>0</v>
      </c>
      <c r="T87" s="15">
        <f t="shared" si="28"/>
        <v>0</v>
      </c>
      <c r="U87" s="15">
        <f t="shared" si="29"/>
        <v>0</v>
      </c>
      <c r="V87" s="15">
        <f t="shared" si="30"/>
        <v>0</v>
      </c>
      <c r="W87" s="15">
        <f t="shared" si="31"/>
        <v>0</v>
      </c>
      <c r="X87" s="15">
        <f t="shared" si="24"/>
        <v>0</v>
      </c>
      <c r="Y87" s="15">
        <f t="shared" si="32"/>
        <v>0</v>
      </c>
      <c r="Z87" s="15">
        <f t="shared" si="25"/>
        <v>0</v>
      </c>
      <c r="AA87" s="15">
        <f t="shared" si="33"/>
        <v>0</v>
      </c>
      <c r="AB87" s="15">
        <f t="shared" si="26"/>
        <v>0</v>
      </c>
      <c r="AC87" s="16">
        <f t="shared" si="27"/>
        <v>0</v>
      </c>
      <c r="AD87" s="16">
        <f t="shared" si="35"/>
        <v>0</v>
      </c>
      <c r="AE87" s="16">
        <f t="shared" si="36"/>
        <v>0</v>
      </c>
      <c r="AF87" s="16">
        <f t="shared" si="37"/>
        <v>0</v>
      </c>
      <c r="AG87" s="16"/>
      <c r="AH87" s="17"/>
      <c r="AI87" s="17">
        <f t="shared" si="38"/>
        <v>0</v>
      </c>
      <c r="AJ87" s="15">
        <f t="shared" si="39"/>
        <v>0</v>
      </c>
      <c r="AK87" s="18">
        <v>80</v>
      </c>
      <c r="AL87" s="43"/>
    </row>
    <row r="88" spans="1:38" ht="23.5" customHeight="1" x14ac:dyDescent="0.2">
      <c r="A88" s="5" t="s">
        <v>118</v>
      </c>
      <c r="B88" s="26"/>
      <c r="C88" s="65"/>
      <c r="D88" s="20"/>
      <c r="E88" s="26"/>
      <c r="F88" s="27"/>
      <c r="G88" s="27"/>
      <c r="H88" s="27"/>
      <c r="I88" s="10"/>
      <c r="J88" s="67"/>
      <c r="K88" s="11"/>
      <c r="L88" s="23"/>
      <c r="M88" s="12"/>
      <c r="N88" s="13">
        <f t="shared" ref="N88:N95" si="40">ROUND(I88*(SUM(J88:M88)),0)</f>
        <v>0</v>
      </c>
      <c r="O88" s="108"/>
      <c r="P88" s="106"/>
      <c r="Q88" s="106"/>
      <c r="R88" s="68"/>
      <c r="S88" s="15">
        <f t="shared" si="34"/>
        <v>0</v>
      </c>
      <c r="T88" s="15">
        <f t="shared" si="28"/>
        <v>0</v>
      </c>
      <c r="U88" s="15">
        <f t="shared" si="29"/>
        <v>0</v>
      </c>
      <c r="V88" s="15">
        <f t="shared" si="30"/>
        <v>0</v>
      </c>
      <c r="W88" s="15">
        <f t="shared" si="31"/>
        <v>0</v>
      </c>
      <c r="X88" s="15">
        <f t="shared" si="24"/>
        <v>0</v>
      </c>
      <c r="Y88" s="15">
        <f t="shared" si="32"/>
        <v>0</v>
      </c>
      <c r="Z88" s="15">
        <f t="shared" si="25"/>
        <v>0</v>
      </c>
      <c r="AA88" s="15">
        <f t="shared" si="33"/>
        <v>0</v>
      </c>
      <c r="AB88" s="15">
        <f t="shared" si="26"/>
        <v>0</v>
      </c>
      <c r="AC88" s="16">
        <f t="shared" si="27"/>
        <v>0</v>
      </c>
      <c r="AD88" s="16">
        <f t="shared" si="35"/>
        <v>0</v>
      </c>
      <c r="AE88" s="16">
        <f t="shared" si="36"/>
        <v>0</v>
      </c>
      <c r="AF88" s="16">
        <f t="shared" si="37"/>
        <v>0</v>
      </c>
      <c r="AG88" s="16"/>
      <c r="AH88" s="17"/>
      <c r="AI88" s="17">
        <f t="shared" si="38"/>
        <v>0</v>
      </c>
      <c r="AJ88" s="15">
        <f t="shared" si="39"/>
        <v>0</v>
      </c>
      <c r="AK88" s="18">
        <v>81</v>
      </c>
      <c r="AL88" s="25"/>
    </row>
    <row r="89" spans="1:38" ht="23.5" customHeight="1" x14ac:dyDescent="0.2">
      <c r="A89" s="5" t="s">
        <v>119</v>
      </c>
      <c r="B89" s="30"/>
      <c r="C89" s="65"/>
      <c r="D89" s="20"/>
      <c r="E89" s="26"/>
      <c r="F89" s="27"/>
      <c r="G89" s="27"/>
      <c r="H89" s="27"/>
      <c r="I89" s="10"/>
      <c r="J89" s="67"/>
      <c r="K89" s="11"/>
      <c r="L89" s="23"/>
      <c r="M89" s="12"/>
      <c r="N89" s="13">
        <f t="shared" si="40"/>
        <v>0</v>
      </c>
      <c r="O89" s="108"/>
      <c r="P89" s="106"/>
      <c r="Q89" s="106"/>
      <c r="R89" s="68"/>
      <c r="S89" s="15">
        <f t="shared" si="34"/>
        <v>0</v>
      </c>
      <c r="T89" s="15">
        <f t="shared" si="28"/>
        <v>0</v>
      </c>
      <c r="U89" s="15">
        <f t="shared" si="29"/>
        <v>0</v>
      </c>
      <c r="V89" s="15">
        <f t="shared" si="30"/>
        <v>0</v>
      </c>
      <c r="W89" s="15">
        <f t="shared" si="31"/>
        <v>0</v>
      </c>
      <c r="X89" s="15">
        <f t="shared" si="24"/>
        <v>0</v>
      </c>
      <c r="Y89" s="15">
        <f t="shared" si="32"/>
        <v>0</v>
      </c>
      <c r="Z89" s="15">
        <f t="shared" si="25"/>
        <v>0</v>
      </c>
      <c r="AA89" s="15">
        <f t="shared" si="33"/>
        <v>0</v>
      </c>
      <c r="AB89" s="15">
        <f t="shared" si="26"/>
        <v>0</v>
      </c>
      <c r="AC89" s="16">
        <f t="shared" si="27"/>
        <v>0</v>
      </c>
      <c r="AD89" s="16">
        <f t="shared" si="35"/>
        <v>0</v>
      </c>
      <c r="AE89" s="16">
        <f t="shared" si="36"/>
        <v>0</v>
      </c>
      <c r="AF89" s="16">
        <f t="shared" si="37"/>
        <v>0</v>
      </c>
      <c r="AG89" s="16"/>
      <c r="AH89" s="17"/>
      <c r="AI89" s="17">
        <f t="shared" si="38"/>
        <v>0</v>
      </c>
      <c r="AJ89" s="15">
        <f t="shared" si="39"/>
        <v>0</v>
      </c>
      <c r="AK89" s="18">
        <v>82</v>
      </c>
      <c r="AL89" s="25"/>
    </row>
    <row r="90" spans="1:38" ht="23.5" customHeight="1" x14ac:dyDescent="0.2">
      <c r="A90" s="5" t="s">
        <v>120</v>
      </c>
      <c r="B90" s="30"/>
      <c r="C90" s="65"/>
      <c r="D90" s="20"/>
      <c r="E90" s="26"/>
      <c r="F90" s="27"/>
      <c r="G90" s="27"/>
      <c r="H90" s="27"/>
      <c r="I90" s="10"/>
      <c r="J90" s="67"/>
      <c r="K90" s="11"/>
      <c r="L90" s="23"/>
      <c r="M90" s="12"/>
      <c r="N90" s="13">
        <f t="shared" si="40"/>
        <v>0</v>
      </c>
      <c r="O90" s="108"/>
      <c r="P90" s="106"/>
      <c r="Q90" s="106"/>
      <c r="R90" s="68"/>
      <c r="S90" s="15">
        <f t="shared" si="34"/>
        <v>0</v>
      </c>
      <c r="T90" s="15">
        <f t="shared" si="28"/>
        <v>0</v>
      </c>
      <c r="U90" s="15">
        <f t="shared" si="29"/>
        <v>0</v>
      </c>
      <c r="V90" s="15">
        <f t="shared" si="30"/>
        <v>0</v>
      </c>
      <c r="W90" s="15">
        <f t="shared" si="31"/>
        <v>0</v>
      </c>
      <c r="X90" s="15">
        <f t="shared" si="24"/>
        <v>0</v>
      </c>
      <c r="Y90" s="15">
        <f t="shared" si="32"/>
        <v>0</v>
      </c>
      <c r="Z90" s="15">
        <f t="shared" si="25"/>
        <v>0</v>
      </c>
      <c r="AA90" s="15">
        <f t="shared" si="33"/>
        <v>0</v>
      </c>
      <c r="AB90" s="15">
        <f t="shared" si="26"/>
        <v>0</v>
      </c>
      <c r="AC90" s="16">
        <f t="shared" si="27"/>
        <v>0</v>
      </c>
      <c r="AD90" s="16">
        <f t="shared" si="35"/>
        <v>0</v>
      </c>
      <c r="AE90" s="16">
        <f t="shared" si="36"/>
        <v>0</v>
      </c>
      <c r="AF90" s="16">
        <f t="shared" si="37"/>
        <v>0</v>
      </c>
      <c r="AG90" s="16"/>
      <c r="AH90" s="17"/>
      <c r="AI90" s="17">
        <f t="shared" si="38"/>
        <v>0</v>
      </c>
      <c r="AJ90" s="15">
        <f t="shared" si="39"/>
        <v>0</v>
      </c>
      <c r="AK90" s="18">
        <v>83</v>
      </c>
      <c r="AL90" s="25"/>
    </row>
    <row r="91" spans="1:38" ht="23.5" customHeight="1" x14ac:dyDescent="0.2">
      <c r="A91" s="5" t="s">
        <v>121</v>
      </c>
      <c r="B91" s="26"/>
      <c r="C91" s="65"/>
      <c r="D91" s="20"/>
      <c r="E91" s="26"/>
      <c r="F91" s="27"/>
      <c r="G91" s="27"/>
      <c r="H91" s="27"/>
      <c r="I91" s="10"/>
      <c r="J91" s="67"/>
      <c r="K91" s="11"/>
      <c r="L91" s="23"/>
      <c r="M91" s="12"/>
      <c r="N91" s="13">
        <f t="shared" si="40"/>
        <v>0</v>
      </c>
      <c r="O91" s="108"/>
      <c r="P91" s="106"/>
      <c r="Q91" s="106"/>
      <c r="R91" s="68"/>
      <c r="S91" s="15">
        <f t="shared" si="34"/>
        <v>0</v>
      </c>
      <c r="T91" s="15">
        <f t="shared" si="28"/>
        <v>0</v>
      </c>
      <c r="U91" s="15">
        <f t="shared" si="29"/>
        <v>0</v>
      </c>
      <c r="V91" s="15">
        <f t="shared" si="30"/>
        <v>0</v>
      </c>
      <c r="W91" s="15">
        <f t="shared" si="31"/>
        <v>0</v>
      </c>
      <c r="X91" s="15">
        <f t="shared" si="24"/>
        <v>0</v>
      </c>
      <c r="Y91" s="15">
        <f t="shared" si="32"/>
        <v>0</v>
      </c>
      <c r="Z91" s="15">
        <f t="shared" si="25"/>
        <v>0</v>
      </c>
      <c r="AA91" s="15">
        <f t="shared" si="33"/>
        <v>0</v>
      </c>
      <c r="AB91" s="15">
        <f t="shared" si="26"/>
        <v>0</v>
      </c>
      <c r="AC91" s="16">
        <f t="shared" si="27"/>
        <v>0</v>
      </c>
      <c r="AD91" s="16">
        <f t="shared" si="35"/>
        <v>0</v>
      </c>
      <c r="AE91" s="16">
        <f t="shared" si="36"/>
        <v>0</v>
      </c>
      <c r="AF91" s="16">
        <f t="shared" si="37"/>
        <v>0</v>
      </c>
      <c r="AG91" s="16"/>
      <c r="AH91" s="17"/>
      <c r="AI91" s="17">
        <f t="shared" si="38"/>
        <v>0</v>
      </c>
      <c r="AJ91" s="15">
        <f t="shared" si="39"/>
        <v>0</v>
      </c>
      <c r="AK91" s="18">
        <v>84</v>
      </c>
      <c r="AL91" s="25"/>
    </row>
    <row r="92" spans="1:38" ht="23.5" customHeight="1" x14ac:dyDescent="0.2">
      <c r="A92" s="5" t="s">
        <v>122</v>
      </c>
      <c r="B92" s="26"/>
      <c r="C92" s="65"/>
      <c r="D92" s="20"/>
      <c r="E92" s="26"/>
      <c r="F92" s="27"/>
      <c r="G92" s="27"/>
      <c r="H92" s="27"/>
      <c r="I92" s="10"/>
      <c r="J92" s="67"/>
      <c r="K92" s="11"/>
      <c r="L92" s="23"/>
      <c r="M92" s="12"/>
      <c r="N92" s="13">
        <f t="shared" si="40"/>
        <v>0</v>
      </c>
      <c r="O92" s="108"/>
      <c r="P92" s="106"/>
      <c r="Q92" s="106"/>
      <c r="R92" s="68"/>
      <c r="S92" s="15">
        <f t="shared" si="34"/>
        <v>0</v>
      </c>
      <c r="T92" s="15">
        <f t="shared" si="28"/>
        <v>0</v>
      </c>
      <c r="U92" s="15">
        <f t="shared" si="29"/>
        <v>0</v>
      </c>
      <c r="V92" s="15">
        <f t="shared" si="30"/>
        <v>0</v>
      </c>
      <c r="W92" s="15">
        <f t="shared" si="31"/>
        <v>0</v>
      </c>
      <c r="X92" s="15">
        <f t="shared" si="24"/>
        <v>0</v>
      </c>
      <c r="Y92" s="15">
        <f t="shared" si="32"/>
        <v>0</v>
      </c>
      <c r="Z92" s="15">
        <f t="shared" si="25"/>
        <v>0</v>
      </c>
      <c r="AA92" s="15">
        <f t="shared" si="33"/>
        <v>0</v>
      </c>
      <c r="AB92" s="15">
        <f t="shared" si="26"/>
        <v>0</v>
      </c>
      <c r="AC92" s="16">
        <f t="shared" si="27"/>
        <v>0</v>
      </c>
      <c r="AD92" s="16">
        <f t="shared" si="35"/>
        <v>0</v>
      </c>
      <c r="AE92" s="16">
        <f t="shared" si="36"/>
        <v>0</v>
      </c>
      <c r="AF92" s="16">
        <f t="shared" si="37"/>
        <v>0</v>
      </c>
      <c r="AG92" s="16"/>
      <c r="AH92" s="17"/>
      <c r="AI92" s="17">
        <f t="shared" si="38"/>
        <v>0</v>
      </c>
      <c r="AJ92" s="15">
        <f t="shared" si="39"/>
        <v>0</v>
      </c>
      <c r="AK92" s="18">
        <v>85</v>
      </c>
      <c r="AL92" s="25"/>
    </row>
    <row r="93" spans="1:38" ht="23.5" customHeight="1" x14ac:dyDescent="0.2">
      <c r="A93" s="5" t="s">
        <v>123</v>
      </c>
      <c r="B93" s="26"/>
      <c r="C93" s="65"/>
      <c r="D93" s="20"/>
      <c r="E93" s="26"/>
      <c r="F93" s="27"/>
      <c r="G93" s="27"/>
      <c r="H93" s="27"/>
      <c r="I93" s="10"/>
      <c r="J93" s="67"/>
      <c r="K93" s="11"/>
      <c r="L93" s="23"/>
      <c r="M93" s="12"/>
      <c r="N93" s="13">
        <f t="shared" si="40"/>
        <v>0</v>
      </c>
      <c r="O93" s="108"/>
      <c r="P93" s="106"/>
      <c r="Q93" s="106"/>
      <c r="R93" s="68"/>
      <c r="S93" s="15">
        <f t="shared" si="34"/>
        <v>0</v>
      </c>
      <c r="T93" s="15">
        <f t="shared" si="28"/>
        <v>0</v>
      </c>
      <c r="U93" s="15">
        <f t="shared" si="29"/>
        <v>0</v>
      </c>
      <c r="V93" s="15">
        <f t="shared" si="30"/>
        <v>0</v>
      </c>
      <c r="W93" s="15">
        <f t="shared" si="31"/>
        <v>0</v>
      </c>
      <c r="X93" s="15">
        <f t="shared" si="24"/>
        <v>0</v>
      </c>
      <c r="Y93" s="15">
        <f t="shared" si="32"/>
        <v>0</v>
      </c>
      <c r="Z93" s="15">
        <f t="shared" si="25"/>
        <v>0</v>
      </c>
      <c r="AA93" s="15">
        <f t="shared" si="33"/>
        <v>0</v>
      </c>
      <c r="AB93" s="15">
        <f t="shared" si="26"/>
        <v>0</v>
      </c>
      <c r="AC93" s="16">
        <f t="shared" si="27"/>
        <v>0</v>
      </c>
      <c r="AD93" s="16">
        <f t="shared" si="35"/>
        <v>0</v>
      </c>
      <c r="AE93" s="16">
        <f t="shared" si="36"/>
        <v>0</v>
      </c>
      <c r="AF93" s="16">
        <f t="shared" si="37"/>
        <v>0</v>
      </c>
      <c r="AG93" s="16"/>
      <c r="AH93" s="17"/>
      <c r="AI93" s="17">
        <f t="shared" si="38"/>
        <v>0</v>
      </c>
      <c r="AJ93" s="15">
        <f t="shared" si="39"/>
        <v>0</v>
      </c>
      <c r="AK93" s="18">
        <v>86</v>
      </c>
      <c r="AL93" s="25"/>
    </row>
    <row r="94" spans="1:38" ht="23.5" customHeight="1" x14ac:dyDescent="0.2">
      <c r="A94" s="5" t="s">
        <v>129</v>
      </c>
      <c r="B94" s="26"/>
      <c r="C94" s="65"/>
      <c r="D94" s="20"/>
      <c r="E94" s="26"/>
      <c r="F94" s="27"/>
      <c r="G94" s="27"/>
      <c r="H94" s="27"/>
      <c r="I94" s="10"/>
      <c r="J94" s="67"/>
      <c r="K94" s="11"/>
      <c r="L94" s="23"/>
      <c r="M94" s="12"/>
      <c r="N94" s="13">
        <f t="shared" si="40"/>
        <v>0</v>
      </c>
      <c r="O94" s="108"/>
      <c r="P94" s="106"/>
      <c r="Q94" s="106"/>
      <c r="R94" s="68"/>
      <c r="S94" s="15">
        <f t="shared" si="34"/>
        <v>0</v>
      </c>
      <c r="T94" s="15">
        <f t="shared" si="28"/>
        <v>0</v>
      </c>
      <c r="U94" s="15">
        <f t="shared" si="29"/>
        <v>0</v>
      </c>
      <c r="V94" s="15">
        <f t="shared" si="30"/>
        <v>0</v>
      </c>
      <c r="W94" s="15">
        <f t="shared" si="31"/>
        <v>0</v>
      </c>
      <c r="X94" s="15">
        <f t="shared" si="24"/>
        <v>0</v>
      </c>
      <c r="Y94" s="15">
        <f t="shared" si="32"/>
        <v>0</v>
      </c>
      <c r="Z94" s="15">
        <f t="shared" si="25"/>
        <v>0</v>
      </c>
      <c r="AA94" s="15">
        <f t="shared" si="33"/>
        <v>0</v>
      </c>
      <c r="AB94" s="15">
        <f t="shared" si="26"/>
        <v>0</v>
      </c>
      <c r="AC94" s="16">
        <f t="shared" si="27"/>
        <v>0</v>
      </c>
      <c r="AD94" s="16">
        <f t="shared" si="35"/>
        <v>0</v>
      </c>
      <c r="AE94" s="16">
        <f t="shared" si="36"/>
        <v>0</v>
      </c>
      <c r="AF94" s="16">
        <f t="shared" si="37"/>
        <v>0</v>
      </c>
      <c r="AG94" s="16"/>
      <c r="AH94" s="17"/>
      <c r="AI94" s="17">
        <f t="shared" si="38"/>
        <v>0</v>
      </c>
      <c r="AJ94" s="15">
        <f t="shared" si="39"/>
        <v>0</v>
      </c>
      <c r="AK94" s="18">
        <v>87</v>
      </c>
      <c r="AL94" s="43"/>
    </row>
    <row r="95" spans="1:38" ht="23.5" customHeight="1" x14ac:dyDescent="0.2">
      <c r="A95" s="5" t="s">
        <v>130</v>
      </c>
      <c r="B95" s="26"/>
      <c r="C95" s="65"/>
      <c r="D95" s="20"/>
      <c r="E95" s="26"/>
      <c r="F95" s="27"/>
      <c r="G95" s="27"/>
      <c r="H95" s="27"/>
      <c r="I95" s="10"/>
      <c r="J95" s="67"/>
      <c r="K95" s="11"/>
      <c r="L95" s="23"/>
      <c r="M95" s="12"/>
      <c r="N95" s="13">
        <f t="shared" si="40"/>
        <v>0</v>
      </c>
      <c r="O95" s="108"/>
      <c r="P95" s="106"/>
      <c r="Q95" s="106"/>
      <c r="R95" s="68"/>
      <c r="S95" s="15">
        <f t="shared" si="34"/>
        <v>0</v>
      </c>
      <c r="T95" s="15">
        <f t="shared" si="28"/>
        <v>0</v>
      </c>
      <c r="U95" s="15">
        <f t="shared" si="29"/>
        <v>0</v>
      </c>
      <c r="V95" s="15">
        <f t="shared" si="30"/>
        <v>0</v>
      </c>
      <c r="W95" s="15">
        <f t="shared" si="31"/>
        <v>0</v>
      </c>
      <c r="X95" s="15">
        <f t="shared" si="24"/>
        <v>0</v>
      </c>
      <c r="Y95" s="15">
        <f t="shared" si="32"/>
        <v>0</v>
      </c>
      <c r="Z95" s="15">
        <f t="shared" si="25"/>
        <v>0</v>
      </c>
      <c r="AA95" s="15">
        <f t="shared" si="33"/>
        <v>0</v>
      </c>
      <c r="AB95" s="15">
        <f t="shared" si="26"/>
        <v>0</v>
      </c>
      <c r="AC95" s="16">
        <f t="shared" si="27"/>
        <v>0</v>
      </c>
      <c r="AD95" s="16">
        <f t="shared" si="35"/>
        <v>0</v>
      </c>
      <c r="AE95" s="16">
        <f t="shared" si="36"/>
        <v>0</v>
      </c>
      <c r="AF95" s="16">
        <f t="shared" si="37"/>
        <v>0</v>
      </c>
      <c r="AG95" s="16"/>
      <c r="AH95" s="17"/>
      <c r="AI95" s="17">
        <f t="shared" si="38"/>
        <v>0</v>
      </c>
      <c r="AJ95" s="15">
        <f t="shared" si="39"/>
        <v>0</v>
      </c>
      <c r="AK95" s="18">
        <v>88</v>
      </c>
      <c r="AL95" s="25"/>
    </row>
    <row r="96" spans="1:38" ht="23.5" customHeight="1" x14ac:dyDescent="0.2">
      <c r="A96" s="5" t="s">
        <v>131</v>
      </c>
      <c r="B96" s="26"/>
      <c r="C96" s="65"/>
      <c r="D96" s="20"/>
      <c r="E96" s="26"/>
      <c r="F96" s="27"/>
      <c r="G96" s="27"/>
      <c r="H96" s="27"/>
      <c r="I96" s="10"/>
      <c r="J96" s="67"/>
      <c r="K96" s="11"/>
      <c r="L96" s="23"/>
      <c r="M96" s="12"/>
      <c r="N96" s="13">
        <f t="shared" ref="N96:N103" si="41">ROUND(I96*(SUM(J96:M96)),0)</f>
        <v>0</v>
      </c>
      <c r="O96" s="108"/>
      <c r="P96" s="106"/>
      <c r="Q96" s="106"/>
      <c r="R96" s="68"/>
      <c r="S96" s="15">
        <f t="shared" si="34"/>
        <v>0</v>
      </c>
      <c r="T96" s="15">
        <f t="shared" si="28"/>
        <v>0</v>
      </c>
      <c r="U96" s="15">
        <f t="shared" si="29"/>
        <v>0</v>
      </c>
      <c r="V96" s="15">
        <f t="shared" si="30"/>
        <v>0</v>
      </c>
      <c r="W96" s="15">
        <f t="shared" si="31"/>
        <v>0</v>
      </c>
      <c r="X96" s="15">
        <f t="shared" si="24"/>
        <v>0</v>
      </c>
      <c r="Y96" s="15">
        <f t="shared" si="32"/>
        <v>0</v>
      </c>
      <c r="Z96" s="15">
        <f t="shared" si="25"/>
        <v>0</v>
      </c>
      <c r="AA96" s="15">
        <f t="shared" si="33"/>
        <v>0</v>
      </c>
      <c r="AB96" s="15">
        <f t="shared" si="26"/>
        <v>0</v>
      </c>
      <c r="AC96" s="16">
        <f t="shared" si="27"/>
        <v>0</v>
      </c>
      <c r="AD96" s="16">
        <f t="shared" si="35"/>
        <v>0</v>
      </c>
      <c r="AE96" s="16">
        <f t="shared" si="36"/>
        <v>0</v>
      </c>
      <c r="AF96" s="16">
        <f t="shared" si="37"/>
        <v>0</v>
      </c>
      <c r="AG96" s="16"/>
      <c r="AH96" s="17"/>
      <c r="AI96" s="17">
        <f t="shared" si="38"/>
        <v>0</v>
      </c>
      <c r="AJ96" s="15">
        <f t="shared" si="39"/>
        <v>0</v>
      </c>
      <c r="AK96" s="18">
        <v>89</v>
      </c>
      <c r="AL96" s="43"/>
    </row>
    <row r="97" spans="1:38" ht="23.5" customHeight="1" x14ac:dyDescent="0.2">
      <c r="A97" s="5" t="s">
        <v>132</v>
      </c>
      <c r="B97" s="30"/>
      <c r="C97" s="65"/>
      <c r="D97" s="20"/>
      <c r="E97" s="26"/>
      <c r="F97" s="27"/>
      <c r="G97" s="27"/>
      <c r="H97" s="27"/>
      <c r="I97" s="10"/>
      <c r="J97" s="67"/>
      <c r="K97" s="11"/>
      <c r="L97" s="23"/>
      <c r="M97" s="12"/>
      <c r="N97" s="13">
        <f t="shared" si="41"/>
        <v>0</v>
      </c>
      <c r="O97" s="108"/>
      <c r="P97" s="106"/>
      <c r="Q97" s="106"/>
      <c r="R97" s="68"/>
      <c r="S97" s="15">
        <f t="shared" si="34"/>
        <v>0</v>
      </c>
      <c r="T97" s="15">
        <f t="shared" si="28"/>
        <v>0</v>
      </c>
      <c r="U97" s="15">
        <f t="shared" si="29"/>
        <v>0</v>
      </c>
      <c r="V97" s="15">
        <f t="shared" si="30"/>
        <v>0</v>
      </c>
      <c r="W97" s="15">
        <f t="shared" si="31"/>
        <v>0</v>
      </c>
      <c r="X97" s="15">
        <f t="shared" si="24"/>
        <v>0</v>
      </c>
      <c r="Y97" s="15">
        <f t="shared" si="32"/>
        <v>0</v>
      </c>
      <c r="Z97" s="15">
        <f t="shared" si="25"/>
        <v>0</v>
      </c>
      <c r="AA97" s="15">
        <f t="shared" si="33"/>
        <v>0</v>
      </c>
      <c r="AB97" s="15">
        <f t="shared" si="26"/>
        <v>0</v>
      </c>
      <c r="AC97" s="16">
        <f t="shared" si="27"/>
        <v>0</v>
      </c>
      <c r="AD97" s="16">
        <f t="shared" si="35"/>
        <v>0</v>
      </c>
      <c r="AE97" s="16">
        <f t="shared" si="36"/>
        <v>0</v>
      </c>
      <c r="AF97" s="16">
        <f t="shared" si="37"/>
        <v>0</v>
      </c>
      <c r="AG97" s="16"/>
      <c r="AH97" s="17"/>
      <c r="AI97" s="17">
        <f t="shared" si="38"/>
        <v>0</v>
      </c>
      <c r="AJ97" s="15">
        <f t="shared" si="39"/>
        <v>0</v>
      </c>
      <c r="AK97" s="18">
        <v>90</v>
      </c>
      <c r="AL97" s="25"/>
    </row>
    <row r="98" spans="1:38" ht="23.5" customHeight="1" x14ac:dyDescent="0.2">
      <c r="A98" s="5" t="s">
        <v>133</v>
      </c>
      <c r="B98" s="30"/>
      <c r="C98" s="65"/>
      <c r="D98" s="20"/>
      <c r="E98" s="26"/>
      <c r="F98" s="27"/>
      <c r="G98" s="27"/>
      <c r="H98" s="27"/>
      <c r="I98" s="10"/>
      <c r="J98" s="67"/>
      <c r="K98" s="11"/>
      <c r="L98" s="23"/>
      <c r="M98" s="12"/>
      <c r="N98" s="13">
        <f t="shared" si="41"/>
        <v>0</v>
      </c>
      <c r="O98" s="108"/>
      <c r="P98" s="106"/>
      <c r="Q98" s="106"/>
      <c r="R98" s="68"/>
      <c r="S98" s="15">
        <f t="shared" si="34"/>
        <v>0</v>
      </c>
      <c r="T98" s="15">
        <f t="shared" si="28"/>
        <v>0</v>
      </c>
      <c r="U98" s="15">
        <f t="shared" si="29"/>
        <v>0</v>
      </c>
      <c r="V98" s="15">
        <f t="shared" si="30"/>
        <v>0</v>
      </c>
      <c r="W98" s="15">
        <f t="shared" si="31"/>
        <v>0</v>
      </c>
      <c r="X98" s="15">
        <f t="shared" si="24"/>
        <v>0</v>
      </c>
      <c r="Y98" s="15">
        <f t="shared" si="32"/>
        <v>0</v>
      </c>
      <c r="Z98" s="15">
        <f t="shared" si="25"/>
        <v>0</v>
      </c>
      <c r="AA98" s="15">
        <f t="shared" si="33"/>
        <v>0</v>
      </c>
      <c r="AB98" s="15">
        <f t="shared" si="26"/>
        <v>0</v>
      </c>
      <c r="AC98" s="16">
        <f t="shared" si="27"/>
        <v>0</v>
      </c>
      <c r="AD98" s="16">
        <f t="shared" si="35"/>
        <v>0</v>
      </c>
      <c r="AE98" s="16">
        <f t="shared" si="36"/>
        <v>0</v>
      </c>
      <c r="AF98" s="16">
        <f t="shared" si="37"/>
        <v>0</v>
      </c>
      <c r="AG98" s="16"/>
      <c r="AH98" s="17"/>
      <c r="AI98" s="17">
        <f t="shared" si="38"/>
        <v>0</v>
      </c>
      <c r="AJ98" s="15">
        <f t="shared" si="39"/>
        <v>0</v>
      </c>
      <c r="AK98" s="18">
        <v>91</v>
      </c>
      <c r="AL98" s="25"/>
    </row>
    <row r="99" spans="1:38" ht="23.5" customHeight="1" x14ac:dyDescent="0.2">
      <c r="A99" s="5" t="s">
        <v>134</v>
      </c>
      <c r="B99" s="26"/>
      <c r="C99" s="65"/>
      <c r="D99" s="20"/>
      <c r="E99" s="26"/>
      <c r="F99" s="27"/>
      <c r="G99" s="27"/>
      <c r="H99" s="27"/>
      <c r="I99" s="10"/>
      <c r="J99" s="67"/>
      <c r="K99" s="11"/>
      <c r="L99" s="23"/>
      <c r="M99" s="12"/>
      <c r="N99" s="13">
        <f t="shared" si="41"/>
        <v>0</v>
      </c>
      <c r="O99" s="108"/>
      <c r="P99" s="106"/>
      <c r="Q99" s="106"/>
      <c r="R99" s="68"/>
      <c r="S99" s="15">
        <f t="shared" si="34"/>
        <v>0</v>
      </c>
      <c r="T99" s="15">
        <f t="shared" si="28"/>
        <v>0</v>
      </c>
      <c r="U99" s="15">
        <f t="shared" si="29"/>
        <v>0</v>
      </c>
      <c r="V99" s="15">
        <f t="shared" si="30"/>
        <v>0</v>
      </c>
      <c r="W99" s="15">
        <f t="shared" si="31"/>
        <v>0</v>
      </c>
      <c r="X99" s="15">
        <f t="shared" si="24"/>
        <v>0</v>
      </c>
      <c r="Y99" s="15">
        <f t="shared" si="32"/>
        <v>0</v>
      </c>
      <c r="Z99" s="15">
        <f t="shared" si="25"/>
        <v>0</v>
      </c>
      <c r="AA99" s="15">
        <f t="shared" si="33"/>
        <v>0</v>
      </c>
      <c r="AB99" s="15">
        <f t="shared" si="26"/>
        <v>0</v>
      </c>
      <c r="AC99" s="16">
        <f t="shared" si="27"/>
        <v>0</v>
      </c>
      <c r="AD99" s="16">
        <f t="shared" si="35"/>
        <v>0</v>
      </c>
      <c r="AE99" s="16">
        <f t="shared" si="36"/>
        <v>0</v>
      </c>
      <c r="AF99" s="16">
        <f t="shared" si="37"/>
        <v>0</v>
      </c>
      <c r="AG99" s="16"/>
      <c r="AH99" s="17"/>
      <c r="AI99" s="17">
        <f t="shared" si="38"/>
        <v>0</v>
      </c>
      <c r="AJ99" s="15">
        <f t="shared" si="39"/>
        <v>0</v>
      </c>
      <c r="AK99" s="18">
        <v>92</v>
      </c>
      <c r="AL99" s="25"/>
    </row>
    <row r="100" spans="1:38" ht="23.5" customHeight="1" x14ac:dyDescent="0.2">
      <c r="A100" s="5" t="s">
        <v>135</v>
      </c>
      <c r="B100" s="26"/>
      <c r="C100" s="65"/>
      <c r="D100" s="20"/>
      <c r="E100" s="26"/>
      <c r="F100" s="27"/>
      <c r="G100" s="27"/>
      <c r="H100" s="27"/>
      <c r="I100" s="10"/>
      <c r="J100" s="67"/>
      <c r="K100" s="11"/>
      <c r="L100" s="23"/>
      <c r="M100" s="12"/>
      <c r="N100" s="13">
        <f t="shared" si="41"/>
        <v>0</v>
      </c>
      <c r="O100" s="108"/>
      <c r="P100" s="106"/>
      <c r="Q100" s="106"/>
      <c r="R100" s="68"/>
      <c r="S100" s="15">
        <f t="shared" si="34"/>
        <v>0</v>
      </c>
      <c r="T100" s="15">
        <f t="shared" si="28"/>
        <v>0</v>
      </c>
      <c r="U100" s="15">
        <f t="shared" si="29"/>
        <v>0</v>
      </c>
      <c r="V100" s="15">
        <f t="shared" si="30"/>
        <v>0</v>
      </c>
      <c r="W100" s="15">
        <f t="shared" si="31"/>
        <v>0</v>
      </c>
      <c r="X100" s="15">
        <f t="shared" si="24"/>
        <v>0</v>
      </c>
      <c r="Y100" s="15">
        <f t="shared" si="32"/>
        <v>0</v>
      </c>
      <c r="Z100" s="15">
        <f t="shared" si="25"/>
        <v>0</v>
      </c>
      <c r="AA100" s="15">
        <f t="shared" si="33"/>
        <v>0</v>
      </c>
      <c r="AB100" s="15">
        <f t="shared" si="26"/>
        <v>0</v>
      </c>
      <c r="AC100" s="16">
        <f t="shared" si="27"/>
        <v>0</v>
      </c>
      <c r="AD100" s="16">
        <f t="shared" si="35"/>
        <v>0</v>
      </c>
      <c r="AE100" s="16">
        <f t="shared" si="36"/>
        <v>0</v>
      </c>
      <c r="AF100" s="16">
        <f t="shared" si="37"/>
        <v>0</v>
      </c>
      <c r="AG100" s="16"/>
      <c r="AH100" s="17"/>
      <c r="AI100" s="17">
        <f t="shared" si="38"/>
        <v>0</v>
      </c>
      <c r="AJ100" s="15">
        <f t="shared" si="39"/>
        <v>0</v>
      </c>
      <c r="AK100" s="18">
        <v>93</v>
      </c>
      <c r="AL100" s="25"/>
    </row>
    <row r="101" spans="1:38" ht="23.5" customHeight="1" x14ac:dyDescent="0.2">
      <c r="A101" s="5" t="s">
        <v>136</v>
      </c>
      <c r="B101" s="26"/>
      <c r="C101" s="65"/>
      <c r="D101" s="20"/>
      <c r="E101" s="26"/>
      <c r="F101" s="27"/>
      <c r="G101" s="27"/>
      <c r="H101" s="27"/>
      <c r="I101" s="10"/>
      <c r="J101" s="67"/>
      <c r="K101" s="11"/>
      <c r="L101" s="23"/>
      <c r="M101" s="12"/>
      <c r="N101" s="13">
        <f t="shared" si="41"/>
        <v>0</v>
      </c>
      <c r="O101" s="108"/>
      <c r="P101" s="106"/>
      <c r="Q101" s="106"/>
      <c r="R101" s="68"/>
      <c r="S101" s="15">
        <f t="shared" si="34"/>
        <v>0</v>
      </c>
      <c r="T101" s="15">
        <f t="shared" si="28"/>
        <v>0</v>
      </c>
      <c r="U101" s="15">
        <f t="shared" si="29"/>
        <v>0</v>
      </c>
      <c r="V101" s="15">
        <f t="shared" si="30"/>
        <v>0</v>
      </c>
      <c r="W101" s="15">
        <f t="shared" si="31"/>
        <v>0</v>
      </c>
      <c r="X101" s="15">
        <f t="shared" si="24"/>
        <v>0</v>
      </c>
      <c r="Y101" s="15">
        <f t="shared" si="32"/>
        <v>0</v>
      </c>
      <c r="Z101" s="15">
        <f t="shared" si="25"/>
        <v>0</v>
      </c>
      <c r="AA101" s="15">
        <f t="shared" si="33"/>
        <v>0</v>
      </c>
      <c r="AB101" s="15">
        <f t="shared" si="26"/>
        <v>0</v>
      </c>
      <c r="AC101" s="16">
        <f t="shared" si="27"/>
        <v>0</v>
      </c>
      <c r="AD101" s="16">
        <f t="shared" si="35"/>
        <v>0</v>
      </c>
      <c r="AE101" s="16">
        <f t="shared" si="36"/>
        <v>0</v>
      </c>
      <c r="AF101" s="16">
        <f t="shared" si="37"/>
        <v>0</v>
      </c>
      <c r="AG101" s="16"/>
      <c r="AH101" s="17"/>
      <c r="AI101" s="17">
        <f t="shared" si="38"/>
        <v>0</v>
      </c>
      <c r="AJ101" s="15">
        <f t="shared" si="39"/>
        <v>0</v>
      </c>
      <c r="AK101" s="18">
        <v>94</v>
      </c>
      <c r="AL101" s="25"/>
    </row>
    <row r="102" spans="1:38" ht="23.5" customHeight="1" x14ac:dyDescent="0.2">
      <c r="A102" s="5" t="s">
        <v>137</v>
      </c>
      <c r="B102" s="26"/>
      <c r="C102" s="65"/>
      <c r="D102" s="20"/>
      <c r="E102" s="26"/>
      <c r="F102" s="27"/>
      <c r="G102" s="27"/>
      <c r="H102" s="27"/>
      <c r="I102" s="10"/>
      <c r="J102" s="67"/>
      <c r="K102" s="11"/>
      <c r="L102" s="23"/>
      <c r="M102" s="12"/>
      <c r="N102" s="13">
        <f t="shared" si="41"/>
        <v>0</v>
      </c>
      <c r="O102" s="108"/>
      <c r="P102" s="106"/>
      <c r="Q102" s="106"/>
      <c r="R102" s="68"/>
      <c r="S102" s="15">
        <f t="shared" si="34"/>
        <v>0</v>
      </c>
      <c r="T102" s="15">
        <f t="shared" si="28"/>
        <v>0</v>
      </c>
      <c r="U102" s="15">
        <f t="shared" si="29"/>
        <v>0</v>
      </c>
      <c r="V102" s="15">
        <f t="shared" si="30"/>
        <v>0</v>
      </c>
      <c r="W102" s="15">
        <f t="shared" si="31"/>
        <v>0</v>
      </c>
      <c r="X102" s="15">
        <f t="shared" si="24"/>
        <v>0</v>
      </c>
      <c r="Y102" s="15">
        <f t="shared" si="32"/>
        <v>0</v>
      </c>
      <c r="Z102" s="15">
        <f t="shared" si="25"/>
        <v>0</v>
      </c>
      <c r="AA102" s="15">
        <f t="shared" si="33"/>
        <v>0</v>
      </c>
      <c r="AB102" s="15">
        <f t="shared" si="26"/>
        <v>0</v>
      </c>
      <c r="AC102" s="16">
        <f t="shared" si="27"/>
        <v>0</v>
      </c>
      <c r="AD102" s="16">
        <f t="shared" si="35"/>
        <v>0</v>
      </c>
      <c r="AE102" s="16">
        <f t="shared" si="36"/>
        <v>0</v>
      </c>
      <c r="AF102" s="16">
        <f t="shared" si="37"/>
        <v>0</v>
      </c>
      <c r="AG102" s="16"/>
      <c r="AH102" s="17"/>
      <c r="AI102" s="17">
        <f t="shared" si="38"/>
        <v>0</v>
      </c>
      <c r="AJ102" s="15">
        <f t="shared" si="39"/>
        <v>0</v>
      </c>
      <c r="AK102" s="18">
        <v>95</v>
      </c>
      <c r="AL102" s="43"/>
    </row>
    <row r="103" spans="1:38" ht="23.5" customHeight="1" x14ac:dyDescent="0.2">
      <c r="A103" s="5" t="s">
        <v>138</v>
      </c>
      <c r="B103" s="26"/>
      <c r="C103" s="65"/>
      <c r="D103" s="20"/>
      <c r="E103" s="26"/>
      <c r="F103" s="27"/>
      <c r="G103" s="27"/>
      <c r="H103" s="27"/>
      <c r="I103" s="10"/>
      <c r="J103" s="67"/>
      <c r="K103" s="11"/>
      <c r="L103" s="23"/>
      <c r="M103" s="12"/>
      <c r="N103" s="13">
        <f t="shared" si="41"/>
        <v>0</v>
      </c>
      <c r="O103" s="108"/>
      <c r="P103" s="106"/>
      <c r="Q103" s="106"/>
      <c r="R103" s="68"/>
      <c r="S103" s="15">
        <f t="shared" si="34"/>
        <v>0</v>
      </c>
      <c r="T103" s="15">
        <f t="shared" si="28"/>
        <v>0</v>
      </c>
      <c r="U103" s="15">
        <f t="shared" si="29"/>
        <v>0</v>
      </c>
      <c r="V103" s="15">
        <f t="shared" si="30"/>
        <v>0</v>
      </c>
      <c r="W103" s="15">
        <f t="shared" si="31"/>
        <v>0</v>
      </c>
      <c r="X103" s="15">
        <f t="shared" si="24"/>
        <v>0</v>
      </c>
      <c r="Y103" s="15">
        <f t="shared" si="32"/>
        <v>0</v>
      </c>
      <c r="Z103" s="15">
        <f t="shared" si="25"/>
        <v>0</v>
      </c>
      <c r="AA103" s="15">
        <f t="shared" si="33"/>
        <v>0</v>
      </c>
      <c r="AB103" s="15">
        <f t="shared" si="26"/>
        <v>0</v>
      </c>
      <c r="AC103" s="16">
        <f t="shared" si="27"/>
        <v>0</v>
      </c>
      <c r="AD103" s="16">
        <f t="shared" si="35"/>
        <v>0</v>
      </c>
      <c r="AE103" s="16">
        <f t="shared" si="36"/>
        <v>0</v>
      </c>
      <c r="AF103" s="16">
        <f t="shared" si="37"/>
        <v>0</v>
      </c>
      <c r="AG103" s="16"/>
      <c r="AH103" s="17"/>
      <c r="AI103" s="17">
        <f t="shared" si="38"/>
        <v>0</v>
      </c>
      <c r="AJ103" s="15">
        <f t="shared" si="39"/>
        <v>0</v>
      </c>
      <c r="AK103" s="18">
        <v>96</v>
      </c>
      <c r="AL103" s="25"/>
    </row>
    <row r="104" spans="1:38" ht="23.5" customHeight="1" x14ac:dyDescent="0.2">
      <c r="A104" s="5" t="s">
        <v>139</v>
      </c>
      <c r="B104" s="26"/>
      <c r="C104" s="65"/>
      <c r="D104" s="20"/>
      <c r="E104" s="26"/>
      <c r="F104" s="27"/>
      <c r="G104" s="27"/>
      <c r="H104" s="27"/>
      <c r="I104" s="10"/>
      <c r="J104" s="67"/>
      <c r="K104" s="11"/>
      <c r="L104" s="23"/>
      <c r="M104" s="12"/>
      <c r="N104" s="13">
        <f t="shared" ref="N104:N105" si="42">ROUND(I104*(SUM(J104:M104)),0)</f>
        <v>0</v>
      </c>
      <c r="O104" s="108"/>
      <c r="P104" s="106"/>
      <c r="Q104" s="106"/>
      <c r="R104" s="68"/>
      <c r="S104" s="15">
        <f t="shared" si="34"/>
        <v>0</v>
      </c>
      <c r="T104" s="15">
        <f t="shared" ref="T104:T135" si="43">ROUND(SUM(S104:S104),0)</f>
        <v>0</v>
      </c>
      <c r="U104" s="15">
        <f t="shared" ref="U104:U135" si="44">I104*K104*40%*O104</f>
        <v>0</v>
      </c>
      <c r="V104" s="15">
        <f t="shared" ref="V104:V135" si="45">IF(P104&gt;=6750,(I104*K104*40%),0)</f>
        <v>0</v>
      </c>
      <c r="W104" s="15">
        <f t="shared" ref="W104:W135" si="46">IF(P104&lt;6750,0,IF(Q104="",0,IF(OR(Q104="KURANG",Q104="SANGAT KURANG"),I104*K104*10%,I104*K104*20%)))</f>
        <v>0</v>
      </c>
      <c r="X104" s="15">
        <f t="shared" si="24"/>
        <v>0</v>
      </c>
      <c r="Y104" s="15">
        <f t="shared" ref="Y104:Y135" si="47">I104*L104</f>
        <v>0</v>
      </c>
      <c r="Z104" s="15">
        <f t="shared" si="25"/>
        <v>0</v>
      </c>
      <c r="AA104" s="15">
        <f t="shared" ref="AA104:AA135" si="48">I104*M104</f>
        <v>0</v>
      </c>
      <c r="AB104" s="15">
        <f t="shared" si="26"/>
        <v>0</v>
      </c>
      <c r="AC104" s="16">
        <f t="shared" si="27"/>
        <v>0</v>
      </c>
      <c r="AD104" s="16">
        <f t="shared" si="35"/>
        <v>0</v>
      </c>
      <c r="AE104" s="16">
        <f t="shared" si="36"/>
        <v>0</v>
      </c>
      <c r="AF104" s="16">
        <f t="shared" si="37"/>
        <v>0</v>
      </c>
      <c r="AG104" s="16"/>
      <c r="AH104" s="17"/>
      <c r="AI104" s="17">
        <f t="shared" si="38"/>
        <v>0</v>
      </c>
      <c r="AJ104" s="15">
        <f t="shared" si="39"/>
        <v>0</v>
      </c>
      <c r="AK104" s="18">
        <v>97</v>
      </c>
      <c r="AL104" s="43"/>
    </row>
    <row r="105" spans="1:38" ht="23.5" customHeight="1" x14ac:dyDescent="0.2">
      <c r="A105" s="5" t="s">
        <v>140</v>
      </c>
      <c r="B105" s="26"/>
      <c r="C105" s="65"/>
      <c r="D105" s="20"/>
      <c r="E105" s="26"/>
      <c r="F105" s="27"/>
      <c r="G105" s="27"/>
      <c r="H105" s="27"/>
      <c r="I105" s="10"/>
      <c r="J105" s="67"/>
      <c r="K105" s="11"/>
      <c r="L105" s="23"/>
      <c r="M105" s="12"/>
      <c r="N105" s="13">
        <f t="shared" si="42"/>
        <v>0</v>
      </c>
      <c r="O105" s="108"/>
      <c r="P105" s="106"/>
      <c r="Q105" s="106"/>
      <c r="R105" s="68"/>
      <c r="S105" s="15">
        <f t="shared" si="34"/>
        <v>0</v>
      </c>
      <c r="T105" s="15">
        <f t="shared" si="43"/>
        <v>0</v>
      </c>
      <c r="U105" s="15">
        <f t="shared" si="44"/>
        <v>0</v>
      </c>
      <c r="V105" s="15">
        <f t="shared" si="45"/>
        <v>0</v>
      </c>
      <c r="W105" s="15">
        <f t="shared" si="46"/>
        <v>0</v>
      </c>
      <c r="X105" s="15">
        <f t="shared" si="24"/>
        <v>0</v>
      </c>
      <c r="Y105" s="15">
        <f t="shared" si="47"/>
        <v>0</v>
      </c>
      <c r="Z105" s="15">
        <f t="shared" si="25"/>
        <v>0</v>
      </c>
      <c r="AA105" s="15">
        <f t="shared" si="48"/>
        <v>0</v>
      </c>
      <c r="AB105" s="15">
        <f t="shared" si="26"/>
        <v>0</v>
      </c>
      <c r="AC105" s="16">
        <f t="shared" si="27"/>
        <v>0</v>
      </c>
      <c r="AD105" s="16">
        <f t="shared" si="35"/>
        <v>0</v>
      </c>
      <c r="AE105" s="16">
        <f t="shared" si="36"/>
        <v>0</v>
      </c>
      <c r="AF105" s="16">
        <f t="shared" si="37"/>
        <v>0</v>
      </c>
      <c r="AG105" s="16"/>
      <c r="AH105" s="17"/>
      <c r="AI105" s="17">
        <f t="shared" si="38"/>
        <v>0</v>
      </c>
      <c r="AJ105" s="15">
        <f t="shared" si="39"/>
        <v>0</v>
      </c>
      <c r="AK105" s="18">
        <v>98</v>
      </c>
      <c r="AL105" s="25"/>
    </row>
    <row r="106" spans="1:38" ht="23.5" customHeight="1" x14ac:dyDescent="0.2">
      <c r="A106" s="5" t="s">
        <v>141</v>
      </c>
      <c r="B106" s="26"/>
      <c r="C106" s="65"/>
      <c r="D106" s="20"/>
      <c r="E106" s="26"/>
      <c r="F106" s="27"/>
      <c r="G106" s="27"/>
      <c r="H106" s="27"/>
      <c r="I106" s="10"/>
      <c r="J106" s="67"/>
      <c r="K106" s="11"/>
      <c r="L106" s="23"/>
      <c r="M106" s="12"/>
      <c r="N106" s="13">
        <f t="shared" ref="N106" si="49">ROUND(I106*(SUM(J106:M106)),0)</f>
        <v>0</v>
      </c>
      <c r="O106" s="108"/>
      <c r="P106" s="106"/>
      <c r="Q106" s="106"/>
      <c r="R106" s="68"/>
      <c r="S106" s="15">
        <f t="shared" si="34"/>
        <v>0</v>
      </c>
      <c r="T106" s="15">
        <f t="shared" si="43"/>
        <v>0</v>
      </c>
      <c r="U106" s="15">
        <f t="shared" si="44"/>
        <v>0</v>
      </c>
      <c r="V106" s="15">
        <f t="shared" si="45"/>
        <v>0</v>
      </c>
      <c r="W106" s="15">
        <f t="shared" si="46"/>
        <v>0</v>
      </c>
      <c r="X106" s="15">
        <f t="shared" si="24"/>
        <v>0</v>
      </c>
      <c r="Y106" s="15">
        <f t="shared" si="47"/>
        <v>0</v>
      </c>
      <c r="Z106" s="15">
        <f t="shared" si="25"/>
        <v>0</v>
      </c>
      <c r="AA106" s="15">
        <f t="shared" si="48"/>
        <v>0</v>
      </c>
      <c r="AB106" s="15">
        <f t="shared" si="26"/>
        <v>0</v>
      </c>
      <c r="AC106" s="16">
        <f t="shared" si="27"/>
        <v>0</v>
      </c>
      <c r="AD106" s="16">
        <f t="shared" si="35"/>
        <v>0</v>
      </c>
      <c r="AE106" s="16">
        <f t="shared" si="36"/>
        <v>0</v>
      </c>
      <c r="AF106" s="16">
        <f t="shared" si="37"/>
        <v>0</v>
      </c>
      <c r="AG106" s="16"/>
      <c r="AH106" s="17"/>
      <c r="AI106" s="17">
        <f t="shared" si="38"/>
        <v>0</v>
      </c>
      <c r="AJ106" s="15">
        <f t="shared" si="39"/>
        <v>0</v>
      </c>
      <c r="AK106" s="18">
        <v>99</v>
      </c>
      <c r="AL106" s="25"/>
    </row>
    <row r="107" spans="1:38" ht="23.5" customHeight="1" x14ac:dyDescent="0.2">
      <c r="A107" s="5" t="s">
        <v>142</v>
      </c>
      <c r="B107" s="26"/>
      <c r="C107" s="65"/>
      <c r="D107" s="20"/>
      <c r="E107" s="26"/>
      <c r="F107" s="27"/>
      <c r="G107" s="27"/>
      <c r="H107" s="27"/>
      <c r="I107" s="10"/>
      <c r="J107" s="67"/>
      <c r="K107" s="11"/>
      <c r="L107" s="23"/>
      <c r="M107" s="12"/>
      <c r="N107" s="13">
        <f t="shared" ref="N107:N108" si="50">ROUND(I107*(SUM(J107:M107)),0)</f>
        <v>0</v>
      </c>
      <c r="O107" s="108"/>
      <c r="P107" s="106"/>
      <c r="Q107" s="106"/>
      <c r="R107" s="68"/>
      <c r="S107" s="15">
        <f t="shared" si="34"/>
        <v>0</v>
      </c>
      <c r="T107" s="15">
        <f t="shared" si="43"/>
        <v>0</v>
      </c>
      <c r="U107" s="15">
        <f t="shared" si="44"/>
        <v>0</v>
      </c>
      <c r="V107" s="15">
        <f t="shared" si="45"/>
        <v>0</v>
      </c>
      <c r="W107" s="15">
        <f t="shared" si="46"/>
        <v>0</v>
      </c>
      <c r="X107" s="15">
        <f t="shared" si="24"/>
        <v>0</v>
      </c>
      <c r="Y107" s="15">
        <f t="shared" si="47"/>
        <v>0</v>
      </c>
      <c r="Z107" s="15">
        <f t="shared" si="25"/>
        <v>0</v>
      </c>
      <c r="AA107" s="15">
        <f t="shared" si="48"/>
        <v>0</v>
      </c>
      <c r="AB107" s="15">
        <f t="shared" si="26"/>
        <v>0</v>
      </c>
      <c r="AC107" s="16">
        <f t="shared" si="27"/>
        <v>0</v>
      </c>
      <c r="AD107" s="16">
        <f t="shared" si="35"/>
        <v>0</v>
      </c>
      <c r="AE107" s="16">
        <f t="shared" si="36"/>
        <v>0</v>
      </c>
      <c r="AF107" s="16">
        <f t="shared" si="37"/>
        <v>0</v>
      </c>
      <c r="AG107" s="16"/>
      <c r="AH107" s="17"/>
      <c r="AI107" s="17">
        <f t="shared" si="38"/>
        <v>0</v>
      </c>
      <c r="AJ107" s="15">
        <f t="shared" si="39"/>
        <v>0</v>
      </c>
      <c r="AK107" s="18">
        <v>100</v>
      </c>
      <c r="AL107" s="25"/>
    </row>
    <row r="108" spans="1:38" ht="23.5" customHeight="1" x14ac:dyDescent="0.2">
      <c r="A108" s="5" t="s">
        <v>143</v>
      </c>
      <c r="B108" s="26"/>
      <c r="C108" s="65"/>
      <c r="D108" s="20"/>
      <c r="E108" s="26"/>
      <c r="F108" s="27"/>
      <c r="G108" s="27"/>
      <c r="H108" s="27"/>
      <c r="I108" s="10"/>
      <c r="J108" s="67"/>
      <c r="K108" s="11"/>
      <c r="L108" s="23"/>
      <c r="M108" s="12"/>
      <c r="N108" s="13">
        <f t="shared" si="50"/>
        <v>0</v>
      </c>
      <c r="O108" s="108"/>
      <c r="P108" s="106"/>
      <c r="Q108" s="106"/>
      <c r="R108" s="68"/>
      <c r="S108" s="15">
        <f t="shared" si="34"/>
        <v>0</v>
      </c>
      <c r="T108" s="15">
        <f t="shared" si="43"/>
        <v>0</v>
      </c>
      <c r="U108" s="15">
        <f t="shared" si="44"/>
        <v>0</v>
      </c>
      <c r="V108" s="15">
        <f t="shared" si="45"/>
        <v>0</v>
      </c>
      <c r="W108" s="15">
        <f t="shared" si="46"/>
        <v>0</v>
      </c>
      <c r="X108" s="15">
        <f t="shared" si="24"/>
        <v>0</v>
      </c>
      <c r="Y108" s="15">
        <f t="shared" si="47"/>
        <v>0</v>
      </c>
      <c r="Z108" s="15">
        <f t="shared" si="25"/>
        <v>0</v>
      </c>
      <c r="AA108" s="15">
        <f t="shared" si="48"/>
        <v>0</v>
      </c>
      <c r="AB108" s="15">
        <f t="shared" si="26"/>
        <v>0</v>
      </c>
      <c r="AC108" s="16">
        <f t="shared" si="27"/>
        <v>0</v>
      </c>
      <c r="AD108" s="16">
        <f t="shared" si="35"/>
        <v>0</v>
      </c>
      <c r="AE108" s="16">
        <f t="shared" si="36"/>
        <v>0</v>
      </c>
      <c r="AF108" s="16">
        <f t="shared" si="37"/>
        <v>0</v>
      </c>
      <c r="AG108" s="16"/>
      <c r="AH108" s="17"/>
      <c r="AI108" s="17">
        <f t="shared" si="38"/>
        <v>0</v>
      </c>
      <c r="AJ108" s="15">
        <f t="shared" si="39"/>
        <v>0</v>
      </c>
      <c r="AK108" s="18">
        <v>101</v>
      </c>
      <c r="AL108" s="25"/>
    </row>
    <row r="109" spans="1:38" ht="23.5" customHeight="1" x14ac:dyDescent="0.2">
      <c r="A109" s="5" t="s">
        <v>144</v>
      </c>
      <c r="B109" s="26"/>
      <c r="C109" s="65"/>
      <c r="D109" s="20"/>
      <c r="E109" s="26"/>
      <c r="F109" s="27"/>
      <c r="G109" s="9"/>
      <c r="H109" s="7"/>
      <c r="I109" s="10"/>
      <c r="J109" s="67"/>
      <c r="K109" s="11"/>
      <c r="L109" s="12"/>
      <c r="M109" s="12"/>
      <c r="N109" s="13">
        <f t="shared" si="6"/>
        <v>0</v>
      </c>
      <c r="O109" s="108"/>
      <c r="P109" s="106"/>
      <c r="Q109" s="106"/>
      <c r="R109" s="68"/>
      <c r="S109" s="15">
        <f t="shared" si="34"/>
        <v>0</v>
      </c>
      <c r="T109" s="15">
        <f t="shared" si="43"/>
        <v>0</v>
      </c>
      <c r="U109" s="15">
        <f t="shared" si="44"/>
        <v>0</v>
      </c>
      <c r="V109" s="15">
        <f t="shared" si="45"/>
        <v>0</v>
      </c>
      <c r="W109" s="15">
        <f t="shared" si="46"/>
        <v>0</v>
      </c>
      <c r="X109" s="15">
        <f t="shared" si="8"/>
        <v>0</v>
      </c>
      <c r="Y109" s="15">
        <f t="shared" si="47"/>
        <v>0</v>
      </c>
      <c r="Z109" s="15">
        <f t="shared" si="9"/>
        <v>0</v>
      </c>
      <c r="AA109" s="15">
        <f t="shared" si="48"/>
        <v>0</v>
      </c>
      <c r="AB109" s="15">
        <f t="shared" si="10"/>
        <v>0</v>
      </c>
      <c r="AC109" s="16">
        <f t="shared" si="11"/>
        <v>0</v>
      </c>
      <c r="AD109" s="16">
        <f t="shared" si="35"/>
        <v>0</v>
      </c>
      <c r="AE109" s="16">
        <f t="shared" si="36"/>
        <v>0</v>
      </c>
      <c r="AF109" s="16">
        <f t="shared" si="37"/>
        <v>0</v>
      </c>
      <c r="AG109" s="16"/>
      <c r="AH109" s="17"/>
      <c r="AI109" s="17">
        <f t="shared" si="38"/>
        <v>0</v>
      </c>
      <c r="AJ109" s="15">
        <f t="shared" si="39"/>
        <v>0</v>
      </c>
      <c r="AK109" s="18">
        <v>102</v>
      </c>
      <c r="AL109" s="25"/>
    </row>
    <row r="110" spans="1:38" ht="23.5" customHeight="1" x14ac:dyDescent="0.2">
      <c r="A110" s="5" t="s">
        <v>145</v>
      </c>
      <c r="B110" s="26"/>
      <c r="C110" s="65"/>
      <c r="D110" s="20"/>
      <c r="E110" s="26"/>
      <c r="F110" s="27"/>
      <c r="G110" s="9"/>
      <c r="H110" s="7"/>
      <c r="I110" s="10"/>
      <c r="J110" s="67"/>
      <c r="K110" s="11"/>
      <c r="L110" s="23"/>
      <c r="M110" s="12"/>
      <c r="N110" s="13">
        <f t="shared" si="6"/>
        <v>0</v>
      </c>
      <c r="O110" s="108"/>
      <c r="P110" s="106"/>
      <c r="Q110" s="106"/>
      <c r="R110" s="68"/>
      <c r="S110" s="15">
        <f t="shared" si="34"/>
        <v>0</v>
      </c>
      <c r="T110" s="15">
        <f t="shared" si="43"/>
        <v>0</v>
      </c>
      <c r="U110" s="15">
        <f t="shared" si="44"/>
        <v>0</v>
      </c>
      <c r="V110" s="15">
        <f t="shared" si="45"/>
        <v>0</v>
      </c>
      <c r="W110" s="15">
        <f t="shared" si="46"/>
        <v>0</v>
      </c>
      <c r="X110" s="15">
        <f t="shared" si="8"/>
        <v>0</v>
      </c>
      <c r="Y110" s="15">
        <f t="shared" si="47"/>
        <v>0</v>
      </c>
      <c r="Z110" s="15">
        <f t="shared" si="9"/>
        <v>0</v>
      </c>
      <c r="AA110" s="15">
        <f t="shared" si="48"/>
        <v>0</v>
      </c>
      <c r="AB110" s="15">
        <f t="shared" si="10"/>
        <v>0</v>
      </c>
      <c r="AC110" s="16">
        <f t="shared" si="11"/>
        <v>0</v>
      </c>
      <c r="AD110" s="16">
        <f t="shared" si="35"/>
        <v>0</v>
      </c>
      <c r="AE110" s="16">
        <f t="shared" si="36"/>
        <v>0</v>
      </c>
      <c r="AF110" s="16">
        <f t="shared" si="37"/>
        <v>0</v>
      </c>
      <c r="AG110" s="16"/>
      <c r="AH110" s="17"/>
      <c r="AI110" s="17">
        <f t="shared" si="38"/>
        <v>0</v>
      </c>
      <c r="AJ110" s="15">
        <f t="shared" si="39"/>
        <v>0</v>
      </c>
      <c r="AK110" s="18">
        <v>103</v>
      </c>
      <c r="AL110" s="25"/>
    </row>
    <row r="111" spans="1:38" ht="23.5" customHeight="1" x14ac:dyDescent="0.2">
      <c r="A111" s="5" t="s">
        <v>166</v>
      </c>
      <c r="B111" s="30"/>
      <c r="C111" s="65"/>
      <c r="D111" s="20"/>
      <c r="E111" s="26"/>
      <c r="F111" s="27"/>
      <c r="G111" s="9"/>
      <c r="H111" s="7"/>
      <c r="I111" s="10"/>
      <c r="J111" s="67"/>
      <c r="K111" s="11"/>
      <c r="L111" s="23"/>
      <c r="M111" s="12"/>
      <c r="N111" s="13">
        <f t="shared" si="6"/>
        <v>0</v>
      </c>
      <c r="O111" s="108"/>
      <c r="P111" s="106"/>
      <c r="Q111" s="106"/>
      <c r="R111" s="68"/>
      <c r="S111" s="15">
        <f t="shared" si="34"/>
        <v>0</v>
      </c>
      <c r="T111" s="15">
        <f t="shared" si="43"/>
        <v>0</v>
      </c>
      <c r="U111" s="15">
        <f t="shared" si="44"/>
        <v>0</v>
      </c>
      <c r="V111" s="15">
        <f t="shared" si="45"/>
        <v>0</v>
      </c>
      <c r="W111" s="15">
        <f t="shared" si="46"/>
        <v>0</v>
      </c>
      <c r="X111" s="15">
        <f t="shared" si="8"/>
        <v>0</v>
      </c>
      <c r="Y111" s="15">
        <f t="shared" si="47"/>
        <v>0</v>
      </c>
      <c r="Z111" s="15">
        <f t="shared" si="9"/>
        <v>0</v>
      </c>
      <c r="AA111" s="15">
        <f t="shared" si="48"/>
        <v>0</v>
      </c>
      <c r="AB111" s="15">
        <f t="shared" si="10"/>
        <v>0</v>
      </c>
      <c r="AC111" s="16">
        <f t="shared" si="11"/>
        <v>0</v>
      </c>
      <c r="AD111" s="16">
        <f t="shared" si="35"/>
        <v>0</v>
      </c>
      <c r="AE111" s="16">
        <f t="shared" si="36"/>
        <v>0</v>
      </c>
      <c r="AF111" s="16">
        <f t="shared" si="37"/>
        <v>0</v>
      </c>
      <c r="AG111" s="16"/>
      <c r="AH111" s="17"/>
      <c r="AI111" s="17">
        <f t="shared" si="38"/>
        <v>0</v>
      </c>
      <c r="AJ111" s="15">
        <f t="shared" si="39"/>
        <v>0</v>
      </c>
      <c r="AK111" s="18">
        <v>104</v>
      </c>
      <c r="AL111" s="43"/>
    </row>
    <row r="112" spans="1:38" ht="23.5" customHeight="1" x14ac:dyDescent="0.2">
      <c r="A112" s="5" t="s">
        <v>167</v>
      </c>
      <c r="B112" s="26"/>
      <c r="C112" s="65"/>
      <c r="D112" s="20"/>
      <c r="E112" s="26"/>
      <c r="F112" s="27"/>
      <c r="G112" s="9"/>
      <c r="H112" s="7"/>
      <c r="I112" s="10"/>
      <c r="J112" s="67"/>
      <c r="K112" s="11"/>
      <c r="L112" s="23"/>
      <c r="M112" s="12"/>
      <c r="N112" s="13">
        <f t="shared" si="6"/>
        <v>0</v>
      </c>
      <c r="O112" s="108"/>
      <c r="P112" s="106"/>
      <c r="Q112" s="106"/>
      <c r="R112" s="68"/>
      <c r="S112" s="15">
        <f t="shared" si="34"/>
        <v>0</v>
      </c>
      <c r="T112" s="15">
        <f t="shared" si="43"/>
        <v>0</v>
      </c>
      <c r="U112" s="15">
        <f t="shared" si="44"/>
        <v>0</v>
      </c>
      <c r="V112" s="15">
        <f t="shared" si="45"/>
        <v>0</v>
      </c>
      <c r="W112" s="15">
        <f t="shared" si="46"/>
        <v>0</v>
      </c>
      <c r="X112" s="15">
        <f t="shared" si="8"/>
        <v>0</v>
      </c>
      <c r="Y112" s="15">
        <f t="shared" si="47"/>
        <v>0</v>
      </c>
      <c r="Z112" s="15">
        <f t="shared" si="9"/>
        <v>0</v>
      </c>
      <c r="AA112" s="15">
        <f t="shared" si="48"/>
        <v>0</v>
      </c>
      <c r="AB112" s="15">
        <f t="shared" si="10"/>
        <v>0</v>
      </c>
      <c r="AC112" s="16">
        <f t="shared" si="11"/>
        <v>0</v>
      </c>
      <c r="AD112" s="16">
        <f t="shared" si="35"/>
        <v>0</v>
      </c>
      <c r="AE112" s="16">
        <f t="shared" si="36"/>
        <v>0</v>
      </c>
      <c r="AF112" s="16">
        <f t="shared" si="37"/>
        <v>0</v>
      </c>
      <c r="AG112" s="16"/>
      <c r="AH112" s="17"/>
      <c r="AI112" s="17">
        <f t="shared" si="38"/>
        <v>0</v>
      </c>
      <c r="AJ112" s="15">
        <f t="shared" si="39"/>
        <v>0</v>
      </c>
      <c r="AK112" s="18">
        <v>105</v>
      </c>
      <c r="AL112" s="25"/>
    </row>
    <row r="113" spans="1:38" ht="23.5" customHeight="1" x14ac:dyDescent="0.2">
      <c r="A113" s="5" t="s">
        <v>168</v>
      </c>
      <c r="B113" s="26"/>
      <c r="C113" s="65"/>
      <c r="D113" s="20"/>
      <c r="E113" s="26"/>
      <c r="F113" s="27"/>
      <c r="G113" s="9"/>
      <c r="H113" s="7"/>
      <c r="I113" s="10"/>
      <c r="J113" s="67"/>
      <c r="K113" s="11"/>
      <c r="L113" s="23"/>
      <c r="M113" s="12"/>
      <c r="N113" s="13">
        <f t="shared" si="6"/>
        <v>0</v>
      </c>
      <c r="O113" s="108"/>
      <c r="P113" s="106"/>
      <c r="Q113" s="106"/>
      <c r="R113" s="68"/>
      <c r="S113" s="15">
        <f t="shared" si="34"/>
        <v>0</v>
      </c>
      <c r="T113" s="15">
        <f t="shared" si="43"/>
        <v>0</v>
      </c>
      <c r="U113" s="15">
        <f t="shared" si="44"/>
        <v>0</v>
      </c>
      <c r="V113" s="15">
        <f t="shared" si="45"/>
        <v>0</v>
      </c>
      <c r="W113" s="15">
        <f t="shared" si="46"/>
        <v>0</v>
      </c>
      <c r="X113" s="15">
        <f t="shared" si="8"/>
        <v>0</v>
      </c>
      <c r="Y113" s="15">
        <f t="shared" si="47"/>
        <v>0</v>
      </c>
      <c r="Z113" s="15">
        <f t="shared" si="9"/>
        <v>0</v>
      </c>
      <c r="AA113" s="15">
        <f t="shared" si="48"/>
        <v>0</v>
      </c>
      <c r="AB113" s="15">
        <f t="shared" si="10"/>
        <v>0</v>
      </c>
      <c r="AC113" s="16">
        <f t="shared" si="11"/>
        <v>0</v>
      </c>
      <c r="AD113" s="16">
        <f t="shared" si="35"/>
        <v>0</v>
      </c>
      <c r="AE113" s="16">
        <f t="shared" si="36"/>
        <v>0</v>
      </c>
      <c r="AF113" s="16">
        <f t="shared" si="37"/>
        <v>0</v>
      </c>
      <c r="AG113" s="16"/>
      <c r="AH113" s="17"/>
      <c r="AI113" s="17">
        <f t="shared" si="38"/>
        <v>0</v>
      </c>
      <c r="AJ113" s="15">
        <f t="shared" si="39"/>
        <v>0</v>
      </c>
      <c r="AK113" s="18">
        <v>106</v>
      </c>
      <c r="AL113" s="43"/>
    </row>
    <row r="114" spans="1:38" ht="23.5" customHeight="1" x14ac:dyDescent="0.2">
      <c r="A114" s="5" t="s">
        <v>169</v>
      </c>
      <c r="B114" s="26"/>
      <c r="C114" s="65"/>
      <c r="D114" s="20"/>
      <c r="E114" s="26"/>
      <c r="F114" s="27"/>
      <c r="G114" s="9"/>
      <c r="H114" s="7"/>
      <c r="I114" s="10"/>
      <c r="J114" s="67"/>
      <c r="K114" s="11"/>
      <c r="L114" s="23"/>
      <c r="M114" s="12"/>
      <c r="N114" s="13">
        <f t="shared" si="6"/>
        <v>0</v>
      </c>
      <c r="O114" s="108"/>
      <c r="P114" s="106"/>
      <c r="Q114" s="106"/>
      <c r="R114" s="68"/>
      <c r="S114" s="15">
        <f t="shared" si="34"/>
        <v>0</v>
      </c>
      <c r="T114" s="15">
        <f t="shared" si="43"/>
        <v>0</v>
      </c>
      <c r="U114" s="15">
        <f t="shared" si="44"/>
        <v>0</v>
      </c>
      <c r="V114" s="15">
        <f t="shared" si="45"/>
        <v>0</v>
      </c>
      <c r="W114" s="15">
        <f t="shared" si="46"/>
        <v>0</v>
      </c>
      <c r="X114" s="15">
        <f t="shared" si="8"/>
        <v>0</v>
      </c>
      <c r="Y114" s="15">
        <f t="shared" si="47"/>
        <v>0</v>
      </c>
      <c r="Z114" s="15">
        <f t="shared" si="9"/>
        <v>0</v>
      </c>
      <c r="AA114" s="15">
        <f t="shared" si="48"/>
        <v>0</v>
      </c>
      <c r="AB114" s="15">
        <f t="shared" si="10"/>
        <v>0</v>
      </c>
      <c r="AC114" s="16">
        <f t="shared" si="11"/>
        <v>0</v>
      </c>
      <c r="AD114" s="16">
        <f t="shared" si="35"/>
        <v>0</v>
      </c>
      <c r="AE114" s="16">
        <f t="shared" si="36"/>
        <v>0</v>
      </c>
      <c r="AF114" s="16">
        <f t="shared" si="37"/>
        <v>0</v>
      </c>
      <c r="AG114" s="16"/>
      <c r="AH114" s="17"/>
      <c r="AI114" s="17">
        <f t="shared" si="38"/>
        <v>0</v>
      </c>
      <c r="AJ114" s="15">
        <f t="shared" si="39"/>
        <v>0</v>
      </c>
      <c r="AK114" s="18">
        <v>107</v>
      </c>
      <c r="AL114" s="25"/>
    </row>
    <row r="115" spans="1:38" ht="23.5" customHeight="1" x14ac:dyDescent="0.2">
      <c r="A115" s="5" t="s">
        <v>170</v>
      </c>
      <c r="B115" s="26"/>
      <c r="C115" s="65"/>
      <c r="D115" s="20"/>
      <c r="E115" s="26"/>
      <c r="F115" s="27"/>
      <c r="G115" s="9"/>
      <c r="H115" s="7"/>
      <c r="I115" s="10"/>
      <c r="J115" s="67"/>
      <c r="K115" s="11"/>
      <c r="L115" s="23"/>
      <c r="M115" s="12"/>
      <c r="N115" s="13">
        <f t="shared" si="6"/>
        <v>0</v>
      </c>
      <c r="O115" s="108"/>
      <c r="P115" s="106"/>
      <c r="Q115" s="106"/>
      <c r="R115" s="68"/>
      <c r="S115" s="15">
        <f t="shared" si="34"/>
        <v>0</v>
      </c>
      <c r="T115" s="15">
        <f t="shared" si="43"/>
        <v>0</v>
      </c>
      <c r="U115" s="15">
        <f t="shared" si="44"/>
        <v>0</v>
      </c>
      <c r="V115" s="15">
        <f t="shared" si="45"/>
        <v>0</v>
      </c>
      <c r="W115" s="15">
        <f t="shared" si="46"/>
        <v>0</v>
      </c>
      <c r="X115" s="15">
        <f t="shared" si="8"/>
        <v>0</v>
      </c>
      <c r="Y115" s="15">
        <f t="shared" si="47"/>
        <v>0</v>
      </c>
      <c r="Z115" s="15">
        <f t="shared" si="9"/>
        <v>0</v>
      </c>
      <c r="AA115" s="15">
        <f t="shared" si="48"/>
        <v>0</v>
      </c>
      <c r="AB115" s="15">
        <f t="shared" si="10"/>
        <v>0</v>
      </c>
      <c r="AC115" s="16">
        <f t="shared" si="11"/>
        <v>0</v>
      </c>
      <c r="AD115" s="16">
        <f t="shared" si="35"/>
        <v>0</v>
      </c>
      <c r="AE115" s="16">
        <f t="shared" si="36"/>
        <v>0</v>
      </c>
      <c r="AF115" s="16">
        <f t="shared" si="37"/>
        <v>0</v>
      </c>
      <c r="AG115" s="16"/>
      <c r="AH115" s="17"/>
      <c r="AI115" s="17">
        <f t="shared" si="38"/>
        <v>0</v>
      </c>
      <c r="AJ115" s="15">
        <f t="shared" si="39"/>
        <v>0</v>
      </c>
      <c r="AK115" s="18">
        <v>108</v>
      </c>
      <c r="AL115" s="25"/>
    </row>
    <row r="116" spans="1:38" ht="23.5" customHeight="1" x14ac:dyDescent="0.2">
      <c r="A116" s="5" t="s">
        <v>171</v>
      </c>
      <c r="B116" s="26"/>
      <c r="C116" s="65"/>
      <c r="D116" s="20"/>
      <c r="E116" s="26"/>
      <c r="F116" s="27"/>
      <c r="G116" s="9"/>
      <c r="H116" s="7"/>
      <c r="I116" s="10"/>
      <c r="J116" s="67"/>
      <c r="K116" s="11"/>
      <c r="L116" s="23"/>
      <c r="M116" s="12"/>
      <c r="N116" s="13">
        <f t="shared" si="6"/>
        <v>0</v>
      </c>
      <c r="O116" s="108"/>
      <c r="P116" s="106"/>
      <c r="Q116" s="106"/>
      <c r="R116" s="68"/>
      <c r="S116" s="15">
        <f t="shared" si="34"/>
        <v>0</v>
      </c>
      <c r="T116" s="15">
        <f t="shared" si="43"/>
        <v>0</v>
      </c>
      <c r="U116" s="15">
        <f t="shared" si="44"/>
        <v>0</v>
      </c>
      <c r="V116" s="15">
        <f t="shared" si="45"/>
        <v>0</v>
      </c>
      <c r="W116" s="15">
        <f t="shared" si="46"/>
        <v>0</v>
      </c>
      <c r="X116" s="15">
        <f t="shared" si="8"/>
        <v>0</v>
      </c>
      <c r="Y116" s="15">
        <f t="shared" si="47"/>
        <v>0</v>
      </c>
      <c r="Z116" s="15">
        <f t="shared" si="9"/>
        <v>0</v>
      </c>
      <c r="AA116" s="15">
        <f t="shared" si="48"/>
        <v>0</v>
      </c>
      <c r="AB116" s="15">
        <f t="shared" si="10"/>
        <v>0</v>
      </c>
      <c r="AC116" s="16">
        <f t="shared" si="11"/>
        <v>0</v>
      </c>
      <c r="AD116" s="16">
        <f t="shared" si="35"/>
        <v>0</v>
      </c>
      <c r="AE116" s="16">
        <f t="shared" si="36"/>
        <v>0</v>
      </c>
      <c r="AF116" s="16">
        <f t="shared" si="37"/>
        <v>0</v>
      </c>
      <c r="AG116" s="16"/>
      <c r="AH116" s="17"/>
      <c r="AI116" s="17">
        <f t="shared" si="38"/>
        <v>0</v>
      </c>
      <c r="AJ116" s="15">
        <f t="shared" si="39"/>
        <v>0</v>
      </c>
      <c r="AK116" s="18">
        <v>109</v>
      </c>
      <c r="AL116" s="25"/>
    </row>
    <row r="117" spans="1:38" ht="23.5" customHeight="1" x14ac:dyDescent="0.2">
      <c r="A117" s="5" t="s">
        <v>172</v>
      </c>
      <c r="B117" s="30"/>
      <c r="C117" s="65"/>
      <c r="D117" s="20"/>
      <c r="E117" s="26"/>
      <c r="F117" s="27"/>
      <c r="G117" s="9"/>
      <c r="H117" s="7"/>
      <c r="I117" s="10"/>
      <c r="J117" s="67"/>
      <c r="K117" s="11"/>
      <c r="L117" s="23"/>
      <c r="M117" s="12"/>
      <c r="N117" s="13">
        <f t="shared" si="6"/>
        <v>0</v>
      </c>
      <c r="O117" s="108"/>
      <c r="P117" s="106"/>
      <c r="Q117" s="106"/>
      <c r="R117" s="68"/>
      <c r="S117" s="15">
        <f t="shared" si="34"/>
        <v>0</v>
      </c>
      <c r="T117" s="15">
        <f t="shared" si="43"/>
        <v>0</v>
      </c>
      <c r="U117" s="15">
        <f t="shared" si="44"/>
        <v>0</v>
      </c>
      <c r="V117" s="15">
        <f t="shared" si="45"/>
        <v>0</v>
      </c>
      <c r="W117" s="15">
        <f t="shared" si="46"/>
        <v>0</v>
      </c>
      <c r="X117" s="15">
        <f t="shared" si="8"/>
        <v>0</v>
      </c>
      <c r="Y117" s="15">
        <f t="shared" si="47"/>
        <v>0</v>
      </c>
      <c r="Z117" s="15">
        <f t="shared" si="9"/>
        <v>0</v>
      </c>
      <c r="AA117" s="15">
        <f t="shared" si="48"/>
        <v>0</v>
      </c>
      <c r="AB117" s="15">
        <f t="shared" si="10"/>
        <v>0</v>
      </c>
      <c r="AC117" s="16">
        <f t="shared" si="11"/>
        <v>0</v>
      </c>
      <c r="AD117" s="16">
        <f t="shared" si="35"/>
        <v>0</v>
      </c>
      <c r="AE117" s="16">
        <f t="shared" si="36"/>
        <v>0</v>
      </c>
      <c r="AF117" s="16">
        <f t="shared" si="37"/>
        <v>0</v>
      </c>
      <c r="AG117" s="16"/>
      <c r="AH117" s="17"/>
      <c r="AI117" s="17">
        <f t="shared" si="38"/>
        <v>0</v>
      </c>
      <c r="AJ117" s="15">
        <f t="shared" si="39"/>
        <v>0</v>
      </c>
      <c r="AK117" s="18">
        <v>110</v>
      </c>
      <c r="AL117" s="25"/>
    </row>
    <row r="118" spans="1:38" ht="23.5" customHeight="1" x14ac:dyDescent="0.2">
      <c r="A118" s="5" t="s">
        <v>173</v>
      </c>
      <c r="B118" s="32"/>
      <c r="C118" s="65"/>
      <c r="D118" s="31"/>
      <c r="E118" s="32"/>
      <c r="F118" s="33"/>
      <c r="G118" s="34"/>
      <c r="H118" s="35"/>
      <c r="I118" s="10"/>
      <c r="J118" s="67"/>
      <c r="K118" s="11"/>
      <c r="L118" s="23"/>
      <c r="M118" s="12"/>
      <c r="N118" s="13">
        <f t="shared" si="6"/>
        <v>0</v>
      </c>
      <c r="O118" s="108"/>
      <c r="P118" s="106"/>
      <c r="Q118" s="106"/>
      <c r="R118" s="68"/>
      <c r="S118" s="15">
        <f t="shared" si="34"/>
        <v>0</v>
      </c>
      <c r="T118" s="15">
        <f t="shared" si="43"/>
        <v>0</v>
      </c>
      <c r="U118" s="15">
        <f t="shared" si="44"/>
        <v>0</v>
      </c>
      <c r="V118" s="15">
        <f t="shared" si="45"/>
        <v>0</v>
      </c>
      <c r="W118" s="15">
        <f t="shared" si="46"/>
        <v>0</v>
      </c>
      <c r="X118" s="15">
        <f t="shared" si="8"/>
        <v>0</v>
      </c>
      <c r="Y118" s="15">
        <f t="shared" si="47"/>
        <v>0</v>
      </c>
      <c r="Z118" s="15">
        <f t="shared" si="9"/>
        <v>0</v>
      </c>
      <c r="AA118" s="15">
        <f t="shared" si="48"/>
        <v>0</v>
      </c>
      <c r="AB118" s="15">
        <f t="shared" si="10"/>
        <v>0</v>
      </c>
      <c r="AC118" s="16">
        <f t="shared" si="11"/>
        <v>0</v>
      </c>
      <c r="AD118" s="16">
        <f t="shared" si="35"/>
        <v>0</v>
      </c>
      <c r="AE118" s="16">
        <f t="shared" si="36"/>
        <v>0</v>
      </c>
      <c r="AF118" s="16">
        <f t="shared" si="37"/>
        <v>0</v>
      </c>
      <c r="AG118" s="16"/>
      <c r="AH118" s="17"/>
      <c r="AI118" s="17">
        <f t="shared" si="38"/>
        <v>0</v>
      </c>
      <c r="AJ118" s="15">
        <f t="shared" si="39"/>
        <v>0</v>
      </c>
      <c r="AK118" s="18">
        <v>111</v>
      </c>
      <c r="AL118" s="25"/>
    </row>
    <row r="119" spans="1:38" ht="23.5" customHeight="1" x14ac:dyDescent="0.2">
      <c r="A119" s="5" t="s">
        <v>174</v>
      </c>
      <c r="B119" s="26"/>
      <c r="C119" s="65"/>
      <c r="D119" s="20"/>
      <c r="E119" s="26"/>
      <c r="F119" s="27"/>
      <c r="G119" s="27"/>
      <c r="H119" s="26"/>
      <c r="I119" s="10"/>
      <c r="J119" s="67"/>
      <c r="K119" s="11"/>
      <c r="L119" s="23"/>
      <c r="M119" s="12"/>
      <c r="N119" s="13">
        <f t="shared" si="6"/>
        <v>0</v>
      </c>
      <c r="O119" s="108"/>
      <c r="P119" s="106"/>
      <c r="Q119" s="106"/>
      <c r="R119" s="68"/>
      <c r="S119" s="15">
        <f t="shared" si="34"/>
        <v>0</v>
      </c>
      <c r="T119" s="15">
        <f t="shared" si="43"/>
        <v>0</v>
      </c>
      <c r="U119" s="15">
        <f t="shared" si="44"/>
        <v>0</v>
      </c>
      <c r="V119" s="15">
        <f t="shared" si="45"/>
        <v>0</v>
      </c>
      <c r="W119" s="15">
        <f t="shared" si="46"/>
        <v>0</v>
      </c>
      <c r="X119" s="15">
        <f t="shared" si="8"/>
        <v>0</v>
      </c>
      <c r="Y119" s="15">
        <f t="shared" si="47"/>
        <v>0</v>
      </c>
      <c r="Z119" s="15">
        <f t="shared" si="9"/>
        <v>0</v>
      </c>
      <c r="AA119" s="15">
        <f t="shared" si="48"/>
        <v>0</v>
      </c>
      <c r="AB119" s="15">
        <f t="shared" si="10"/>
        <v>0</v>
      </c>
      <c r="AC119" s="16">
        <f t="shared" si="11"/>
        <v>0</v>
      </c>
      <c r="AD119" s="16">
        <f t="shared" si="35"/>
        <v>0</v>
      </c>
      <c r="AE119" s="16">
        <f t="shared" si="36"/>
        <v>0</v>
      </c>
      <c r="AF119" s="16">
        <f t="shared" si="37"/>
        <v>0</v>
      </c>
      <c r="AG119" s="16"/>
      <c r="AH119" s="17"/>
      <c r="AI119" s="17">
        <f t="shared" si="38"/>
        <v>0</v>
      </c>
      <c r="AJ119" s="15">
        <f t="shared" si="39"/>
        <v>0</v>
      </c>
      <c r="AK119" s="18">
        <v>112</v>
      </c>
      <c r="AL119" s="43"/>
    </row>
    <row r="120" spans="1:38" ht="23.5" customHeight="1" x14ac:dyDescent="0.2">
      <c r="A120" s="5" t="s">
        <v>175</v>
      </c>
      <c r="B120" s="26"/>
      <c r="C120" s="65"/>
      <c r="D120" s="20"/>
      <c r="E120" s="26"/>
      <c r="F120" s="27"/>
      <c r="G120" s="27"/>
      <c r="H120" s="26"/>
      <c r="I120" s="10"/>
      <c r="J120" s="67"/>
      <c r="K120" s="11"/>
      <c r="L120" s="23"/>
      <c r="M120" s="12"/>
      <c r="N120" s="13">
        <f t="shared" si="6"/>
        <v>0</v>
      </c>
      <c r="O120" s="108"/>
      <c r="P120" s="106"/>
      <c r="Q120" s="106"/>
      <c r="R120" s="68"/>
      <c r="S120" s="15">
        <f t="shared" si="34"/>
        <v>0</v>
      </c>
      <c r="T120" s="15">
        <f t="shared" si="43"/>
        <v>0</v>
      </c>
      <c r="U120" s="15">
        <f t="shared" si="44"/>
        <v>0</v>
      </c>
      <c r="V120" s="15">
        <f t="shared" si="45"/>
        <v>0</v>
      </c>
      <c r="W120" s="15">
        <f t="shared" si="46"/>
        <v>0</v>
      </c>
      <c r="X120" s="15">
        <f t="shared" si="8"/>
        <v>0</v>
      </c>
      <c r="Y120" s="15">
        <f t="shared" si="47"/>
        <v>0</v>
      </c>
      <c r="Z120" s="15">
        <f t="shared" si="9"/>
        <v>0</v>
      </c>
      <c r="AA120" s="15">
        <f t="shared" si="48"/>
        <v>0</v>
      </c>
      <c r="AB120" s="15">
        <f t="shared" si="10"/>
        <v>0</v>
      </c>
      <c r="AC120" s="16">
        <f t="shared" si="11"/>
        <v>0</v>
      </c>
      <c r="AD120" s="16">
        <f t="shared" si="35"/>
        <v>0</v>
      </c>
      <c r="AE120" s="16">
        <f t="shared" si="36"/>
        <v>0</v>
      </c>
      <c r="AF120" s="16">
        <f t="shared" si="37"/>
        <v>0</v>
      </c>
      <c r="AG120" s="16"/>
      <c r="AH120" s="17"/>
      <c r="AI120" s="17">
        <f t="shared" si="38"/>
        <v>0</v>
      </c>
      <c r="AJ120" s="15">
        <f t="shared" si="39"/>
        <v>0</v>
      </c>
      <c r="AK120" s="18">
        <v>113</v>
      </c>
      <c r="AL120" s="25"/>
    </row>
    <row r="121" spans="1:38" ht="23.5" customHeight="1" x14ac:dyDescent="0.2">
      <c r="A121" s="5" t="s">
        <v>176</v>
      </c>
      <c r="B121" s="26"/>
      <c r="C121" s="65"/>
      <c r="D121" s="20"/>
      <c r="E121" s="26"/>
      <c r="F121" s="27"/>
      <c r="G121" s="27"/>
      <c r="H121" s="26"/>
      <c r="I121" s="10"/>
      <c r="J121" s="67"/>
      <c r="K121" s="11"/>
      <c r="L121" s="23"/>
      <c r="M121" s="12"/>
      <c r="N121" s="13">
        <f t="shared" si="6"/>
        <v>0</v>
      </c>
      <c r="O121" s="108"/>
      <c r="P121" s="106"/>
      <c r="Q121" s="106"/>
      <c r="R121" s="68"/>
      <c r="S121" s="15">
        <f t="shared" si="34"/>
        <v>0</v>
      </c>
      <c r="T121" s="15">
        <f t="shared" si="43"/>
        <v>0</v>
      </c>
      <c r="U121" s="15">
        <f t="shared" si="44"/>
        <v>0</v>
      </c>
      <c r="V121" s="15">
        <f t="shared" si="45"/>
        <v>0</v>
      </c>
      <c r="W121" s="15">
        <f t="shared" si="46"/>
        <v>0</v>
      </c>
      <c r="X121" s="15">
        <f t="shared" si="8"/>
        <v>0</v>
      </c>
      <c r="Y121" s="15">
        <f t="shared" si="47"/>
        <v>0</v>
      </c>
      <c r="Z121" s="15">
        <f t="shared" si="9"/>
        <v>0</v>
      </c>
      <c r="AA121" s="15">
        <f t="shared" si="48"/>
        <v>0</v>
      </c>
      <c r="AB121" s="15">
        <f t="shared" si="10"/>
        <v>0</v>
      </c>
      <c r="AC121" s="16">
        <f t="shared" si="11"/>
        <v>0</v>
      </c>
      <c r="AD121" s="16">
        <f t="shared" si="35"/>
        <v>0</v>
      </c>
      <c r="AE121" s="16">
        <f t="shared" si="36"/>
        <v>0</v>
      </c>
      <c r="AF121" s="16">
        <f t="shared" si="37"/>
        <v>0</v>
      </c>
      <c r="AG121" s="16"/>
      <c r="AH121" s="17"/>
      <c r="AI121" s="17">
        <f t="shared" si="38"/>
        <v>0</v>
      </c>
      <c r="AJ121" s="15">
        <f t="shared" si="39"/>
        <v>0</v>
      </c>
      <c r="AK121" s="18">
        <v>114</v>
      </c>
      <c r="AL121" s="43"/>
    </row>
    <row r="122" spans="1:38" ht="23.5" customHeight="1" x14ac:dyDescent="0.2">
      <c r="A122" s="5" t="s">
        <v>177</v>
      </c>
      <c r="B122" s="30"/>
      <c r="C122" s="65"/>
      <c r="D122" s="20"/>
      <c r="E122" s="26"/>
      <c r="F122" s="27"/>
      <c r="G122" s="27"/>
      <c r="H122" s="27"/>
      <c r="I122" s="10"/>
      <c r="J122" s="67"/>
      <c r="K122" s="11"/>
      <c r="L122" s="23"/>
      <c r="M122" s="12"/>
      <c r="N122" s="13">
        <f t="shared" si="6"/>
        <v>0</v>
      </c>
      <c r="O122" s="108"/>
      <c r="P122" s="106"/>
      <c r="Q122" s="106"/>
      <c r="R122" s="68"/>
      <c r="S122" s="15">
        <f t="shared" si="34"/>
        <v>0</v>
      </c>
      <c r="T122" s="15">
        <f t="shared" si="43"/>
        <v>0</v>
      </c>
      <c r="U122" s="15">
        <f t="shared" si="44"/>
        <v>0</v>
      </c>
      <c r="V122" s="15">
        <f t="shared" si="45"/>
        <v>0</v>
      </c>
      <c r="W122" s="15">
        <f t="shared" si="46"/>
        <v>0</v>
      </c>
      <c r="X122" s="15">
        <f t="shared" si="8"/>
        <v>0</v>
      </c>
      <c r="Y122" s="15">
        <f t="shared" si="47"/>
        <v>0</v>
      </c>
      <c r="Z122" s="15">
        <f t="shared" si="9"/>
        <v>0</v>
      </c>
      <c r="AA122" s="15">
        <f t="shared" si="48"/>
        <v>0</v>
      </c>
      <c r="AB122" s="15">
        <f t="shared" si="10"/>
        <v>0</v>
      </c>
      <c r="AC122" s="16">
        <f t="shared" si="11"/>
        <v>0</v>
      </c>
      <c r="AD122" s="16">
        <f t="shared" si="35"/>
        <v>0</v>
      </c>
      <c r="AE122" s="16">
        <f t="shared" si="36"/>
        <v>0</v>
      </c>
      <c r="AF122" s="16">
        <f t="shared" si="37"/>
        <v>0</v>
      </c>
      <c r="AG122" s="16"/>
      <c r="AH122" s="17"/>
      <c r="AI122" s="17">
        <f t="shared" si="38"/>
        <v>0</v>
      </c>
      <c r="AJ122" s="15">
        <f t="shared" si="39"/>
        <v>0</v>
      </c>
      <c r="AK122" s="18">
        <v>115</v>
      </c>
      <c r="AL122" s="25"/>
    </row>
    <row r="123" spans="1:38" ht="23.5" customHeight="1" x14ac:dyDescent="0.2">
      <c r="A123" s="5" t="s">
        <v>178</v>
      </c>
      <c r="B123" s="30"/>
      <c r="C123" s="65"/>
      <c r="D123" s="20"/>
      <c r="E123" s="26"/>
      <c r="F123" s="27"/>
      <c r="G123" s="27"/>
      <c r="H123" s="27"/>
      <c r="I123" s="10"/>
      <c r="J123" s="67"/>
      <c r="K123" s="11"/>
      <c r="L123" s="23"/>
      <c r="M123" s="12"/>
      <c r="N123" s="13">
        <f t="shared" si="6"/>
        <v>0</v>
      </c>
      <c r="O123" s="108"/>
      <c r="P123" s="106"/>
      <c r="Q123" s="106"/>
      <c r="R123" s="68"/>
      <c r="S123" s="15">
        <f t="shared" si="34"/>
        <v>0</v>
      </c>
      <c r="T123" s="15">
        <f t="shared" si="43"/>
        <v>0</v>
      </c>
      <c r="U123" s="15">
        <f t="shared" si="44"/>
        <v>0</v>
      </c>
      <c r="V123" s="15">
        <f t="shared" si="45"/>
        <v>0</v>
      </c>
      <c r="W123" s="15">
        <f t="shared" si="46"/>
        <v>0</v>
      </c>
      <c r="X123" s="15">
        <f t="shared" si="8"/>
        <v>0</v>
      </c>
      <c r="Y123" s="15">
        <f t="shared" si="47"/>
        <v>0</v>
      </c>
      <c r="Z123" s="15">
        <f t="shared" si="9"/>
        <v>0</v>
      </c>
      <c r="AA123" s="15">
        <f t="shared" si="48"/>
        <v>0</v>
      </c>
      <c r="AB123" s="15">
        <f t="shared" si="10"/>
        <v>0</v>
      </c>
      <c r="AC123" s="16">
        <f t="shared" si="11"/>
        <v>0</v>
      </c>
      <c r="AD123" s="16">
        <f t="shared" si="35"/>
        <v>0</v>
      </c>
      <c r="AE123" s="16">
        <f t="shared" si="36"/>
        <v>0</v>
      </c>
      <c r="AF123" s="16">
        <f t="shared" si="37"/>
        <v>0</v>
      </c>
      <c r="AG123" s="16"/>
      <c r="AH123" s="17"/>
      <c r="AI123" s="17">
        <f t="shared" si="38"/>
        <v>0</v>
      </c>
      <c r="AJ123" s="15">
        <f t="shared" si="39"/>
        <v>0</v>
      </c>
      <c r="AK123" s="18">
        <v>116</v>
      </c>
      <c r="AL123" s="25"/>
    </row>
    <row r="124" spans="1:38" ht="23.5" customHeight="1" x14ac:dyDescent="0.2">
      <c r="A124" s="5" t="s">
        <v>179</v>
      </c>
      <c r="B124" s="30"/>
      <c r="C124" s="65"/>
      <c r="D124" s="20"/>
      <c r="E124" s="26"/>
      <c r="F124" s="27"/>
      <c r="G124" s="27"/>
      <c r="H124" s="27"/>
      <c r="I124" s="10"/>
      <c r="J124" s="67"/>
      <c r="K124" s="11"/>
      <c r="L124" s="23"/>
      <c r="M124" s="12"/>
      <c r="N124" s="13">
        <f t="shared" si="6"/>
        <v>0</v>
      </c>
      <c r="O124" s="108"/>
      <c r="P124" s="106"/>
      <c r="Q124" s="106"/>
      <c r="R124" s="68"/>
      <c r="S124" s="15">
        <f t="shared" si="34"/>
        <v>0</v>
      </c>
      <c r="T124" s="15">
        <f t="shared" si="43"/>
        <v>0</v>
      </c>
      <c r="U124" s="15">
        <f t="shared" si="44"/>
        <v>0</v>
      </c>
      <c r="V124" s="15">
        <f t="shared" si="45"/>
        <v>0</v>
      </c>
      <c r="W124" s="15">
        <f t="shared" si="46"/>
        <v>0</v>
      </c>
      <c r="X124" s="15">
        <f t="shared" si="8"/>
        <v>0</v>
      </c>
      <c r="Y124" s="15">
        <f t="shared" si="47"/>
        <v>0</v>
      </c>
      <c r="Z124" s="15">
        <f t="shared" si="9"/>
        <v>0</v>
      </c>
      <c r="AA124" s="15">
        <f t="shared" si="48"/>
        <v>0</v>
      </c>
      <c r="AB124" s="15">
        <f t="shared" si="10"/>
        <v>0</v>
      </c>
      <c r="AC124" s="16">
        <f t="shared" si="11"/>
        <v>0</v>
      </c>
      <c r="AD124" s="16">
        <f t="shared" si="35"/>
        <v>0</v>
      </c>
      <c r="AE124" s="16">
        <f t="shared" si="36"/>
        <v>0</v>
      </c>
      <c r="AF124" s="16">
        <f t="shared" si="37"/>
        <v>0</v>
      </c>
      <c r="AG124" s="16"/>
      <c r="AH124" s="17"/>
      <c r="AI124" s="17">
        <f t="shared" si="38"/>
        <v>0</v>
      </c>
      <c r="AJ124" s="15">
        <f t="shared" si="39"/>
        <v>0</v>
      </c>
      <c r="AK124" s="18">
        <v>117</v>
      </c>
      <c r="AL124" s="25"/>
    </row>
    <row r="125" spans="1:38" ht="23.5" customHeight="1" x14ac:dyDescent="0.2">
      <c r="A125" s="5" t="s">
        <v>180</v>
      </c>
      <c r="B125" s="26"/>
      <c r="C125" s="65"/>
      <c r="D125" s="20"/>
      <c r="E125" s="26"/>
      <c r="F125" s="27"/>
      <c r="G125" s="27"/>
      <c r="H125" s="27"/>
      <c r="I125" s="10"/>
      <c r="J125" s="67"/>
      <c r="K125" s="11"/>
      <c r="L125" s="23"/>
      <c r="M125" s="12"/>
      <c r="N125" s="13">
        <f t="shared" si="6"/>
        <v>0</v>
      </c>
      <c r="O125" s="108"/>
      <c r="P125" s="106"/>
      <c r="Q125" s="106"/>
      <c r="R125" s="68"/>
      <c r="S125" s="15">
        <f t="shared" si="34"/>
        <v>0</v>
      </c>
      <c r="T125" s="15">
        <f t="shared" si="43"/>
        <v>0</v>
      </c>
      <c r="U125" s="15">
        <f t="shared" si="44"/>
        <v>0</v>
      </c>
      <c r="V125" s="15">
        <f t="shared" si="45"/>
        <v>0</v>
      </c>
      <c r="W125" s="15">
        <f t="shared" si="46"/>
        <v>0</v>
      </c>
      <c r="X125" s="15">
        <f t="shared" si="8"/>
        <v>0</v>
      </c>
      <c r="Y125" s="15">
        <f t="shared" si="47"/>
        <v>0</v>
      </c>
      <c r="Z125" s="15">
        <f t="shared" si="9"/>
        <v>0</v>
      </c>
      <c r="AA125" s="15">
        <f t="shared" si="48"/>
        <v>0</v>
      </c>
      <c r="AB125" s="15">
        <f t="shared" si="10"/>
        <v>0</v>
      </c>
      <c r="AC125" s="16">
        <f t="shared" si="11"/>
        <v>0</v>
      </c>
      <c r="AD125" s="16">
        <f t="shared" si="35"/>
        <v>0</v>
      </c>
      <c r="AE125" s="16">
        <f t="shared" si="36"/>
        <v>0</v>
      </c>
      <c r="AF125" s="16">
        <f t="shared" si="37"/>
        <v>0</v>
      </c>
      <c r="AG125" s="16"/>
      <c r="AH125" s="17"/>
      <c r="AI125" s="17">
        <f t="shared" si="38"/>
        <v>0</v>
      </c>
      <c r="AJ125" s="15">
        <f t="shared" si="39"/>
        <v>0</v>
      </c>
      <c r="AK125" s="18">
        <v>118</v>
      </c>
      <c r="AL125" s="25"/>
    </row>
    <row r="126" spans="1:38" ht="23.5" customHeight="1" x14ac:dyDescent="0.2">
      <c r="A126" s="5" t="s">
        <v>181</v>
      </c>
      <c r="B126" s="26"/>
      <c r="C126" s="65"/>
      <c r="D126" s="20"/>
      <c r="E126" s="26"/>
      <c r="F126" s="27"/>
      <c r="G126" s="27"/>
      <c r="H126" s="27"/>
      <c r="I126" s="10"/>
      <c r="J126" s="67"/>
      <c r="K126" s="11"/>
      <c r="L126" s="23"/>
      <c r="M126" s="12"/>
      <c r="N126" s="13">
        <f t="shared" si="6"/>
        <v>0</v>
      </c>
      <c r="O126" s="108"/>
      <c r="P126" s="106"/>
      <c r="Q126" s="106"/>
      <c r="R126" s="68"/>
      <c r="S126" s="15">
        <f t="shared" si="34"/>
        <v>0</v>
      </c>
      <c r="T126" s="15">
        <f t="shared" si="43"/>
        <v>0</v>
      </c>
      <c r="U126" s="15">
        <f t="shared" si="44"/>
        <v>0</v>
      </c>
      <c r="V126" s="15">
        <f t="shared" si="45"/>
        <v>0</v>
      </c>
      <c r="W126" s="15">
        <f t="shared" si="46"/>
        <v>0</v>
      </c>
      <c r="X126" s="15">
        <f t="shared" si="8"/>
        <v>0</v>
      </c>
      <c r="Y126" s="15">
        <f t="shared" si="47"/>
        <v>0</v>
      </c>
      <c r="Z126" s="15">
        <f t="shared" si="9"/>
        <v>0</v>
      </c>
      <c r="AA126" s="15">
        <f t="shared" si="48"/>
        <v>0</v>
      </c>
      <c r="AB126" s="15">
        <f t="shared" si="10"/>
        <v>0</v>
      </c>
      <c r="AC126" s="16">
        <f t="shared" si="11"/>
        <v>0</v>
      </c>
      <c r="AD126" s="16">
        <f t="shared" si="35"/>
        <v>0</v>
      </c>
      <c r="AE126" s="16">
        <f t="shared" si="36"/>
        <v>0</v>
      </c>
      <c r="AF126" s="16">
        <f t="shared" si="37"/>
        <v>0</v>
      </c>
      <c r="AG126" s="16"/>
      <c r="AH126" s="17"/>
      <c r="AI126" s="17">
        <f t="shared" si="38"/>
        <v>0</v>
      </c>
      <c r="AJ126" s="15">
        <f t="shared" si="39"/>
        <v>0</v>
      </c>
      <c r="AK126" s="18">
        <v>119</v>
      </c>
      <c r="AL126" s="25"/>
    </row>
    <row r="127" spans="1:38" ht="23.5" customHeight="1" x14ac:dyDescent="0.2">
      <c r="A127" s="5" t="s">
        <v>182</v>
      </c>
      <c r="B127" s="30"/>
      <c r="C127" s="65"/>
      <c r="D127" s="20"/>
      <c r="E127" s="26"/>
      <c r="F127" s="27"/>
      <c r="G127" s="27"/>
      <c r="H127" s="27"/>
      <c r="I127" s="10"/>
      <c r="J127" s="67"/>
      <c r="K127" s="11"/>
      <c r="L127" s="23"/>
      <c r="M127" s="12"/>
      <c r="N127" s="13">
        <f t="shared" si="6"/>
        <v>0</v>
      </c>
      <c r="O127" s="108"/>
      <c r="P127" s="106"/>
      <c r="Q127" s="106"/>
      <c r="R127" s="68"/>
      <c r="S127" s="15">
        <f t="shared" si="34"/>
        <v>0</v>
      </c>
      <c r="T127" s="15">
        <f t="shared" si="43"/>
        <v>0</v>
      </c>
      <c r="U127" s="15">
        <f t="shared" si="44"/>
        <v>0</v>
      </c>
      <c r="V127" s="15">
        <f t="shared" si="45"/>
        <v>0</v>
      </c>
      <c r="W127" s="15">
        <f t="shared" si="46"/>
        <v>0</v>
      </c>
      <c r="X127" s="15">
        <f t="shared" si="8"/>
        <v>0</v>
      </c>
      <c r="Y127" s="15">
        <f t="shared" si="47"/>
        <v>0</v>
      </c>
      <c r="Z127" s="15">
        <f t="shared" si="9"/>
        <v>0</v>
      </c>
      <c r="AA127" s="15">
        <f t="shared" si="48"/>
        <v>0</v>
      </c>
      <c r="AB127" s="15">
        <f t="shared" si="10"/>
        <v>0</v>
      </c>
      <c r="AC127" s="16">
        <f t="shared" si="11"/>
        <v>0</v>
      </c>
      <c r="AD127" s="16">
        <f t="shared" si="35"/>
        <v>0</v>
      </c>
      <c r="AE127" s="16">
        <f t="shared" si="36"/>
        <v>0</v>
      </c>
      <c r="AF127" s="16">
        <f t="shared" si="37"/>
        <v>0</v>
      </c>
      <c r="AG127" s="16"/>
      <c r="AH127" s="17"/>
      <c r="AI127" s="17">
        <f t="shared" si="38"/>
        <v>0</v>
      </c>
      <c r="AJ127" s="15">
        <f t="shared" si="39"/>
        <v>0</v>
      </c>
      <c r="AK127" s="18">
        <v>120</v>
      </c>
      <c r="AL127" s="25"/>
    </row>
    <row r="128" spans="1:38" ht="23.5" customHeight="1" x14ac:dyDescent="0.2">
      <c r="A128" s="5" t="s">
        <v>183</v>
      </c>
      <c r="B128" s="30"/>
      <c r="C128" s="65"/>
      <c r="D128" s="20"/>
      <c r="E128" s="26"/>
      <c r="F128" s="27"/>
      <c r="G128" s="27"/>
      <c r="H128" s="27"/>
      <c r="I128" s="10"/>
      <c r="J128" s="67"/>
      <c r="K128" s="11"/>
      <c r="L128" s="23"/>
      <c r="M128" s="12"/>
      <c r="N128" s="13">
        <f t="shared" si="6"/>
        <v>0</v>
      </c>
      <c r="O128" s="108"/>
      <c r="P128" s="106"/>
      <c r="Q128" s="106"/>
      <c r="R128" s="68"/>
      <c r="S128" s="15">
        <f t="shared" si="34"/>
        <v>0</v>
      </c>
      <c r="T128" s="15">
        <f t="shared" si="43"/>
        <v>0</v>
      </c>
      <c r="U128" s="15">
        <f t="shared" si="44"/>
        <v>0</v>
      </c>
      <c r="V128" s="15">
        <f t="shared" si="45"/>
        <v>0</v>
      </c>
      <c r="W128" s="15">
        <f t="shared" si="46"/>
        <v>0</v>
      </c>
      <c r="X128" s="15">
        <f t="shared" si="8"/>
        <v>0</v>
      </c>
      <c r="Y128" s="15">
        <f t="shared" si="47"/>
        <v>0</v>
      </c>
      <c r="Z128" s="15">
        <f t="shared" si="9"/>
        <v>0</v>
      </c>
      <c r="AA128" s="15">
        <f t="shared" si="48"/>
        <v>0</v>
      </c>
      <c r="AB128" s="15">
        <f t="shared" si="10"/>
        <v>0</v>
      </c>
      <c r="AC128" s="16">
        <f t="shared" si="11"/>
        <v>0</v>
      </c>
      <c r="AD128" s="16">
        <f t="shared" si="35"/>
        <v>0</v>
      </c>
      <c r="AE128" s="16">
        <f t="shared" si="36"/>
        <v>0</v>
      </c>
      <c r="AF128" s="16">
        <f t="shared" si="37"/>
        <v>0</v>
      </c>
      <c r="AG128" s="16"/>
      <c r="AH128" s="17"/>
      <c r="AI128" s="17">
        <f t="shared" si="38"/>
        <v>0</v>
      </c>
      <c r="AJ128" s="15">
        <f t="shared" si="39"/>
        <v>0</v>
      </c>
      <c r="AK128" s="18">
        <v>121</v>
      </c>
      <c r="AL128" s="43"/>
    </row>
    <row r="129" spans="1:38" ht="23.5" customHeight="1" x14ac:dyDescent="0.2">
      <c r="A129" s="5" t="s">
        <v>184</v>
      </c>
      <c r="B129" s="26"/>
      <c r="C129" s="65"/>
      <c r="D129" s="20"/>
      <c r="E129" s="26"/>
      <c r="F129" s="27"/>
      <c r="G129" s="27"/>
      <c r="H129" s="27"/>
      <c r="I129" s="10"/>
      <c r="J129" s="67"/>
      <c r="K129" s="11"/>
      <c r="L129" s="23"/>
      <c r="M129" s="12"/>
      <c r="N129" s="13">
        <f t="shared" si="6"/>
        <v>0</v>
      </c>
      <c r="O129" s="108"/>
      <c r="P129" s="106"/>
      <c r="Q129" s="106"/>
      <c r="R129" s="68"/>
      <c r="S129" s="15">
        <f t="shared" si="34"/>
        <v>0</v>
      </c>
      <c r="T129" s="15">
        <f t="shared" si="43"/>
        <v>0</v>
      </c>
      <c r="U129" s="15">
        <f t="shared" si="44"/>
        <v>0</v>
      </c>
      <c r="V129" s="15">
        <f t="shared" si="45"/>
        <v>0</v>
      </c>
      <c r="W129" s="15">
        <f t="shared" si="46"/>
        <v>0</v>
      </c>
      <c r="X129" s="15">
        <f t="shared" si="8"/>
        <v>0</v>
      </c>
      <c r="Y129" s="15">
        <f t="shared" si="47"/>
        <v>0</v>
      </c>
      <c r="Z129" s="15">
        <f t="shared" si="9"/>
        <v>0</v>
      </c>
      <c r="AA129" s="15">
        <f t="shared" si="48"/>
        <v>0</v>
      </c>
      <c r="AB129" s="15">
        <f t="shared" si="10"/>
        <v>0</v>
      </c>
      <c r="AC129" s="16">
        <f t="shared" si="11"/>
        <v>0</v>
      </c>
      <c r="AD129" s="16">
        <f t="shared" si="35"/>
        <v>0</v>
      </c>
      <c r="AE129" s="16">
        <f t="shared" si="36"/>
        <v>0</v>
      </c>
      <c r="AF129" s="16">
        <f t="shared" si="37"/>
        <v>0</v>
      </c>
      <c r="AG129" s="16"/>
      <c r="AH129" s="17"/>
      <c r="AI129" s="17">
        <f t="shared" si="38"/>
        <v>0</v>
      </c>
      <c r="AJ129" s="15">
        <f t="shared" si="39"/>
        <v>0</v>
      </c>
      <c r="AK129" s="18">
        <v>122</v>
      </c>
      <c r="AL129" s="25"/>
    </row>
    <row r="130" spans="1:38" ht="23.5" customHeight="1" x14ac:dyDescent="0.2">
      <c r="A130" s="5" t="s">
        <v>185</v>
      </c>
      <c r="B130" s="26"/>
      <c r="C130" s="65"/>
      <c r="D130" s="20"/>
      <c r="E130" s="26"/>
      <c r="F130" s="27"/>
      <c r="G130" s="27"/>
      <c r="H130" s="27"/>
      <c r="I130" s="10"/>
      <c r="J130" s="67"/>
      <c r="K130" s="11"/>
      <c r="L130" s="23"/>
      <c r="M130" s="12"/>
      <c r="N130" s="13">
        <f t="shared" si="6"/>
        <v>0</v>
      </c>
      <c r="O130" s="108"/>
      <c r="P130" s="106"/>
      <c r="Q130" s="106"/>
      <c r="R130" s="68"/>
      <c r="S130" s="15">
        <f t="shared" si="34"/>
        <v>0</v>
      </c>
      <c r="T130" s="15">
        <f t="shared" si="43"/>
        <v>0</v>
      </c>
      <c r="U130" s="15">
        <f t="shared" si="44"/>
        <v>0</v>
      </c>
      <c r="V130" s="15">
        <f t="shared" si="45"/>
        <v>0</v>
      </c>
      <c r="W130" s="15">
        <f t="shared" si="46"/>
        <v>0</v>
      </c>
      <c r="X130" s="15">
        <f t="shared" si="8"/>
        <v>0</v>
      </c>
      <c r="Y130" s="15">
        <f t="shared" si="47"/>
        <v>0</v>
      </c>
      <c r="Z130" s="15">
        <f t="shared" si="9"/>
        <v>0</v>
      </c>
      <c r="AA130" s="15">
        <f t="shared" si="48"/>
        <v>0</v>
      </c>
      <c r="AB130" s="15">
        <f t="shared" si="10"/>
        <v>0</v>
      </c>
      <c r="AC130" s="16">
        <f t="shared" si="11"/>
        <v>0</v>
      </c>
      <c r="AD130" s="16">
        <f t="shared" si="35"/>
        <v>0</v>
      </c>
      <c r="AE130" s="16">
        <f t="shared" si="36"/>
        <v>0</v>
      </c>
      <c r="AF130" s="16">
        <f t="shared" si="37"/>
        <v>0</v>
      </c>
      <c r="AG130" s="16"/>
      <c r="AH130" s="17"/>
      <c r="AI130" s="17">
        <f t="shared" si="38"/>
        <v>0</v>
      </c>
      <c r="AJ130" s="15">
        <f t="shared" si="39"/>
        <v>0</v>
      </c>
      <c r="AK130" s="18">
        <v>123</v>
      </c>
      <c r="AL130" s="43"/>
    </row>
    <row r="131" spans="1:38" ht="23.5" customHeight="1" x14ac:dyDescent="0.2">
      <c r="A131" s="5" t="s">
        <v>186</v>
      </c>
      <c r="B131" s="26"/>
      <c r="C131" s="65"/>
      <c r="D131" s="20"/>
      <c r="E131" s="26"/>
      <c r="F131" s="27"/>
      <c r="G131" s="27"/>
      <c r="H131" s="27"/>
      <c r="I131" s="10"/>
      <c r="J131" s="67"/>
      <c r="K131" s="11"/>
      <c r="L131" s="23"/>
      <c r="M131" s="12"/>
      <c r="N131" s="13">
        <f t="shared" si="6"/>
        <v>0</v>
      </c>
      <c r="O131" s="108"/>
      <c r="P131" s="106"/>
      <c r="Q131" s="106"/>
      <c r="R131" s="68"/>
      <c r="S131" s="15">
        <f t="shared" si="34"/>
        <v>0</v>
      </c>
      <c r="T131" s="15">
        <f t="shared" si="43"/>
        <v>0</v>
      </c>
      <c r="U131" s="15">
        <f t="shared" si="44"/>
        <v>0</v>
      </c>
      <c r="V131" s="15">
        <f t="shared" si="45"/>
        <v>0</v>
      </c>
      <c r="W131" s="15">
        <f t="shared" si="46"/>
        <v>0</v>
      </c>
      <c r="X131" s="15">
        <f t="shared" si="8"/>
        <v>0</v>
      </c>
      <c r="Y131" s="15">
        <f t="shared" si="47"/>
        <v>0</v>
      </c>
      <c r="Z131" s="15">
        <f t="shared" si="9"/>
        <v>0</v>
      </c>
      <c r="AA131" s="15">
        <f t="shared" si="48"/>
        <v>0</v>
      </c>
      <c r="AB131" s="15">
        <f t="shared" si="10"/>
        <v>0</v>
      </c>
      <c r="AC131" s="16">
        <f t="shared" si="11"/>
        <v>0</v>
      </c>
      <c r="AD131" s="16">
        <f t="shared" si="35"/>
        <v>0</v>
      </c>
      <c r="AE131" s="16">
        <f t="shared" si="36"/>
        <v>0</v>
      </c>
      <c r="AF131" s="16">
        <f t="shared" si="37"/>
        <v>0</v>
      </c>
      <c r="AG131" s="16"/>
      <c r="AH131" s="17"/>
      <c r="AI131" s="17">
        <f t="shared" si="38"/>
        <v>0</v>
      </c>
      <c r="AJ131" s="15">
        <f t="shared" si="39"/>
        <v>0</v>
      </c>
      <c r="AK131" s="18">
        <v>124</v>
      </c>
      <c r="AL131" s="25"/>
    </row>
    <row r="132" spans="1:38" ht="23.5" customHeight="1" x14ac:dyDescent="0.2">
      <c r="A132" s="5" t="s">
        <v>187</v>
      </c>
      <c r="B132" s="26"/>
      <c r="C132" s="65"/>
      <c r="D132" s="20"/>
      <c r="E132" s="26"/>
      <c r="F132" s="27"/>
      <c r="G132" s="27"/>
      <c r="H132" s="27"/>
      <c r="I132" s="10"/>
      <c r="J132" s="67"/>
      <c r="K132" s="11"/>
      <c r="L132" s="23"/>
      <c r="M132" s="12"/>
      <c r="N132" s="13">
        <f t="shared" si="6"/>
        <v>0</v>
      </c>
      <c r="O132" s="108"/>
      <c r="P132" s="106"/>
      <c r="Q132" s="106"/>
      <c r="R132" s="68"/>
      <c r="S132" s="15">
        <f t="shared" si="34"/>
        <v>0</v>
      </c>
      <c r="T132" s="15">
        <f t="shared" si="43"/>
        <v>0</v>
      </c>
      <c r="U132" s="15">
        <f t="shared" si="44"/>
        <v>0</v>
      </c>
      <c r="V132" s="15">
        <f t="shared" si="45"/>
        <v>0</v>
      </c>
      <c r="W132" s="15">
        <f t="shared" si="46"/>
        <v>0</v>
      </c>
      <c r="X132" s="15">
        <f t="shared" si="8"/>
        <v>0</v>
      </c>
      <c r="Y132" s="15">
        <f t="shared" si="47"/>
        <v>0</v>
      </c>
      <c r="Z132" s="15">
        <f t="shared" si="9"/>
        <v>0</v>
      </c>
      <c r="AA132" s="15">
        <f t="shared" si="48"/>
        <v>0</v>
      </c>
      <c r="AB132" s="15">
        <f t="shared" si="10"/>
        <v>0</v>
      </c>
      <c r="AC132" s="16">
        <f t="shared" si="11"/>
        <v>0</v>
      </c>
      <c r="AD132" s="16">
        <f t="shared" si="35"/>
        <v>0</v>
      </c>
      <c r="AE132" s="16">
        <f t="shared" si="36"/>
        <v>0</v>
      </c>
      <c r="AF132" s="16">
        <f t="shared" si="37"/>
        <v>0</v>
      </c>
      <c r="AG132" s="16"/>
      <c r="AH132" s="17"/>
      <c r="AI132" s="17">
        <f t="shared" si="38"/>
        <v>0</v>
      </c>
      <c r="AJ132" s="15">
        <f t="shared" si="39"/>
        <v>0</v>
      </c>
      <c r="AK132" s="18">
        <v>125</v>
      </c>
      <c r="AL132" s="25"/>
    </row>
    <row r="133" spans="1:38" ht="23.5" customHeight="1" x14ac:dyDescent="0.2">
      <c r="A133" s="5" t="s">
        <v>188</v>
      </c>
      <c r="B133" s="26"/>
      <c r="C133" s="65"/>
      <c r="D133" s="20"/>
      <c r="E133" s="26"/>
      <c r="F133" s="27"/>
      <c r="G133" s="27"/>
      <c r="H133" s="27"/>
      <c r="I133" s="10"/>
      <c r="J133" s="67"/>
      <c r="K133" s="11"/>
      <c r="L133" s="23"/>
      <c r="M133" s="12"/>
      <c r="N133" s="13">
        <f t="shared" si="6"/>
        <v>0</v>
      </c>
      <c r="O133" s="108"/>
      <c r="P133" s="106"/>
      <c r="Q133" s="106"/>
      <c r="R133" s="68"/>
      <c r="S133" s="15">
        <f t="shared" si="34"/>
        <v>0</v>
      </c>
      <c r="T133" s="15">
        <f t="shared" si="43"/>
        <v>0</v>
      </c>
      <c r="U133" s="15">
        <f t="shared" si="44"/>
        <v>0</v>
      </c>
      <c r="V133" s="15">
        <f t="shared" si="45"/>
        <v>0</v>
      </c>
      <c r="W133" s="15">
        <f t="shared" si="46"/>
        <v>0</v>
      </c>
      <c r="X133" s="15">
        <f t="shared" si="8"/>
        <v>0</v>
      </c>
      <c r="Y133" s="15">
        <f t="shared" si="47"/>
        <v>0</v>
      </c>
      <c r="Z133" s="15">
        <f t="shared" si="9"/>
        <v>0</v>
      </c>
      <c r="AA133" s="15">
        <f t="shared" si="48"/>
        <v>0</v>
      </c>
      <c r="AB133" s="15">
        <f t="shared" si="10"/>
        <v>0</v>
      </c>
      <c r="AC133" s="16">
        <f t="shared" si="11"/>
        <v>0</v>
      </c>
      <c r="AD133" s="16">
        <f t="shared" si="35"/>
        <v>0</v>
      </c>
      <c r="AE133" s="16">
        <f t="shared" si="36"/>
        <v>0</v>
      </c>
      <c r="AF133" s="16">
        <f t="shared" si="37"/>
        <v>0</v>
      </c>
      <c r="AG133" s="16"/>
      <c r="AH133" s="17"/>
      <c r="AI133" s="17">
        <f t="shared" si="38"/>
        <v>0</v>
      </c>
      <c r="AJ133" s="15">
        <f t="shared" si="39"/>
        <v>0</v>
      </c>
      <c r="AK133" s="18">
        <v>126</v>
      </c>
      <c r="AL133" s="25"/>
    </row>
    <row r="134" spans="1:38" ht="23.5" customHeight="1" x14ac:dyDescent="0.2">
      <c r="A134" s="5" t="s">
        <v>189</v>
      </c>
      <c r="B134" s="26"/>
      <c r="C134" s="65"/>
      <c r="D134" s="20"/>
      <c r="E134" s="26"/>
      <c r="F134" s="27"/>
      <c r="G134" s="27"/>
      <c r="H134" s="27"/>
      <c r="I134" s="10"/>
      <c r="J134" s="67"/>
      <c r="K134" s="11"/>
      <c r="L134" s="23"/>
      <c r="M134" s="12"/>
      <c r="N134" s="13">
        <f t="shared" ref="N134:N141" si="51">ROUND(I134*(SUM(J134:M134)),0)</f>
        <v>0</v>
      </c>
      <c r="O134" s="108"/>
      <c r="P134" s="106"/>
      <c r="Q134" s="106"/>
      <c r="R134" s="68"/>
      <c r="S134" s="15">
        <f t="shared" si="34"/>
        <v>0</v>
      </c>
      <c r="T134" s="15">
        <f t="shared" si="43"/>
        <v>0</v>
      </c>
      <c r="U134" s="15">
        <f t="shared" si="44"/>
        <v>0</v>
      </c>
      <c r="V134" s="15">
        <f t="shared" si="45"/>
        <v>0</v>
      </c>
      <c r="W134" s="15">
        <f t="shared" si="46"/>
        <v>0</v>
      </c>
      <c r="X134" s="15">
        <f t="shared" ref="X134:X141" si="52">ROUND(SUM(U134:W134),0)</f>
        <v>0</v>
      </c>
      <c r="Y134" s="15">
        <f t="shared" si="47"/>
        <v>0</v>
      </c>
      <c r="Z134" s="15">
        <f t="shared" ref="Z134:Z141" si="53">ROUND(Y134,0)</f>
        <v>0</v>
      </c>
      <c r="AA134" s="15">
        <f t="shared" si="48"/>
        <v>0</v>
      </c>
      <c r="AB134" s="15">
        <f t="shared" ref="AB134:AB141" si="54">ROUND(AA134,0)</f>
        <v>0</v>
      </c>
      <c r="AC134" s="16">
        <f t="shared" ref="AC134:AC141" si="55">ROUND((T134+X134+Z134+AB134),0)</f>
        <v>0</v>
      </c>
      <c r="AD134" s="16">
        <f t="shared" si="35"/>
        <v>0</v>
      </c>
      <c r="AE134" s="16">
        <f t="shared" si="36"/>
        <v>0</v>
      </c>
      <c r="AF134" s="16">
        <f t="shared" si="37"/>
        <v>0</v>
      </c>
      <c r="AG134" s="16"/>
      <c r="AH134" s="17"/>
      <c r="AI134" s="17">
        <f t="shared" si="38"/>
        <v>0</v>
      </c>
      <c r="AJ134" s="15">
        <f t="shared" si="39"/>
        <v>0</v>
      </c>
      <c r="AK134" s="18">
        <v>127</v>
      </c>
      <c r="AL134" s="25"/>
    </row>
    <row r="135" spans="1:38" ht="23.5" customHeight="1" x14ac:dyDescent="0.2">
      <c r="A135" s="5" t="s">
        <v>190</v>
      </c>
      <c r="B135" s="30"/>
      <c r="C135" s="65"/>
      <c r="D135" s="20"/>
      <c r="E135" s="26"/>
      <c r="F135" s="27"/>
      <c r="G135" s="27"/>
      <c r="H135" s="27"/>
      <c r="I135" s="10"/>
      <c r="J135" s="67"/>
      <c r="K135" s="11"/>
      <c r="L135" s="23"/>
      <c r="M135" s="12"/>
      <c r="N135" s="13">
        <f t="shared" si="51"/>
        <v>0</v>
      </c>
      <c r="O135" s="108"/>
      <c r="P135" s="106"/>
      <c r="Q135" s="106"/>
      <c r="R135" s="68"/>
      <c r="S135" s="15">
        <f t="shared" si="34"/>
        <v>0</v>
      </c>
      <c r="T135" s="15">
        <f t="shared" si="43"/>
        <v>0</v>
      </c>
      <c r="U135" s="15">
        <f t="shared" si="44"/>
        <v>0</v>
      </c>
      <c r="V135" s="15">
        <f t="shared" si="45"/>
        <v>0</v>
      </c>
      <c r="W135" s="15">
        <f t="shared" si="46"/>
        <v>0</v>
      </c>
      <c r="X135" s="15">
        <f t="shared" si="52"/>
        <v>0</v>
      </c>
      <c r="Y135" s="15">
        <f t="shared" si="47"/>
        <v>0</v>
      </c>
      <c r="Z135" s="15">
        <f t="shared" si="53"/>
        <v>0</v>
      </c>
      <c r="AA135" s="15">
        <f t="shared" si="48"/>
        <v>0</v>
      </c>
      <c r="AB135" s="15">
        <f t="shared" si="54"/>
        <v>0</v>
      </c>
      <c r="AC135" s="16">
        <f t="shared" si="55"/>
        <v>0</v>
      </c>
      <c r="AD135" s="16">
        <f t="shared" si="35"/>
        <v>0</v>
      </c>
      <c r="AE135" s="16">
        <f t="shared" si="36"/>
        <v>0</v>
      </c>
      <c r="AF135" s="16">
        <f t="shared" si="37"/>
        <v>0</v>
      </c>
      <c r="AG135" s="16"/>
      <c r="AH135" s="17"/>
      <c r="AI135" s="17">
        <f t="shared" si="38"/>
        <v>0</v>
      </c>
      <c r="AJ135" s="15">
        <f t="shared" si="39"/>
        <v>0</v>
      </c>
      <c r="AK135" s="18">
        <v>128</v>
      </c>
      <c r="AL135" s="25"/>
    </row>
    <row r="136" spans="1:38" ht="23.5" customHeight="1" x14ac:dyDescent="0.2">
      <c r="A136" s="5" t="s">
        <v>191</v>
      </c>
      <c r="B136" s="30"/>
      <c r="C136" s="65"/>
      <c r="D136" s="20"/>
      <c r="E136" s="26"/>
      <c r="F136" s="27"/>
      <c r="G136" s="27"/>
      <c r="H136" s="27"/>
      <c r="I136" s="10"/>
      <c r="J136" s="67"/>
      <c r="K136" s="11"/>
      <c r="L136" s="23"/>
      <c r="M136" s="12"/>
      <c r="N136" s="13">
        <f t="shared" si="51"/>
        <v>0</v>
      </c>
      <c r="O136" s="108"/>
      <c r="P136" s="106"/>
      <c r="Q136" s="106"/>
      <c r="R136" s="68"/>
      <c r="S136" s="15">
        <f t="shared" si="34"/>
        <v>0</v>
      </c>
      <c r="T136" s="15">
        <f t="shared" ref="T136:T155" si="56">ROUND(SUM(S136:S136),0)</f>
        <v>0</v>
      </c>
      <c r="U136" s="15">
        <f t="shared" ref="U136:U155" si="57">I136*K136*40%*O136</f>
        <v>0</v>
      </c>
      <c r="V136" s="15">
        <f t="shared" ref="V136:V155" si="58">IF(P136&gt;=6750,(I136*K136*40%),0)</f>
        <v>0</v>
      </c>
      <c r="W136" s="15">
        <f t="shared" ref="W136:W155" si="59">IF(P136&lt;6750,0,IF(Q136="",0,IF(OR(Q136="KURANG",Q136="SANGAT KURANG"),I136*K136*10%,I136*K136*20%)))</f>
        <v>0</v>
      </c>
      <c r="X136" s="15">
        <f t="shared" si="52"/>
        <v>0</v>
      </c>
      <c r="Y136" s="15">
        <f t="shared" ref="Y136:Y155" si="60">I136*L136</f>
        <v>0</v>
      </c>
      <c r="Z136" s="15">
        <f t="shared" si="53"/>
        <v>0</v>
      </c>
      <c r="AA136" s="15">
        <f t="shared" ref="AA136:AA155" si="61">I136*M136</f>
        <v>0</v>
      </c>
      <c r="AB136" s="15">
        <f t="shared" si="54"/>
        <v>0</v>
      </c>
      <c r="AC136" s="16">
        <f t="shared" si="55"/>
        <v>0</v>
      </c>
      <c r="AD136" s="16">
        <f t="shared" si="35"/>
        <v>0</v>
      </c>
      <c r="AE136" s="16">
        <f t="shared" si="36"/>
        <v>0</v>
      </c>
      <c r="AF136" s="16">
        <f t="shared" si="37"/>
        <v>0</v>
      </c>
      <c r="AG136" s="16"/>
      <c r="AH136" s="17"/>
      <c r="AI136" s="17">
        <f t="shared" si="38"/>
        <v>0</v>
      </c>
      <c r="AJ136" s="15">
        <f t="shared" si="39"/>
        <v>0</v>
      </c>
      <c r="AK136" s="18">
        <v>129</v>
      </c>
      <c r="AL136" s="43"/>
    </row>
    <row r="137" spans="1:38" ht="23.5" customHeight="1" x14ac:dyDescent="0.2">
      <c r="A137" s="5" t="s">
        <v>192</v>
      </c>
      <c r="B137" s="26"/>
      <c r="C137" s="65"/>
      <c r="D137" s="20"/>
      <c r="E137" s="26"/>
      <c r="F137" s="27"/>
      <c r="G137" s="27"/>
      <c r="H137" s="27"/>
      <c r="I137" s="10"/>
      <c r="J137" s="67"/>
      <c r="K137" s="11"/>
      <c r="L137" s="23"/>
      <c r="M137" s="12"/>
      <c r="N137" s="13">
        <f t="shared" si="51"/>
        <v>0</v>
      </c>
      <c r="O137" s="108"/>
      <c r="P137" s="106"/>
      <c r="Q137" s="106"/>
      <c r="R137" s="68"/>
      <c r="S137" s="15">
        <f t="shared" ref="S137:S155" si="62">I137*J137</f>
        <v>0</v>
      </c>
      <c r="T137" s="15">
        <f t="shared" si="56"/>
        <v>0</v>
      </c>
      <c r="U137" s="15">
        <f t="shared" si="57"/>
        <v>0</v>
      </c>
      <c r="V137" s="15">
        <f t="shared" si="58"/>
        <v>0</v>
      </c>
      <c r="W137" s="15">
        <f t="shared" si="59"/>
        <v>0</v>
      </c>
      <c r="X137" s="15">
        <f t="shared" si="52"/>
        <v>0</v>
      </c>
      <c r="Y137" s="15">
        <f t="shared" si="60"/>
        <v>0</v>
      </c>
      <c r="Z137" s="15">
        <f t="shared" si="53"/>
        <v>0</v>
      </c>
      <c r="AA137" s="15">
        <f t="shared" si="61"/>
        <v>0</v>
      </c>
      <c r="AB137" s="15">
        <f t="shared" si="54"/>
        <v>0</v>
      </c>
      <c r="AC137" s="16">
        <f t="shared" si="55"/>
        <v>0</v>
      </c>
      <c r="AD137" s="16">
        <f t="shared" ref="AD137:AD155" si="63">AG137</f>
        <v>0</v>
      </c>
      <c r="AE137" s="16">
        <f t="shared" ref="AE137:AE155" si="64">AI137</f>
        <v>0</v>
      </c>
      <c r="AF137" s="16">
        <f t="shared" ref="AF137:AF155" si="65">AC137+AD137+AE137</f>
        <v>0</v>
      </c>
      <c r="AG137" s="16"/>
      <c r="AH137" s="17"/>
      <c r="AI137" s="17">
        <f t="shared" ref="AI137:AI155" si="66">AH137*4</f>
        <v>0</v>
      </c>
      <c r="AJ137" s="15">
        <f t="shared" ref="AJ137:AJ155" si="67">AF137-AG137-AH137-AI137</f>
        <v>0</v>
      </c>
      <c r="AK137" s="18">
        <v>130</v>
      </c>
      <c r="AL137" s="25"/>
    </row>
    <row r="138" spans="1:38" ht="23.5" customHeight="1" x14ac:dyDescent="0.2">
      <c r="A138" s="5" t="s">
        <v>193</v>
      </c>
      <c r="B138" s="26"/>
      <c r="C138" s="65"/>
      <c r="D138" s="20"/>
      <c r="E138" s="26"/>
      <c r="F138" s="27"/>
      <c r="G138" s="27"/>
      <c r="H138" s="27"/>
      <c r="I138" s="10"/>
      <c r="J138" s="67"/>
      <c r="K138" s="11"/>
      <c r="L138" s="23"/>
      <c r="M138" s="12"/>
      <c r="N138" s="13">
        <f t="shared" si="51"/>
        <v>0</v>
      </c>
      <c r="O138" s="108"/>
      <c r="P138" s="106"/>
      <c r="Q138" s="106"/>
      <c r="R138" s="68"/>
      <c r="S138" s="15">
        <f t="shared" si="62"/>
        <v>0</v>
      </c>
      <c r="T138" s="15">
        <f t="shared" si="56"/>
        <v>0</v>
      </c>
      <c r="U138" s="15">
        <f t="shared" si="57"/>
        <v>0</v>
      </c>
      <c r="V138" s="15">
        <f t="shared" si="58"/>
        <v>0</v>
      </c>
      <c r="W138" s="15">
        <f t="shared" si="59"/>
        <v>0</v>
      </c>
      <c r="X138" s="15">
        <f t="shared" si="52"/>
        <v>0</v>
      </c>
      <c r="Y138" s="15">
        <f t="shared" si="60"/>
        <v>0</v>
      </c>
      <c r="Z138" s="15">
        <f t="shared" si="53"/>
        <v>0</v>
      </c>
      <c r="AA138" s="15">
        <f t="shared" si="61"/>
        <v>0</v>
      </c>
      <c r="AB138" s="15">
        <f t="shared" si="54"/>
        <v>0</v>
      </c>
      <c r="AC138" s="16">
        <f t="shared" si="55"/>
        <v>0</v>
      </c>
      <c r="AD138" s="16">
        <f t="shared" si="63"/>
        <v>0</v>
      </c>
      <c r="AE138" s="16">
        <f t="shared" si="64"/>
        <v>0</v>
      </c>
      <c r="AF138" s="16">
        <f t="shared" si="65"/>
        <v>0</v>
      </c>
      <c r="AG138" s="16"/>
      <c r="AH138" s="17"/>
      <c r="AI138" s="17">
        <f t="shared" si="66"/>
        <v>0</v>
      </c>
      <c r="AJ138" s="15">
        <f t="shared" si="67"/>
        <v>0</v>
      </c>
      <c r="AK138" s="18">
        <v>131</v>
      </c>
      <c r="AL138" s="43"/>
    </row>
    <row r="139" spans="1:38" ht="23.5" customHeight="1" x14ac:dyDescent="0.2">
      <c r="A139" s="5" t="s">
        <v>194</v>
      </c>
      <c r="B139" s="26"/>
      <c r="C139" s="65"/>
      <c r="D139" s="20"/>
      <c r="E139" s="26"/>
      <c r="F139" s="27"/>
      <c r="G139" s="27"/>
      <c r="H139" s="27"/>
      <c r="I139" s="10"/>
      <c r="J139" s="67"/>
      <c r="K139" s="11"/>
      <c r="L139" s="23"/>
      <c r="M139" s="12"/>
      <c r="N139" s="13">
        <f t="shared" si="51"/>
        <v>0</v>
      </c>
      <c r="O139" s="108"/>
      <c r="P139" s="106"/>
      <c r="Q139" s="106"/>
      <c r="R139" s="68"/>
      <c r="S139" s="15">
        <f t="shared" si="62"/>
        <v>0</v>
      </c>
      <c r="T139" s="15">
        <f t="shared" si="56"/>
        <v>0</v>
      </c>
      <c r="U139" s="15">
        <f t="shared" si="57"/>
        <v>0</v>
      </c>
      <c r="V139" s="15">
        <f t="shared" si="58"/>
        <v>0</v>
      </c>
      <c r="W139" s="15">
        <f t="shared" si="59"/>
        <v>0</v>
      </c>
      <c r="X139" s="15">
        <f t="shared" si="52"/>
        <v>0</v>
      </c>
      <c r="Y139" s="15">
        <f t="shared" si="60"/>
        <v>0</v>
      </c>
      <c r="Z139" s="15">
        <f t="shared" si="53"/>
        <v>0</v>
      </c>
      <c r="AA139" s="15">
        <f t="shared" si="61"/>
        <v>0</v>
      </c>
      <c r="AB139" s="15">
        <f t="shared" si="54"/>
        <v>0</v>
      </c>
      <c r="AC139" s="16">
        <f t="shared" si="55"/>
        <v>0</v>
      </c>
      <c r="AD139" s="16">
        <f t="shared" si="63"/>
        <v>0</v>
      </c>
      <c r="AE139" s="16">
        <f t="shared" si="64"/>
        <v>0</v>
      </c>
      <c r="AF139" s="16">
        <f t="shared" si="65"/>
        <v>0</v>
      </c>
      <c r="AG139" s="16"/>
      <c r="AH139" s="17"/>
      <c r="AI139" s="17">
        <f t="shared" si="66"/>
        <v>0</v>
      </c>
      <c r="AJ139" s="15">
        <f t="shared" si="67"/>
        <v>0</v>
      </c>
      <c r="AK139" s="18">
        <v>132</v>
      </c>
      <c r="AL139" s="25"/>
    </row>
    <row r="140" spans="1:38" ht="23.5" customHeight="1" x14ac:dyDescent="0.2">
      <c r="A140" s="5" t="s">
        <v>195</v>
      </c>
      <c r="B140" s="26"/>
      <c r="C140" s="65"/>
      <c r="D140" s="20"/>
      <c r="E140" s="26"/>
      <c r="F140" s="27"/>
      <c r="G140" s="27"/>
      <c r="H140" s="27"/>
      <c r="I140" s="10"/>
      <c r="J140" s="67"/>
      <c r="K140" s="11"/>
      <c r="L140" s="23"/>
      <c r="M140" s="12"/>
      <c r="N140" s="13">
        <f t="shared" si="51"/>
        <v>0</v>
      </c>
      <c r="O140" s="108"/>
      <c r="P140" s="106"/>
      <c r="Q140" s="106"/>
      <c r="R140" s="68"/>
      <c r="S140" s="15">
        <f t="shared" si="62"/>
        <v>0</v>
      </c>
      <c r="T140" s="15">
        <f t="shared" si="56"/>
        <v>0</v>
      </c>
      <c r="U140" s="15">
        <f t="shared" si="57"/>
        <v>0</v>
      </c>
      <c r="V140" s="15">
        <f t="shared" si="58"/>
        <v>0</v>
      </c>
      <c r="W140" s="15">
        <f t="shared" si="59"/>
        <v>0</v>
      </c>
      <c r="X140" s="15">
        <f t="shared" si="52"/>
        <v>0</v>
      </c>
      <c r="Y140" s="15">
        <f t="shared" si="60"/>
        <v>0</v>
      </c>
      <c r="Z140" s="15">
        <f t="shared" si="53"/>
        <v>0</v>
      </c>
      <c r="AA140" s="15">
        <f t="shared" si="61"/>
        <v>0</v>
      </c>
      <c r="AB140" s="15">
        <f t="shared" si="54"/>
        <v>0</v>
      </c>
      <c r="AC140" s="16">
        <f t="shared" si="55"/>
        <v>0</v>
      </c>
      <c r="AD140" s="16">
        <f t="shared" si="63"/>
        <v>0</v>
      </c>
      <c r="AE140" s="16">
        <f t="shared" si="64"/>
        <v>0</v>
      </c>
      <c r="AF140" s="16">
        <f t="shared" si="65"/>
        <v>0</v>
      </c>
      <c r="AG140" s="16"/>
      <c r="AH140" s="17"/>
      <c r="AI140" s="17">
        <f t="shared" si="66"/>
        <v>0</v>
      </c>
      <c r="AJ140" s="15">
        <f t="shared" si="67"/>
        <v>0</v>
      </c>
      <c r="AK140" s="18">
        <v>133</v>
      </c>
      <c r="AL140" s="25"/>
    </row>
    <row r="141" spans="1:38" ht="23.5" customHeight="1" x14ac:dyDescent="0.2">
      <c r="A141" s="5" t="s">
        <v>196</v>
      </c>
      <c r="B141" s="26"/>
      <c r="C141" s="65"/>
      <c r="D141" s="20"/>
      <c r="E141" s="26"/>
      <c r="F141" s="27"/>
      <c r="G141" s="27"/>
      <c r="H141" s="27"/>
      <c r="I141" s="10"/>
      <c r="J141" s="67"/>
      <c r="K141" s="11"/>
      <c r="L141" s="23"/>
      <c r="M141" s="12"/>
      <c r="N141" s="13">
        <f t="shared" si="51"/>
        <v>0</v>
      </c>
      <c r="O141" s="108"/>
      <c r="P141" s="106"/>
      <c r="Q141" s="106"/>
      <c r="R141" s="68"/>
      <c r="S141" s="15">
        <f t="shared" si="62"/>
        <v>0</v>
      </c>
      <c r="T141" s="15">
        <f t="shared" si="56"/>
        <v>0</v>
      </c>
      <c r="U141" s="15">
        <f t="shared" si="57"/>
        <v>0</v>
      </c>
      <c r="V141" s="15">
        <f t="shared" si="58"/>
        <v>0</v>
      </c>
      <c r="W141" s="15">
        <f t="shared" si="59"/>
        <v>0</v>
      </c>
      <c r="X141" s="15">
        <f t="shared" si="52"/>
        <v>0</v>
      </c>
      <c r="Y141" s="15">
        <f t="shared" si="60"/>
        <v>0</v>
      </c>
      <c r="Z141" s="15">
        <f t="shared" si="53"/>
        <v>0</v>
      </c>
      <c r="AA141" s="15">
        <f t="shared" si="61"/>
        <v>0</v>
      </c>
      <c r="AB141" s="15">
        <f t="shared" si="54"/>
        <v>0</v>
      </c>
      <c r="AC141" s="16">
        <f t="shared" si="55"/>
        <v>0</v>
      </c>
      <c r="AD141" s="16">
        <f t="shared" si="63"/>
        <v>0</v>
      </c>
      <c r="AE141" s="16">
        <f t="shared" si="64"/>
        <v>0</v>
      </c>
      <c r="AF141" s="16">
        <f t="shared" si="65"/>
        <v>0</v>
      </c>
      <c r="AG141" s="16"/>
      <c r="AH141" s="17"/>
      <c r="AI141" s="17">
        <f t="shared" si="66"/>
        <v>0</v>
      </c>
      <c r="AJ141" s="15">
        <f t="shared" si="67"/>
        <v>0</v>
      </c>
      <c r="AK141" s="18">
        <v>134</v>
      </c>
      <c r="AL141" s="25"/>
    </row>
    <row r="142" spans="1:38" ht="23.5" customHeight="1" x14ac:dyDescent="0.2">
      <c r="A142" s="5" t="s">
        <v>197</v>
      </c>
      <c r="B142" s="26"/>
      <c r="C142" s="65"/>
      <c r="D142" s="20"/>
      <c r="E142" s="26"/>
      <c r="F142" s="27"/>
      <c r="G142" s="27"/>
      <c r="H142" s="27"/>
      <c r="I142" s="10"/>
      <c r="J142" s="67"/>
      <c r="K142" s="11"/>
      <c r="L142" s="23"/>
      <c r="M142" s="12"/>
      <c r="N142" s="13">
        <f t="shared" ref="N142:N149" si="68">ROUND(I142*(SUM(J142:M142)),0)</f>
        <v>0</v>
      </c>
      <c r="O142" s="108"/>
      <c r="P142" s="106"/>
      <c r="Q142" s="106"/>
      <c r="R142" s="68"/>
      <c r="S142" s="15">
        <f t="shared" si="62"/>
        <v>0</v>
      </c>
      <c r="T142" s="15">
        <f t="shared" si="56"/>
        <v>0</v>
      </c>
      <c r="U142" s="15">
        <f t="shared" si="57"/>
        <v>0</v>
      </c>
      <c r="V142" s="15">
        <f t="shared" si="58"/>
        <v>0</v>
      </c>
      <c r="W142" s="15">
        <f t="shared" si="59"/>
        <v>0</v>
      </c>
      <c r="X142" s="15">
        <f t="shared" ref="X142:X149" si="69">ROUND(SUM(U142:W142),0)</f>
        <v>0</v>
      </c>
      <c r="Y142" s="15">
        <f t="shared" si="60"/>
        <v>0</v>
      </c>
      <c r="Z142" s="15">
        <f t="shared" ref="Z142:Z149" si="70">ROUND(Y142,0)</f>
        <v>0</v>
      </c>
      <c r="AA142" s="15">
        <f t="shared" si="61"/>
        <v>0</v>
      </c>
      <c r="AB142" s="15">
        <f t="shared" ref="AB142:AB149" si="71">ROUND(AA142,0)</f>
        <v>0</v>
      </c>
      <c r="AC142" s="16">
        <f t="shared" ref="AC142:AC149" si="72">ROUND((T142+X142+Z142+AB142),0)</f>
        <v>0</v>
      </c>
      <c r="AD142" s="16">
        <f t="shared" si="63"/>
        <v>0</v>
      </c>
      <c r="AE142" s="16">
        <f t="shared" si="64"/>
        <v>0</v>
      </c>
      <c r="AF142" s="16">
        <f t="shared" si="65"/>
        <v>0</v>
      </c>
      <c r="AG142" s="16"/>
      <c r="AH142" s="17"/>
      <c r="AI142" s="17">
        <f t="shared" si="66"/>
        <v>0</v>
      </c>
      <c r="AJ142" s="15">
        <f t="shared" si="67"/>
        <v>0</v>
      </c>
      <c r="AK142" s="18">
        <v>135</v>
      </c>
      <c r="AL142" s="25"/>
    </row>
    <row r="143" spans="1:38" ht="23.5" customHeight="1" x14ac:dyDescent="0.2">
      <c r="A143" s="5" t="s">
        <v>198</v>
      </c>
      <c r="B143" s="30"/>
      <c r="C143" s="65"/>
      <c r="D143" s="20"/>
      <c r="E143" s="26"/>
      <c r="F143" s="27"/>
      <c r="G143" s="27"/>
      <c r="H143" s="27"/>
      <c r="I143" s="10"/>
      <c r="J143" s="67"/>
      <c r="K143" s="11"/>
      <c r="L143" s="23"/>
      <c r="M143" s="12"/>
      <c r="N143" s="13">
        <f t="shared" si="68"/>
        <v>0</v>
      </c>
      <c r="O143" s="108"/>
      <c r="P143" s="106"/>
      <c r="Q143" s="106"/>
      <c r="R143" s="68"/>
      <c r="S143" s="15">
        <f t="shared" si="62"/>
        <v>0</v>
      </c>
      <c r="T143" s="15">
        <f t="shared" si="56"/>
        <v>0</v>
      </c>
      <c r="U143" s="15">
        <f t="shared" si="57"/>
        <v>0</v>
      </c>
      <c r="V143" s="15">
        <f t="shared" si="58"/>
        <v>0</v>
      </c>
      <c r="W143" s="15">
        <f t="shared" si="59"/>
        <v>0</v>
      </c>
      <c r="X143" s="15">
        <f t="shared" si="69"/>
        <v>0</v>
      </c>
      <c r="Y143" s="15">
        <f t="shared" si="60"/>
        <v>0</v>
      </c>
      <c r="Z143" s="15">
        <f t="shared" si="70"/>
        <v>0</v>
      </c>
      <c r="AA143" s="15">
        <f t="shared" si="61"/>
        <v>0</v>
      </c>
      <c r="AB143" s="15">
        <f t="shared" si="71"/>
        <v>0</v>
      </c>
      <c r="AC143" s="16">
        <f t="shared" si="72"/>
        <v>0</v>
      </c>
      <c r="AD143" s="16">
        <f t="shared" si="63"/>
        <v>0</v>
      </c>
      <c r="AE143" s="16">
        <f t="shared" si="64"/>
        <v>0</v>
      </c>
      <c r="AF143" s="16">
        <f t="shared" si="65"/>
        <v>0</v>
      </c>
      <c r="AG143" s="16"/>
      <c r="AH143" s="17"/>
      <c r="AI143" s="17">
        <f t="shared" si="66"/>
        <v>0</v>
      </c>
      <c r="AJ143" s="15">
        <f t="shared" si="67"/>
        <v>0</v>
      </c>
      <c r="AK143" s="18">
        <v>136</v>
      </c>
      <c r="AL143" s="25"/>
    </row>
    <row r="144" spans="1:38" ht="23.5" customHeight="1" x14ac:dyDescent="0.2">
      <c r="A144" s="5" t="s">
        <v>199</v>
      </c>
      <c r="B144" s="30"/>
      <c r="C144" s="65"/>
      <c r="D144" s="20"/>
      <c r="E144" s="26"/>
      <c r="F144" s="27"/>
      <c r="G144" s="27"/>
      <c r="H144" s="27"/>
      <c r="I144" s="10"/>
      <c r="J144" s="67"/>
      <c r="K144" s="11"/>
      <c r="L144" s="23"/>
      <c r="M144" s="12"/>
      <c r="N144" s="13">
        <f t="shared" si="68"/>
        <v>0</v>
      </c>
      <c r="O144" s="108"/>
      <c r="P144" s="106"/>
      <c r="Q144" s="106"/>
      <c r="R144" s="68"/>
      <c r="S144" s="15">
        <f t="shared" si="62"/>
        <v>0</v>
      </c>
      <c r="T144" s="15">
        <f t="shared" si="56"/>
        <v>0</v>
      </c>
      <c r="U144" s="15">
        <f t="shared" si="57"/>
        <v>0</v>
      </c>
      <c r="V144" s="15">
        <f t="shared" si="58"/>
        <v>0</v>
      </c>
      <c r="W144" s="15">
        <f t="shared" si="59"/>
        <v>0</v>
      </c>
      <c r="X144" s="15">
        <f t="shared" si="69"/>
        <v>0</v>
      </c>
      <c r="Y144" s="15">
        <f t="shared" si="60"/>
        <v>0</v>
      </c>
      <c r="Z144" s="15">
        <f t="shared" si="70"/>
        <v>0</v>
      </c>
      <c r="AA144" s="15">
        <f t="shared" si="61"/>
        <v>0</v>
      </c>
      <c r="AB144" s="15">
        <f t="shared" si="71"/>
        <v>0</v>
      </c>
      <c r="AC144" s="16">
        <f t="shared" si="72"/>
        <v>0</v>
      </c>
      <c r="AD144" s="16">
        <f t="shared" si="63"/>
        <v>0</v>
      </c>
      <c r="AE144" s="16">
        <f t="shared" si="64"/>
        <v>0</v>
      </c>
      <c r="AF144" s="16">
        <f t="shared" si="65"/>
        <v>0</v>
      </c>
      <c r="AG144" s="16"/>
      <c r="AH144" s="17"/>
      <c r="AI144" s="17">
        <f t="shared" si="66"/>
        <v>0</v>
      </c>
      <c r="AJ144" s="15">
        <f t="shared" si="67"/>
        <v>0</v>
      </c>
      <c r="AK144" s="18">
        <v>137</v>
      </c>
      <c r="AL144" s="25"/>
    </row>
    <row r="145" spans="1:38" ht="23.5" customHeight="1" x14ac:dyDescent="0.2">
      <c r="A145" s="5" t="s">
        <v>200</v>
      </c>
      <c r="B145" s="26"/>
      <c r="C145" s="65"/>
      <c r="D145" s="20"/>
      <c r="E145" s="26"/>
      <c r="F145" s="27"/>
      <c r="G145" s="27"/>
      <c r="H145" s="27"/>
      <c r="I145" s="10"/>
      <c r="J145" s="67"/>
      <c r="K145" s="11"/>
      <c r="L145" s="23"/>
      <c r="M145" s="12"/>
      <c r="N145" s="13">
        <f t="shared" si="68"/>
        <v>0</v>
      </c>
      <c r="O145" s="108"/>
      <c r="P145" s="106"/>
      <c r="Q145" s="106"/>
      <c r="R145" s="68"/>
      <c r="S145" s="15">
        <f t="shared" si="62"/>
        <v>0</v>
      </c>
      <c r="T145" s="15">
        <f t="shared" si="56"/>
        <v>0</v>
      </c>
      <c r="U145" s="15">
        <f t="shared" si="57"/>
        <v>0</v>
      </c>
      <c r="V145" s="15">
        <f t="shared" si="58"/>
        <v>0</v>
      </c>
      <c r="W145" s="15">
        <f t="shared" si="59"/>
        <v>0</v>
      </c>
      <c r="X145" s="15">
        <f t="shared" si="69"/>
        <v>0</v>
      </c>
      <c r="Y145" s="15">
        <f t="shared" si="60"/>
        <v>0</v>
      </c>
      <c r="Z145" s="15">
        <f t="shared" si="70"/>
        <v>0</v>
      </c>
      <c r="AA145" s="15">
        <f t="shared" si="61"/>
        <v>0</v>
      </c>
      <c r="AB145" s="15">
        <f t="shared" si="71"/>
        <v>0</v>
      </c>
      <c r="AC145" s="16">
        <f t="shared" si="72"/>
        <v>0</v>
      </c>
      <c r="AD145" s="16">
        <f t="shared" si="63"/>
        <v>0</v>
      </c>
      <c r="AE145" s="16">
        <f t="shared" si="64"/>
        <v>0</v>
      </c>
      <c r="AF145" s="16">
        <f t="shared" si="65"/>
        <v>0</v>
      </c>
      <c r="AG145" s="16"/>
      <c r="AH145" s="17"/>
      <c r="AI145" s="17">
        <f t="shared" si="66"/>
        <v>0</v>
      </c>
      <c r="AJ145" s="15">
        <f t="shared" si="67"/>
        <v>0</v>
      </c>
      <c r="AK145" s="18">
        <v>138</v>
      </c>
      <c r="AL145" s="43"/>
    </row>
    <row r="146" spans="1:38" ht="23.5" customHeight="1" x14ac:dyDescent="0.2">
      <c r="A146" s="5" t="s">
        <v>201</v>
      </c>
      <c r="B146" s="26"/>
      <c r="C146" s="65"/>
      <c r="D146" s="20"/>
      <c r="E146" s="26"/>
      <c r="F146" s="27"/>
      <c r="G146" s="27"/>
      <c r="H146" s="27"/>
      <c r="I146" s="10"/>
      <c r="J146" s="67"/>
      <c r="K146" s="11"/>
      <c r="L146" s="23"/>
      <c r="M146" s="12"/>
      <c r="N146" s="13">
        <f t="shared" si="68"/>
        <v>0</v>
      </c>
      <c r="O146" s="108"/>
      <c r="P146" s="106"/>
      <c r="Q146" s="106"/>
      <c r="R146" s="68"/>
      <c r="S146" s="15">
        <f t="shared" si="62"/>
        <v>0</v>
      </c>
      <c r="T146" s="15">
        <f t="shared" si="56"/>
        <v>0</v>
      </c>
      <c r="U146" s="15">
        <f t="shared" si="57"/>
        <v>0</v>
      </c>
      <c r="V146" s="15">
        <f t="shared" si="58"/>
        <v>0</v>
      </c>
      <c r="W146" s="15">
        <f t="shared" si="59"/>
        <v>0</v>
      </c>
      <c r="X146" s="15">
        <f t="shared" si="69"/>
        <v>0</v>
      </c>
      <c r="Y146" s="15">
        <f t="shared" si="60"/>
        <v>0</v>
      </c>
      <c r="Z146" s="15">
        <f t="shared" si="70"/>
        <v>0</v>
      </c>
      <c r="AA146" s="15">
        <f t="shared" si="61"/>
        <v>0</v>
      </c>
      <c r="AB146" s="15">
        <f t="shared" si="71"/>
        <v>0</v>
      </c>
      <c r="AC146" s="16">
        <f t="shared" si="72"/>
        <v>0</v>
      </c>
      <c r="AD146" s="16">
        <f t="shared" si="63"/>
        <v>0</v>
      </c>
      <c r="AE146" s="16">
        <f t="shared" si="64"/>
        <v>0</v>
      </c>
      <c r="AF146" s="16">
        <f t="shared" si="65"/>
        <v>0</v>
      </c>
      <c r="AG146" s="16"/>
      <c r="AH146" s="17"/>
      <c r="AI146" s="17">
        <f t="shared" si="66"/>
        <v>0</v>
      </c>
      <c r="AJ146" s="15">
        <f t="shared" si="67"/>
        <v>0</v>
      </c>
      <c r="AK146" s="18">
        <v>139</v>
      </c>
      <c r="AL146" s="25"/>
    </row>
    <row r="147" spans="1:38" ht="23.5" customHeight="1" x14ac:dyDescent="0.2">
      <c r="A147" s="5" t="s">
        <v>202</v>
      </c>
      <c r="B147" s="26"/>
      <c r="C147" s="65"/>
      <c r="D147" s="20"/>
      <c r="E147" s="26"/>
      <c r="F147" s="27"/>
      <c r="G147" s="27"/>
      <c r="H147" s="27"/>
      <c r="I147" s="10"/>
      <c r="J147" s="67"/>
      <c r="K147" s="11"/>
      <c r="L147" s="23"/>
      <c r="M147" s="12"/>
      <c r="N147" s="13">
        <f t="shared" si="68"/>
        <v>0</v>
      </c>
      <c r="O147" s="108"/>
      <c r="P147" s="106"/>
      <c r="Q147" s="106"/>
      <c r="R147" s="68"/>
      <c r="S147" s="15">
        <f t="shared" si="62"/>
        <v>0</v>
      </c>
      <c r="T147" s="15">
        <f t="shared" si="56"/>
        <v>0</v>
      </c>
      <c r="U147" s="15">
        <f t="shared" si="57"/>
        <v>0</v>
      </c>
      <c r="V147" s="15">
        <f t="shared" si="58"/>
        <v>0</v>
      </c>
      <c r="W147" s="15">
        <f t="shared" si="59"/>
        <v>0</v>
      </c>
      <c r="X147" s="15">
        <f t="shared" si="69"/>
        <v>0</v>
      </c>
      <c r="Y147" s="15">
        <f t="shared" si="60"/>
        <v>0</v>
      </c>
      <c r="Z147" s="15">
        <f t="shared" si="70"/>
        <v>0</v>
      </c>
      <c r="AA147" s="15">
        <f t="shared" si="61"/>
        <v>0</v>
      </c>
      <c r="AB147" s="15">
        <f t="shared" si="71"/>
        <v>0</v>
      </c>
      <c r="AC147" s="16">
        <f t="shared" si="72"/>
        <v>0</v>
      </c>
      <c r="AD147" s="16">
        <f t="shared" si="63"/>
        <v>0</v>
      </c>
      <c r="AE147" s="16">
        <f t="shared" si="64"/>
        <v>0</v>
      </c>
      <c r="AF147" s="16">
        <f t="shared" si="65"/>
        <v>0</v>
      </c>
      <c r="AG147" s="16"/>
      <c r="AH147" s="17"/>
      <c r="AI147" s="17">
        <f t="shared" si="66"/>
        <v>0</v>
      </c>
      <c r="AJ147" s="15">
        <f t="shared" si="67"/>
        <v>0</v>
      </c>
      <c r="AK147" s="18">
        <v>140</v>
      </c>
      <c r="AL147" s="43"/>
    </row>
    <row r="148" spans="1:38" ht="23.5" customHeight="1" x14ac:dyDescent="0.2">
      <c r="A148" s="5" t="s">
        <v>203</v>
      </c>
      <c r="B148" s="26"/>
      <c r="C148" s="65"/>
      <c r="D148" s="20"/>
      <c r="E148" s="26"/>
      <c r="F148" s="27"/>
      <c r="G148" s="27"/>
      <c r="H148" s="27"/>
      <c r="I148" s="10"/>
      <c r="J148" s="67"/>
      <c r="K148" s="11"/>
      <c r="L148" s="23"/>
      <c r="M148" s="12"/>
      <c r="N148" s="13">
        <f t="shared" si="68"/>
        <v>0</v>
      </c>
      <c r="O148" s="108"/>
      <c r="P148" s="106"/>
      <c r="Q148" s="106"/>
      <c r="R148" s="68"/>
      <c r="S148" s="15">
        <f t="shared" si="62"/>
        <v>0</v>
      </c>
      <c r="T148" s="15">
        <f t="shared" si="56"/>
        <v>0</v>
      </c>
      <c r="U148" s="15">
        <f t="shared" si="57"/>
        <v>0</v>
      </c>
      <c r="V148" s="15">
        <f t="shared" si="58"/>
        <v>0</v>
      </c>
      <c r="W148" s="15">
        <f t="shared" si="59"/>
        <v>0</v>
      </c>
      <c r="X148" s="15">
        <f t="shared" si="69"/>
        <v>0</v>
      </c>
      <c r="Y148" s="15">
        <f t="shared" si="60"/>
        <v>0</v>
      </c>
      <c r="Z148" s="15">
        <f t="shared" si="70"/>
        <v>0</v>
      </c>
      <c r="AA148" s="15">
        <f t="shared" si="61"/>
        <v>0</v>
      </c>
      <c r="AB148" s="15">
        <f t="shared" si="71"/>
        <v>0</v>
      </c>
      <c r="AC148" s="16">
        <f t="shared" si="72"/>
        <v>0</v>
      </c>
      <c r="AD148" s="16">
        <f t="shared" si="63"/>
        <v>0</v>
      </c>
      <c r="AE148" s="16">
        <f t="shared" si="64"/>
        <v>0</v>
      </c>
      <c r="AF148" s="16">
        <f t="shared" si="65"/>
        <v>0</v>
      </c>
      <c r="AG148" s="16"/>
      <c r="AH148" s="17"/>
      <c r="AI148" s="17">
        <f t="shared" si="66"/>
        <v>0</v>
      </c>
      <c r="AJ148" s="15">
        <f t="shared" si="67"/>
        <v>0</v>
      </c>
      <c r="AK148" s="18">
        <v>141</v>
      </c>
      <c r="AL148" s="25"/>
    </row>
    <row r="149" spans="1:38" ht="23.5" customHeight="1" x14ac:dyDescent="0.2">
      <c r="A149" s="5" t="s">
        <v>204</v>
      </c>
      <c r="B149" s="26"/>
      <c r="C149" s="65"/>
      <c r="D149" s="20"/>
      <c r="E149" s="26"/>
      <c r="F149" s="27"/>
      <c r="G149" s="27"/>
      <c r="H149" s="27"/>
      <c r="I149" s="10"/>
      <c r="J149" s="67"/>
      <c r="K149" s="11"/>
      <c r="L149" s="23"/>
      <c r="M149" s="12"/>
      <c r="N149" s="13">
        <f t="shared" si="68"/>
        <v>0</v>
      </c>
      <c r="O149" s="108"/>
      <c r="P149" s="106"/>
      <c r="Q149" s="106"/>
      <c r="R149" s="68"/>
      <c r="S149" s="15">
        <f t="shared" si="62"/>
        <v>0</v>
      </c>
      <c r="T149" s="15">
        <f t="shared" si="56"/>
        <v>0</v>
      </c>
      <c r="U149" s="15">
        <f t="shared" si="57"/>
        <v>0</v>
      </c>
      <c r="V149" s="15">
        <f t="shared" si="58"/>
        <v>0</v>
      </c>
      <c r="W149" s="15">
        <f t="shared" si="59"/>
        <v>0</v>
      </c>
      <c r="X149" s="15">
        <f t="shared" si="69"/>
        <v>0</v>
      </c>
      <c r="Y149" s="15">
        <f t="shared" si="60"/>
        <v>0</v>
      </c>
      <c r="Z149" s="15">
        <f t="shared" si="70"/>
        <v>0</v>
      </c>
      <c r="AA149" s="15">
        <f t="shared" si="61"/>
        <v>0</v>
      </c>
      <c r="AB149" s="15">
        <f t="shared" si="71"/>
        <v>0</v>
      </c>
      <c r="AC149" s="16">
        <f t="shared" si="72"/>
        <v>0</v>
      </c>
      <c r="AD149" s="16">
        <f t="shared" si="63"/>
        <v>0</v>
      </c>
      <c r="AE149" s="16">
        <f t="shared" si="64"/>
        <v>0</v>
      </c>
      <c r="AF149" s="16">
        <f t="shared" si="65"/>
        <v>0</v>
      </c>
      <c r="AG149" s="16"/>
      <c r="AH149" s="17"/>
      <c r="AI149" s="17">
        <f t="shared" si="66"/>
        <v>0</v>
      </c>
      <c r="AJ149" s="15">
        <f t="shared" si="67"/>
        <v>0</v>
      </c>
      <c r="AK149" s="18">
        <v>142</v>
      </c>
      <c r="AL149" s="25"/>
    </row>
    <row r="150" spans="1:38" ht="23.5" customHeight="1" x14ac:dyDescent="0.2">
      <c r="A150" s="5" t="s">
        <v>205</v>
      </c>
      <c r="B150" s="26"/>
      <c r="C150" s="65"/>
      <c r="D150" s="20"/>
      <c r="E150" s="26"/>
      <c r="F150" s="27"/>
      <c r="G150" s="27"/>
      <c r="H150" s="27"/>
      <c r="I150" s="10"/>
      <c r="J150" s="67"/>
      <c r="K150" s="11"/>
      <c r="L150" s="23"/>
      <c r="M150" s="12"/>
      <c r="N150" s="13">
        <f t="shared" si="6"/>
        <v>0</v>
      </c>
      <c r="O150" s="108"/>
      <c r="P150" s="106"/>
      <c r="Q150" s="106"/>
      <c r="R150" s="68"/>
      <c r="S150" s="15">
        <f t="shared" si="62"/>
        <v>0</v>
      </c>
      <c r="T150" s="15">
        <f t="shared" si="56"/>
        <v>0</v>
      </c>
      <c r="U150" s="15">
        <f t="shared" si="57"/>
        <v>0</v>
      </c>
      <c r="V150" s="15">
        <f t="shared" si="58"/>
        <v>0</v>
      </c>
      <c r="W150" s="15">
        <f t="shared" si="59"/>
        <v>0</v>
      </c>
      <c r="X150" s="15">
        <f t="shared" si="8"/>
        <v>0</v>
      </c>
      <c r="Y150" s="15">
        <f t="shared" si="60"/>
        <v>0</v>
      </c>
      <c r="Z150" s="15">
        <f t="shared" si="9"/>
        <v>0</v>
      </c>
      <c r="AA150" s="15">
        <f t="shared" si="61"/>
        <v>0</v>
      </c>
      <c r="AB150" s="15">
        <f t="shared" si="10"/>
        <v>0</v>
      </c>
      <c r="AC150" s="16">
        <f t="shared" si="11"/>
        <v>0</v>
      </c>
      <c r="AD150" s="16">
        <f t="shared" si="63"/>
        <v>0</v>
      </c>
      <c r="AE150" s="16">
        <f t="shared" si="64"/>
        <v>0</v>
      </c>
      <c r="AF150" s="16">
        <f t="shared" si="65"/>
        <v>0</v>
      </c>
      <c r="AG150" s="16"/>
      <c r="AH150" s="17"/>
      <c r="AI150" s="17">
        <f t="shared" si="66"/>
        <v>0</v>
      </c>
      <c r="AJ150" s="15">
        <f t="shared" si="67"/>
        <v>0</v>
      </c>
      <c r="AK150" s="18">
        <v>143</v>
      </c>
      <c r="AL150" s="25"/>
    </row>
    <row r="151" spans="1:38" ht="23.5" customHeight="1" x14ac:dyDescent="0.2">
      <c r="A151" s="5" t="s">
        <v>206</v>
      </c>
      <c r="B151" s="26"/>
      <c r="C151" s="65"/>
      <c r="D151" s="20"/>
      <c r="E151" s="26"/>
      <c r="F151" s="27"/>
      <c r="G151" s="27"/>
      <c r="H151" s="27"/>
      <c r="I151" s="10"/>
      <c r="J151" s="67"/>
      <c r="K151" s="11"/>
      <c r="L151" s="23"/>
      <c r="M151" s="12"/>
      <c r="N151" s="13">
        <f t="shared" si="6"/>
        <v>0</v>
      </c>
      <c r="O151" s="108"/>
      <c r="P151" s="106"/>
      <c r="Q151" s="106"/>
      <c r="R151" s="68"/>
      <c r="S151" s="15">
        <f t="shared" si="62"/>
        <v>0</v>
      </c>
      <c r="T151" s="15">
        <f t="shared" si="56"/>
        <v>0</v>
      </c>
      <c r="U151" s="15">
        <f t="shared" si="57"/>
        <v>0</v>
      </c>
      <c r="V151" s="15">
        <f t="shared" si="58"/>
        <v>0</v>
      </c>
      <c r="W151" s="15">
        <f t="shared" si="59"/>
        <v>0</v>
      </c>
      <c r="X151" s="15">
        <f t="shared" si="8"/>
        <v>0</v>
      </c>
      <c r="Y151" s="15">
        <f t="shared" si="60"/>
        <v>0</v>
      </c>
      <c r="Z151" s="15">
        <f t="shared" si="9"/>
        <v>0</v>
      </c>
      <c r="AA151" s="15">
        <f t="shared" si="61"/>
        <v>0</v>
      </c>
      <c r="AB151" s="15">
        <f t="shared" si="10"/>
        <v>0</v>
      </c>
      <c r="AC151" s="16">
        <f t="shared" si="11"/>
        <v>0</v>
      </c>
      <c r="AD151" s="16">
        <f t="shared" si="63"/>
        <v>0</v>
      </c>
      <c r="AE151" s="16">
        <f t="shared" si="64"/>
        <v>0</v>
      </c>
      <c r="AF151" s="16">
        <f t="shared" si="65"/>
        <v>0</v>
      </c>
      <c r="AG151" s="16"/>
      <c r="AH151" s="17"/>
      <c r="AI151" s="17">
        <f t="shared" si="66"/>
        <v>0</v>
      </c>
      <c r="AJ151" s="15">
        <f t="shared" si="67"/>
        <v>0</v>
      </c>
      <c r="AK151" s="18">
        <v>144</v>
      </c>
      <c r="AL151" s="25"/>
    </row>
    <row r="152" spans="1:38" ht="23.5" customHeight="1" x14ac:dyDescent="0.2">
      <c r="A152" s="5" t="s">
        <v>207</v>
      </c>
      <c r="B152" s="26"/>
      <c r="C152" s="65"/>
      <c r="D152" s="20"/>
      <c r="E152" s="26"/>
      <c r="F152" s="27"/>
      <c r="G152" s="27"/>
      <c r="H152" s="27"/>
      <c r="I152" s="10"/>
      <c r="J152" s="67"/>
      <c r="K152" s="11"/>
      <c r="L152" s="23"/>
      <c r="M152" s="12"/>
      <c r="N152" s="13">
        <f t="shared" ref="N152" si="73">ROUND(I152*(SUM(J152:M152)),0)</f>
        <v>0</v>
      </c>
      <c r="O152" s="108"/>
      <c r="P152" s="106"/>
      <c r="Q152" s="106"/>
      <c r="R152" s="68"/>
      <c r="S152" s="15">
        <f t="shared" si="62"/>
        <v>0</v>
      </c>
      <c r="T152" s="15">
        <f t="shared" si="56"/>
        <v>0</v>
      </c>
      <c r="U152" s="15">
        <f t="shared" si="57"/>
        <v>0</v>
      </c>
      <c r="V152" s="15">
        <f t="shared" si="58"/>
        <v>0</v>
      </c>
      <c r="W152" s="15">
        <f t="shared" si="59"/>
        <v>0</v>
      </c>
      <c r="X152" s="15">
        <f t="shared" ref="X152" si="74">ROUND(SUM(U152:W152),0)</f>
        <v>0</v>
      </c>
      <c r="Y152" s="15">
        <f t="shared" si="60"/>
        <v>0</v>
      </c>
      <c r="Z152" s="15">
        <f t="shared" ref="Z152" si="75">ROUND(Y152,0)</f>
        <v>0</v>
      </c>
      <c r="AA152" s="15">
        <f t="shared" si="61"/>
        <v>0</v>
      </c>
      <c r="AB152" s="15">
        <f t="shared" ref="AB152" si="76">ROUND(AA152,0)</f>
        <v>0</v>
      </c>
      <c r="AC152" s="16">
        <f t="shared" ref="AC152" si="77">ROUND((T152+X152+Z152+AB152),0)</f>
        <v>0</v>
      </c>
      <c r="AD152" s="16">
        <f t="shared" si="63"/>
        <v>0</v>
      </c>
      <c r="AE152" s="16">
        <f t="shared" si="64"/>
        <v>0</v>
      </c>
      <c r="AF152" s="16">
        <f t="shared" si="65"/>
        <v>0</v>
      </c>
      <c r="AG152" s="16"/>
      <c r="AH152" s="17"/>
      <c r="AI152" s="17">
        <f t="shared" si="66"/>
        <v>0</v>
      </c>
      <c r="AJ152" s="15">
        <f t="shared" si="67"/>
        <v>0</v>
      </c>
      <c r="AK152" s="18">
        <v>145</v>
      </c>
      <c r="AL152" s="25"/>
    </row>
    <row r="153" spans="1:38" ht="23.5" customHeight="1" x14ac:dyDescent="0.2">
      <c r="A153" s="5" t="s">
        <v>208</v>
      </c>
      <c r="B153" s="26"/>
      <c r="C153" s="65"/>
      <c r="D153" s="20"/>
      <c r="E153" s="26"/>
      <c r="F153" s="27"/>
      <c r="G153" s="27"/>
      <c r="H153" s="27"/>
      <c r="I153" s="10"/>
      <c r="J153" s="67"/>
      <c r="K153" s="11"/>
      <c r="L153" s="23"/>
      <c r="M153" s="12"/>
      <c r="N153" s="13">
        <f t="shared" si="6"/>
        <v>0</v>
      </c>
      <c r="O153" s="108"/>
      <c r="P153" s="106"/>
      <c r="Q153" s="106"/>
      <c r="R153" s="68"/>
      <c r="S153" s="15">
        <f t="shared" si="62"/>
        <v>0</v>
      </c>
      <c r="T153" s="15">
        <f t="shared" si="56"/>
        <v>0</v>
      </c>
      <c r="U153" s="15">
        <f t="shared" si="57"/>
        <v>0</v>
      </c>
      <c r="V153" s="15">
        <f t="shared" si="58"/>
        <v>0</v>
      </c>
      <c r="W153" s="15">
        <f t="shared" si="59"/>
        <v>0</v>
      </c>
      <c r="X153" s="15">
        <f t="shared" si="8"/>
        <v>0</v>
      </c>
      <c r="Y153" s="15">
        <f t="shared" si="60"/>
        <v>0</v>
      </c>
      <c r="Z153" s="15">
        <f t="shared" si="9"/>
        <v>0</v>
      </c>
      <c r="AA153" s="15">
        <f t="shared" si="61"/>
        <v>0</v>
      </c>
      <c r="AB153" s="15">
        <f t="shared" si="10"/>
        <v>0</v>
      </c>
      <c r="AC153" s="16">
        <f t="shared" si="11"/>
        <v>0</v>
      </c>
      <c r="AD153" s="16">
        <f t="shared" si="63"/>
        <v>0</v>
      </c>
      <c r="AE153" s="16">
        <f t="shared" si="64"/>
        <v>0</v>
      </c>
      <c r="AF153" s="16">
        <f t="shared" si="65"/>
        <v>0</v>
      </c>
      <c r="AG153" s="16"/>
      <c r="AH153" s="17"/>
      <c r="AI153" s="17">
        <f t="shared" si="66"/>
        <v>0</v>
      </c>
      <c r="AJ153" s="15">
        <f t="shared" si="67"/>
        <v>0</v>
      </c>
      <c r="AK153" s="18">
        <v>146</v>
      </c>
      <c r="AL153" s="43"/>
    </row>
    <row r="154" spans="1:38" ht="23.5" customHeight="1" x14ac:dyDescent="0.2">
      <c r="A154" s="5" t="s">
        <v>209</v>
      </c>
      <c r="B154" s="26"/>
      <c r="C154" s="65"/>
      <c r="D154" s="20"/>
      <c r="E154" s="26"/>
      <c r="F154" s="27"/>
      <c r="G154" s="27"/>
      <c r="H154" s="27"/>
      <c r="I154" s="10"/>
      <c r="J154" s="67"/>
      <c r="K154" s="11"/>
      <c r="L154" s="23"/>
      <c r="M154" s="12"/>
      <c r="N154" s="13">
        <f t="shared" si="6"/>
        <v>0</v>
      </c>
      <c r="O154" s="108"/>
      <c r="P154" s="106"/>
      <c r="Q154" s="106"/>
      <c r="R154" s="68"/>
      <c r="S154" s="15">
        <f t="shared" si="62"/>
        <v>0</v>
      </c>
      <c r="T154" s="15">
        <f t="shared" si="56"/>
        <v>0</v>
      </c>
      <c r="U154" s="15">
        <f t="shared" si="57"/>
        <v>0</v>
      </c>
      <c r="V154" s="15">
        <f t="shared" si="58"/>
        <v>0</v>
      </c>
      <c r="W154" s="15">
        <f t="shared" si="59"/>
        <v>0</v>
      </c>
      <c r="X154" s="15">
        <f t="shared" si="8"/>
        <v>0</v>
      </c>
      <c r="Y154" s="15">
        <f t="shared" si="60"/>
        <v>0</v>
      </c>
      <c r="Z154" s="15">
        <f t="shared" si="9"/>
        <v>0</v>
      </c>
      <c r="AA154" s="15">
        <f t="shared" si="61"/>
        <v>0</v>
      </c>
      <c r="AB154" s="15">
        <f t="shared" si="10"/>
        <v>0</v>
      </c>
      <c r="AC154" s="16">
        <f t="shared" si="11"/>
        <v>0</v>
      </c>
      <c r="AD154" s="16">
        <f t="shared" si="63"/>
        <v>0</v>
      </c>
      <c r="AE154" s="16">
        <f t="shared" si="64"/>
        <v>0</v>
      </c>
      <c r="AF154" s="16">
        <f t="shared" si="65"/>
        <v>0</v>
      </c>
      <c r="AG154" s="16"/>
      <c r="AH154" s="17"/>
      <c r="AI154" s="17">
        <f t="shared" si="66"/>
        <v>0</v>
      </c>
      <c r="AJ154" s="15">
        <f t="shared" si="67"/>
        <v>0</v>
      </c>
      <c r="AK154" s="18">
        <v>147</v>
      </c>
      <c r="AL154" s="25"/>
    </row>
    <row r="155" spans="1:38" ht="23.5" customHeight="1" x14ac:dyDescent="0.2">
      <c r="A155" s="5" t="s">
        <v>210</v>
      </c>
      <c r="B155" s="26"/>
      <c r="C155" s="65"/>
      <c r="D155" s="20"/>
      <c r="E155" s="26"/>
      <c r="F155" s="27"/>
      <c r="G155" s="27"/>
      <c r="H155" s="27"/>
      <c r="I155" s="10"/>
      <c r="J155" s="67"/>
      <c r="K155" s="11"/>
      <c r="L155" s="23"/>
      <c r="M155" s="12"/>
      <c r="N155" s="13">
        <f t="shared" si="6"/>
        <v>0</v>
      </c>
      <c r="O155" s="108"/>
      <c r="P155" s="106"/>
      <c r="Q155" s="106"/>
      <c r="R155" s="68"/>
      <c r="S155" s="15">
        <f t="shared" si="62"/>
        <v>0</v>
      </c>
      <c r="T155" s="15">
        <f t="shared" si="56"/>
        <v>0</v>
      </c>
      <c r="U155" s="15">
        <f t="shared" si="57"/>
        <v>0</v>
      </c>
      <c r="V155" s="15">
        <f t="shared" si="58"/>
        <v>0</v>
      </c>
      <c r="W155" s="15">
        <f t="shared" si="59"/>
        <v>0</v>
      </c>
      <c r="X155" s="15">
        <f t="shared" si="8"/>
        <v>0</v>
      </c>
      <c r="Y155" s="15">
        <f t="shared" si="60"/>
        <v>0</v>
      </c>
      <c r="Z155" s="15">
        <f t="shared" si="9"/>
        <v>0</v>
      </c>
      <c r="AA155" s="15">
        <f t="shared" si="61"/>
        <v>0</v>
      </c>
      <c r="AB155" s="15">
        <f t="shared" si="10"/>
        <v>0</v>
      </c>
      <c r="AC155" s="16">
        <f t="shared" si="11"/>
        <v>0</v>
      </c>
      <c r="AD155" s="16">
        <f t="shared" si="63"/>
        <v>0</v>
      </c>
      <c r="AE155" s="16">
        <f t="shared" si="64"/>
        <v>0</v>
      </c>
      <c r="AF155" s="16">
        <f t="shared" si="65"/>
        <v>0</v>
      </c>
      <c r="AG155" s="16"/>
      <c r="AH155" s="17"/>
      <c r="AI155" s="17">
        <f t="shared" si="66"/>
        <v>0</v>
      </c>
      <c r="AJ155" s="15">
        <f t="shared" si="67"/>
        <v>0</v>
      </c>
      <c r="AK155" s="18">
        <v>148</v>
      </c>
      <c r="AL155" s="43"/>
    </row>
    <row r="156" spans="1:38" x14ac:dyDescent="0.2">
      <c r="B156" s="36"/>
      <c r="C156" s="36"/>
      <c r="D156" s="36"/>
      <c r="E156" s="36"/>
      <c r="F156" s="36"/>
      <c r="G156" s="36"/>
      <c r="H156" s="36"/>
      <c r="I156" s="36"/>
      <c r="K156" s="37"/>
      <c r="L156" s="38"/>
      <c r="M156" s="38"/>
      <c r="N156" s="13">
        <f>I156*(SUM(K156:M156))</f>
        <v>0</v>
      </c>
      <c r="O156" s="39"/>
      <c r="P156" s="40"/>
      <c r="Q156" s="40"/>
      <c r="R156" s="40"/>
      <c r="S156" s="41"/>
      <c r="T156" s="40">
        <f>SUM(T8:T155)</f>
        <v>3000</v>
      </c>
      <c r="U156" s="41"/>
      <c r="V156" s="41"/>
      <c r="W156" s="41"/>
      <c r="X156" s="40">
        <f>SUM(X8:X155)</f>
        <v>2000</v>
      </c>
      <c r="Y156" s="41"/>
      <c r="Z156" s="40">
        <f>SUM(Z8:Z155)</f>
        <v>2000</v>
      </c>
      <c r="AA156" s="41"/>
      <c r="AB156" s="40">
        <f>SUM(AB8:AB155)</f>
        <v>2000</v>
      </c>
      <c r="AC156" s="40">
        <f>SUM(AC8:AC155)</f>
        <v>9000</v>
      </c>
      <c r="AD156" s="40">
        <f t="shared" ref="AD156:AJ156" si="78">SUM(AD8:AD155)</f>
        <v>0</v>
      </c>
      <c r="AE156" s="40">
        <f t="shared" si="78"/>
        <v>0</v>
      </c>
      <c r="AF156" s="40">
        <f t="shared" si="78"/>
        <v>9000</v>
      </c>
      <c r="AG156" s="40">
        <f t="shared" si="78"/>
        <v>0</v>
      </c>
      <c r="AH156" s="40">
        <f t="shared" si="78"/>
        <v>0</v>
      </c>
      <c r="AI156" s="40">
        <f t="shared" si="78"/>
        <v>0</v>
      </c>
      <c r="AJ156" s="40">
        <f t="shared" si="78"/>
        <v>9000</v>
      </c>
    </row>
    <row r="157" spans="1:38" x14ac:dyDescent="0.2">
      <c r="B157" s="36"/>
      <c r="C157" s="36"/>
      <c r="D157" s="36"/>
      <c r="E157" s="36"/>
      <c r="F157" s="36"/>
      <c r="G157" s="36"/>
      <c r="H157" s="36"/>
      <c r="I157" s="36"/>
      <c r="K157" s="44"/>
      <c r="L157" s="36"/>
      <c r="M157" s="36"/>
      <c r="O157"/>
    </row>
    <row r="158" spans="1:38" x14ac:dyDescent="0.2">
      <c r="B158" s="129" t="s">
        <v>77</v>
      </c>
      <c r="C158" s="129"/>
      <c r="D158" s="36"/>
      <c r="E158" s="36"/>
      <c r="F158" s="36"/>
      <c r="G158" s="36"/>
      <c r="H158" s="36"/>
      <c r="I158" s="36"/>
      <c r="K158" s="44"/>
      <c r="L158" s="36"/>
      <c r="M158" s="36"/>
      <c r="O158"/>
    </row>
    <row r="159" spans="1:38" ht="14.5" customHeight="1" x14ac:dyDescent="0.2">
      <c r="B159" s="45" t="s">
        <v>78</v>
      </c>
      <c r="C159" s="45"/>
      <c r="D159" s="36"/>
      <c r="E159" s="36"/>
      <c r="F159" s="36"/>
      <c r="G159" s="36"/>
      <c r="H159" s="36"/>
      <c r="I159" s="36"/>
      <c r="K159" s="36"/>
      <c r="L159" s="36"/>
      <c r="M159" s="36"/>
      <c r="O159"/>
      <c r="AA159" s="36"/>
      <c r="AB159" s="36"/>
      <c r="AC159" s="46"/>
    </row>
    <row r="160" spans="1:38" x14ac:dyDescent="0.2">
      <c r="B160" s="49"/>
      <c r="C160" s="49"/>
      <c r="D160" s="36"/>
      <c r="E160" s="36"/>
      <c r="F160" s="36"/>
      <c r="G160" s="36"/>
      <c r="H160" s="36"/>
      <c r="I160" s="36"/>
      <c r="K160" s="36"/>
      <c r="L160" s="36"/>
      <c r="M160" s="36"/>
      <c r="O160"/>
      <c r="AA160" s="36"/>
      <c r="AB160" s="36"/>
      <c r="AC160" s="44"/>
    </row>
    <row r="161" spans="2:29" x14ac:dyDescent="0.2">
      <c r="B161" s="49"/>
      <c r="C161" s="49"/>
      <c r="D161" s="36"/>
      <c r="E161" s="36"/>
      <c r="F161" s="36"/>
      <c r="G161" s="36"/>
      <c r="H161" s="36"/>
      <c r="I161" s="36"/>
      <c r="K161" s="36"/>
      <c r="L161" s="36"/>
      <c r="M161" s="36"/>
      <c r="O161"/>
      <c r="AA161" s="36"/>
      <c r="AB161" s="36"/>
      <c r="AC161" s="44"/>
    </row>
    <row r="162" spans="2:29" x14ac:dyDescent="0.2">
      <c r="B162" s="52"/>
      <c r="C162" s="52"/>
      <c r="O162"/>
      <c r="AB162" s="36"/>
      <c r="AC162" s="53"/>
    </row>
    <row r="163" spans="2:29" x14ac:dyDescent="0.2">
      <c r="B163" s="52"/>
      <c r="C163" s="52"/>
      <c r="S163" s="55"/>
      <c r="T163" s="56"/>
      <c r="U163" s="56"/>
      <c r="AC163" s="36"/>
    </row>
    <row r="164" spans="2:29" x14ac:dyDescent="0.2">
      <c r="B164" s="130" t="s">
        <v>80</v>
      </c>
      <c r="C164" s="130"/>
      <c r="S164" s="128"/>
      <c r="T164" s="128"/>
      <c r="U164" s="128"/>
      <c r="V164" s="128"/>
      <c r="W164" s="128"/>
      <c r="AC164" s="36"/>
    </row>
    <row r="165" spans="2:29" x14ac:dyDescent="0.2">
      <c r="B165" s="57" t="s">
        <v>81</v>
      </c>
      <c r="C165" s="57"/>
      <c r="S165" s="128"/>
      <c r="T165" s="128"/>
      <c r="U165" s="128"/>
      <c r="V165" s="128"/>
      <c r="W165" s="128"/>
    </row>
    <row r="166" spans="2:29" x14ac:dyDescent="0.2">
      <c r="X166" s="36"/>
      <c r="Y166" s="36"/>
      <c r="Z166" s="36"/>
      <c r="AA166" s="36"/>
      <c r="AB166" s="36"/>
      <c r="AC166" s="36"/>
    </row>
    <row r="167" spans="2:29" x14ac:dyDescent="0.2">
      <c r="V167" s="36"/>
      <c r="W167" s="36"/>
      <c r="X167" s="36"/>
      <c r="Y167" s="36"/>
      <c r="Z167" s="36"/>
      <c r="AA167" s="36"/>
      <c r="AB167" s="36"/>
      <c r="AC167" s="58" t="s">
        <v>82</v>
      </c>
    </row>
    <row r="168" spans="2:29" x14ac:dyDescent="0.2">
      <c r="V168" s="36"/>
      <c r="W168" s="36"/>
      <c r="X168" s="36"/>
      <c r="Y168" s="36"/>
      <c r="Z168" s="36"/>
      <c r="AA168" s="36"/>
      <c r="AB168" s="36"/>
      <c r="AC168" s="58"/>
    </row>
    <row r="169" spans="2:29" x14ac:dyDescent="0.2">
      <c r="V169" s="36"/>
      <c r="W169" s="36"/>
      <c r="X169" s="36"/>
      <c r="Y169" s="36"/>
      <c r="Z169" s="36"/>
      <c r="AA169" s="36"/>
      <c r="AB169" s="36"/>
      <c r="AC169" s="59"/>
    </row>
    <row r="170" spans="2:29" x14ac:dyDescent="0.2">
      <c r="V170" s="36"/>
      <c r="W170" s="36"/>
      <c r="X170" s="36"/>
      <c r="Y170" s="36"/>
      <c r="Z170" s="36"/>
      <c r="AA170" s="36"/>
      <c r="AB170" s="36"/>
      <c r="AC170" s="58"/>
    </row>
    <row r="171" spans="2:29" x14ac:dyDescent="0.2">
      <c r="V171" s="36"/>
      <c r="W171" s="36"/>
      <c r="X171" s="36"/>
      <c r="Y171" s="36"/>
      <c r="Z171" s="36"/>
      <c r="AA171" s="36"/>
      <c r="AB171" s="36"/>
      <c r="AC171" s="58"/>
    </row>
    <row r="172" spans="2:29" x14ac:dyDescent="0.2">
      <c r="V172" s="36"/>
      <c r="W172" s="36"/>
      <c r="X172" s="36"/>
      <c r="Y172" s="36"/>
      <c r="Z172" s="36"/>
      <c r="AA172" s="36"/>
      <c r="AB172" s="36"/>
      <c r="AC172" s="36"/>
    </row>
    <row r="173" spans="2:29" x14ac:dyDescent="0.2">
      <c r="T173" s="60"/>
      <c r="V173" s="36"/>
      <c r="W173" s="36"/>
      <c r="X173" s="60"/>
      <c r="Y173" s="36"/>
      <c r="Z173" s="60"/>
      <c r="AA173" s="36"/>
      <c r="AB173" s="60"/>
      <c r="AC173" s="60"/>
    </row>
    <row r="174" spans="2:29" x14ac:dyDescent="0.2">
      <c r="T174" s="61"/>
      <c r="U174" s="61"/>
      <c r="V174" s="58"/>
      <c r="W174" s="58"/>
      <c r="X174" s="58"/>
      <c r="Y174" s="58"/>
      <c r="Z174" s="58"/>
      <c r="AA174" s="58"/>
      <c r="AB174" s="58"/>
      <c r="AC174" s="58"/>
    </row>
    <row r="175" spans="2:29" x14ac:dyDescent="0.2">
      <c r="T175" s="61"/>
      <c r="U175" s="61"/>
      <c r="V175" s="58"/>
      <c r="W175" s="58"/>
      <c r="X175" s="61"/>
      <c r="Y175" s="58"/>
      <c r="Z175" s="61"/>
      <c r="AA175" s="58"/>
      <c r="AB175" s="61"/>
      <c r="AC175" s="61"/>
    </row>
    <row r="176" spans="2:29" x14ac:dyDescent="0.2">
      <c r="T176" s="61"/>
      <c r="U176" s="62"/>
      <c r="V176" s="63"/>
      <c r="W176" s="63"/>
      <c r="X176" s="61"/>
      <c r="Y176" s="63"/>
      <c r="Z176" s="61"/>
      <c r="AA176" s="63"/>
      <c r="AB176" s="61"/>
      <c r="AC176" s="61"/>
    </row>
    <row r="177" spans="20:29" x14ac:dyDescent="0.2">
      <c r="T177" s="62"/>
      <c r="U177" s="62"/>
      <c r="V177" s="63"/>
      <c r="W177" s="63"/>
      <c r="X177" s="63"/>
      <c r="Y177" s="63"/>
      <c r="Z177" s="63"/>
      <c r="AA177" s="63"/>
      <c r="AB177" s="63"/>
      <c r="AC177" s="63"/>
    </row>
    <row r="178" spans="20:29" x14ac:dyDescent="0.2">
      <c r="T178" s="62"/>
      <c r="U178" s="62"/>
      <c r="V178" s="63"/>
      <c r="W178" s="63"/>
      <c r="X178" s="63"/>
      <c r="Y178" s="63"/>
      <c r="Z178" s="63"/>
      <c r="AA178" s="63"/>
      <c r="AB178" s="63"/>
      <c r="AC178" s="63"/>
    </row>
    <row r="179" spans="20:29" x14ac:dyDescent="0.2">
      <c r="V179" s="36"/>
      <c r="W179" s="36"/>
      <c r="X179" s="36"/>
      <c r="Y179" s="36"/>
      <c r="Z179" s="36"/>
      <c r="AA179" s="36"/>
      <c r="AB179" s="36"/>
      <c r="AC179" s="36"/>
    </row>
    <row r="180" spans="20:29" x14ac:dyDescent="0.2">
      <c r="V180" s="36"/>
      <c r="W180" s="36"/>
      <c r="X180" s="36"/>
      <c r="Y180" s="36"/>
      <c r="Z180" s="36"/>
      <c r="AA180" s="36"/>
      <c r="AB180" s="36"/>
      <c r="AC180" s="36"/>
    </row>
    <row r="181" spans="20:29" x14ac:dyDescent="0.2">
      <c r="V181" s="36"/>
      <c r="W181" s="36"/>
      <c r="X181" s="36"/>
      <c r="Y181" s="36"/>
      <c r="Z181" s="36"/>
      <c r="AA181" s="36"/>
      <c r="AB181" s="36"/>
      <c r="AC181" s="36"/>
    </row>
    <row r="182" spans="20:29" x14ac:dyDescent="0.2">
      <c r="V182" s="36"/>
      <c r="W182" s="36"/>
      <c r="X182" s="36"/>
      <c r="Y182" s="36"/>
      <c r="Z182" s="36"/>
      <c r="AA182" s="36"/>
      <c r="AB182" s="36"/>
      <c r="AC182" s="36"/>
    </row>
    <row r="183" spans="20:29" x14ac:dyDescent="0.2">
      <c r="V183" s="36"/>
      <c r="W183" s="36"/>
      <c r="X183" s="36"/>
      <c r="Y183" s="36"/>
      <c r="Z183" s="36"/>
      <c r="AA183" s="36"/>
      <c r="AB183" s="36"/>
      <c r="AC183" s="36"/>
    </row>
    <row r="184" spans="20:29" x14ac:dyDescent="0.2">
      <c r="V184" s="36"/>
      <c r="W184" s="36"/>
      <c r="X184" s="36"/>
      <c r="Y184" s="36"/>
      <c r="Z184" s="36"/>
      <c r="AA184" s="36"/>
      <c r="AB184" s="36"/>
      <c r="AC184" s="36"/>
    </row>
    <row r="185" spans="20:29" x14ac:dyDescent="0.2">
      <c r="V185" s="36"/>
      <c r="W185" s="36"/>
      <c r="X185" s="36"/>
      <c r="Y185" s="36"/>
      <c r="Z185" s="36"/>
      <c r="AA185" s="36"/>
      <c r="AB185" s="36"/>
      <c r="AC185" s="36"/>
    </row>
    <row r="186" spans="20:29" x14ac:dyDescent="0.2">
      <c r="V186" s="36"/>
      <c r="W186" s="36"/>
      <c r="X186" s="36"/>
      <c r="Y186" s="36"/>
      <c r="Z186" s="36"/>
      <c r="AA186" s="36"/>
      <c r="AB186" s="36"/>
      <c r="AC186" s="36"/>
    </row>
    <row r="187" spans="20:29" x14ac:dyDescent="0.2">
      <c r="V187" s="36"/>
      <c r="W187" s="36"/>
      <c r="X187" s="36"/>
      <c r="Y187" s="36"/>
      <c r="Z187" s="36"/>
      <c r="AA187" s="36"/>
      <c r="AB187" s="36"/>
      <c r="AC187" s="36"/>
    </row>
    <row r="188" spans="20:29" x14ac:dyDescent="0.2">
      <c r="V188" s="36"/>
      <c r="W188" s="36"/>
      <c r="X188" s="36"/>
      <c r="Y188" s="36"/>
      <c r="Z188" s="36"/>
      <c r="AA188" s="36"/>
      <c r="AB188" s="36"/>
      <c r="AC188" s="36"/>
    </row>
    <row r="189" spans="20:29" x14ac:dyDescent="0.2">
      <c r="V189" s="36"/>
      <c r="W189" s="36"/>
      <c r="X189" s="36"/>
      <c r="Y189" s="36"/>
      <c r="Z189" s="36"/>
      <c r="AA189" s="36"/>
      <c r="AB189" s="36"/>
      <c r="AC189" s="36"/>
    </row>
    <row r="190" spans="20:29" x14ac:dyDescent="0.2">
      <c r="V190" s="36"/>
      <c r="W190" s="36"/>
      <c r="X190" s="36"/>
      <c r="Y190" s="36"/>
      <c r="Z190" s="36"/>
      <c r="AA190" s="36"/>
      <c r="AB190" s="36"/>
      <c r="AC190" s="36"/>
    </row>
    <row r="191" spans="20:29" x14ac:dyDescent="0.2">
      <c r="V191" s="36"/>
      <c r="W191" s="36"/>
      <c r="X191" s="36"/>
      <c r="Y191" s="36"/>
      <c r="Z191" s="36"/>
      <c r="AA191" s="36"/>
      <c r="AB191" s="36"/>
      <c r="AC191" s="36"/>
    </row>
    <row r="192" spans="20:29" x14ac:dyDescent="0.2">
      <c r="V192" s="36"/>
      <c r="W192" s="36"/>
      <c r="X192" s="36"/>
      <c r="Y192" s="36"/>
      <c r="Z192" s="36"/>
      <c r="AA192" s="36"/>
      <c r="AB192" s="36"/>
      <c r="AC192" s="36"/>
    </row>
  </sheetData>
  <mergeCells count="45"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S1" workbookViewId="0">
      <selection activeCell="X12" sqref="X12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35" t="s">
        <v>125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"/>
    </row>
    <row r="2" spans="1:38" ht="20" x14ac:dyDescent="0.2">
      <c r="A2" s="135" t="s">
        <v>126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2"/>
    </row>
    <row r="3" spans="1:38" ht="20" x14ac:dyDescent="0.2">
      <c r="A3" s="136" t="s">
        <v>127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2"/>
    </row>
    <row r="4" spans="1:38" x14ac:dyDescent="0.2">
      <c r="O4"/>
    </row>
    <row r="5" spans="1:38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128</v>
      </c>
      <c r="O5" s="148" t="s">
        <v>12</v>
      </c>
      <c r="P5" s="149"/>
      <c r="Q5" s="150"/>
      <c r="R5" s="79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52" t="s">
        <v>16</v>
      </c>
      <c r="AL5" s="153"/>
    </row>
    <row r="6" spans="1:38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83" t="s">
        <v>146</v>
      </c>
      <c r="S6" s="15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212</v>
      </c>
      <c r="AD6" s="118"/>
      <c r="AE6" s="118"/>
      <c r="AF6" s="121"/>
      <c r="AG6" s="111"/>
      <c r="AH6" s="111"/>
      <c r="AI6" s="111"/>
      <c r="AJ6" s="113"/>
      <c r="AK6" s="154"/>
      <c r="AL6" s="155"/>
    </row>
    <row r="7" spans="1:38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80" t="s">
        <v>147</v>
      </c>
      <c r="S7" s="15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54"/>
      <c r="AL7" s="155"/>
    </row>
    <row r="8" spans="1:38" ht="23.5" customHeight="1" x14ac:dyDescent="0.2">
      <c r="A8" s="5">
        <v>1</v>
      </c>
      <c r="B8" s="6"/>
      <c r="C8" s="7" t="s">
        <v>81</v>
      </c>
      <c r="D8" s="8"/>
      <c r="E8" s="7"/>
      <c r="F8" s="9"/>
      <c r="G8" s="9"/>
      <c r="H8" s="7"/>
      <c r="I8" s="10"/>
      <c r="J8" s="69"/>
      <c r="K8" s="11"/>
      <c r="L8" s="12"/>
      <c r="M8" s="12"/>
      <c r="N8" s="13">
        <f>I8*(SUM(J8:M8))*80%</f>
        <v>0</v>
      </c>
      <c r="O8" s="108"/>
      <c r="P8" s="106"/>
      <c r="Q8" s="106"/>
      <c r="R8" s="14"/>
      <c r="S8" s="15">
        <f>I8*J8</f>
        <v>0</v>
      </c>
      <c r="T8" s="15">
        <f t="shared" ref="T8:T22" si="0">ROUND(SUM(S8:S8)*80%,0)</f>
        <v>0</v>
      </c>
      <c r="U8" s="15">
        <f t="shared" ref="U8:U22" si="1">I8*K8*40%*O8</f>
        <v>0</v>
      </c>
      <c r="V8" s="15">
        <f t="shared" ref="V8:V22" si="2">IF(P8&gt;=6750,(I8*K8*40%),0)</f>
        <v>0</v>
      </c>
      <c r="W8" s="15">
        <f t="shared" ref="W8:W22" si="3">IF(P8&lt;6750,0,IF(Q8="",0,IF(OR(Q8="KURANG",Q8="SANGAT KURANG"),I8*K8*10%,I8*K8*20%)))</f>
        <v>0</v>
      </c>
      <c r="X8" s="15">
        <f>ROUND(SUM(U8:W8)*80%,0)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81</v>
      </c>
      <c r="D9" s="8"/>
      <c r="E9" s="7"/>
      <c r="F9" s="9"/>
      <c r="G9" s="9"/>
      <c r="H9" s="7"/>
      <c r="I9" s="10"/>
      <c r="J9" s="69"/>
      <c r="K9" s="11"/>
      <c r="L9" s="12"/>
      <c r="M9" s="12"/>
      <c r="N9" s="13">
        <f t="shared" ref="N9:N22" si="4">I9*(SUM(J9:M9))*80%</f>
        <v>0</v>
      </c>
      <c r="O9" s="108"/>
      <c r="P9" s="106"/>
      <c r="Q9" s="106"/>
      <c r="R9" s="14"/>
      <c r="S9" s="15">
        <f t="shared" ref="S9:S22" si="5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22" si="6">ROUND(SUM(U9:W9)*80%,0)</f>
        <v>0</v>
      </c>
      <c r="Y9" s="15"/>
      <c r="Z9" s="15"/>
      <c r="AA9" s="15"/>
      <c r="AB9" s="15"/>
      <c r="AC9" s="16">
        <f t="shared" ref="AC9:AC22" si="7">+T9+X9+Z9+AB9</f>
        <v>0</v>
      </c>
      <c r="AD9" s="16">
        <f t="shared" ref="AD9:AD22" si="8">AG9</f>
        <v>0</v>
      </c>
      <c r="AE9" s="16">
        <f t="shared" ref="AE9:AE22" si="9">AI9</f>
        <v>0</v>
      </c>
      <c r="AF9" s="16">
        <f t="shared" ref="AF9:AF22" si="10">AC9+AD9+AE9</f>
        <v>0</v>
      </c>
      <c r="AG9" s="16"/>
      <c r="AH9" s="17"/>
      <c r="AI9" s="17">
        <f t="shared" ref="AI9:AI22" si="11">AH9*4</f>
        <v>0</v>
      </c>
      <c r="AJ9" s="15">
        <f t="shared" ref="AJ9:AJ22" si="12">AF9-AG9-AH9-AI9</f>
        <v>0</v>
      </c>
      <c r="AK9" s="18">
        <v>2</v>
      </c>
      <c r="AL9" s="25"/>
    </row>
    <row r="10" spans="1:38" ht="23.5" customHeight="1" x14ac:dyDescent="0.2">
      <c r="A10" s="5">
        <v>3</v>
      </c>
      <c r="B10" s="6"/>
      <c r="C10" s="7" t="s">
        <v>81</v>
      </c>
      <c r="D10" s="8"/>
      <c r="E10" s="7"/>
      <c r="F10" s="9"/>
      <c r="G10" s="9"/>
      <c r="H10" s="7"/>
      <c r="I10" s="10"/>
      <c r="J10" s="69"/>
      <c r="K10" s="11"/>
      <c r="L10" s="12"/>
      <c r="M10" s="12"/>
      <c r="N10" s="13">
        <f t="shared" si="4"/>
        <v>0</v>
      </c>
      <c r="O10" s="108"/>
      <c r="P10" s="106"/>
      <c r="Q10" s="106"/>
      <c r="R10" s="14"/>
      <c r="S10" s="15">
        <f t="shared" si="5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6"/>
        <v>0</v>
      </c>
      <c r="Y10" s="15"/>
      <c r="Z10" s="15"/>
      <c r="AA10" s="15"/>
      <c r="AB10" s="15"/>
      <c r="AC10" s="16">
        <f t="shared" si="7"/>
        <v>0</v>
      </c>
      <c r="AD10" s="16">
        <f t="shared" si="8"/>
        <v>0</v>
      </c>
      <c r="AE10" s="16">
        <f t="shared" si="9"/>
        <v>0</v>
      </c>
      <c r="AF10" s="16">
        <f t="shared" si="10"/>
        <v>0</v>
      </c>
      <c r="AG10" s="16"/>
      <c r="AH10" s="17"/>
      <c r="AI10" s="17">
        <f t="shared" si="11"/>
        <v>0</v>
      </c>
      <c r="AJ10" s="15">
        <f t="shared" si="12"/>
        <v>0</v>
      </c>
      <c r="AK10" s="18">
        <v>3</v>
      </c>
      <c r="AL10" s="25"/>
    </row>
    <row r="11" spans="1:38" ht="23.5" customHeight="1" x14ac:dyDescent="0.2">
      <c r="A11" s="5">
        <v>4</v>
      </c>
      <c r="B11" s="6"/>
      <c r="C11" s="7" t="s">
        <v>81</v>
      </c>
      <c r="D11" s="8"/>
      <c r="E11" s="7"/>
      <c r="F11" s="9"/>
      <c r="G11" s="9"/>
      <c r="H11" s="7"/>
      <c r="I11" s="10"/>
      <c r="J11" s="69"/>
      <c r="K11" s="11"/>
      <c r="L11" s="12"/>
      <c r="M11" s="12"/>
      <c r="N11" s="13">
        <f t="shared" si="4"/>
        <v>0</v>
      </c>
      <c r="O11" s="108"/>
      <c r="P11" s="106"/>
      <c r="Q11" s="106"/>
      <c r="R11" s="14"/>
      <c r="S11" s="15">
        <f t="shared" si="5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6"/>
        <v>0</v>
      </c>
      <c r="Y11" s="15"/>
      <c r="Z11" s="15"/>
      <c r="AA11" s="15"/>
      <c r="AB11" s="15"/>
      <c r="AC11" s="16">
        <f t="shared" si="7"/>
        <v>0</v>
      </c>
      <c r="AD11" s="16">
        <f t="shared" si="8"/>
        <v>0</v>
      </c>
      <c r="AE11" s="16">
        <f t="shared" si="9"/>
        <v>0</v>
      </c>
      <c r="AF11" s="16">
        <f t="shared" si="10"/>
        <v>0</v>
      </c>
      <c r="AG11" s="16"/>
      <c r="AH11" s="17"/>
      <c r="AI11" s="17">
        <f t="shared" si="11"/>
        <v>0</v>
      </c>
      <c r="AJ11" s="15">
        <f t="shared" si="12"/>
        <v>0</v>
      </c>
      <c r="AK11" s="18">
        <v>4</v>
      </c>
      <c r="AL11" s="25"/>
    </row>
    <row r="12" spans="1:38" ht="23.5" customHeight="1" x14ac:dyDescent="0.2">
      <c r="A12" s="5">
        <v>5</v>
      </c>
      <c r="B12" s="6"/>
      <c r="C12" s="7" t="s">
        <v>81</v>
      </c>
      <c r="D12" s="8"/>
      <c r="E12" s="7"/>
      <c r="F12" s="9"/>
      <c r="G12" s="9"/>
      <c r="H12" s="7"/>
      <c r="I12" s="10"/>
      <c r="J12" s="69"/>
      <c r="K12" s="11"/>
      <c r="L12" s="12"/>
      <c r="M12" s="12"/>
      <c r="N12" s="13">
        <f t="shared" si="4"/>
        <v>0</v>
      </c>
      <c r="O12" s="108"/>
      <c r="P12" s="106"/>
      <c r="Q12" s="106"/>
      <c r="R12" s="14"/>
      <c r="S12" s="15">
        <f t="shared" si="5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6"/>
        <v>0</v>
      </c>
      <c r="Y12" s="15"/>
      <c r="Z12" s="15"/>
      <c r="AA12" s="15"/>
      <c r="AB12" s="15"/>
      <c r="AC12" s="16">
        <f t="shared" si="7"/>
        <v>0</v>
      </c>
      <c r="AD12" s="16">
        <f t="shared" si="8"/>
        <v>0</v>
      </c>
      <c r="AE12" s="16">
        <f t="shared" si="9"/>
        <v>0</v>
      </c>
      <c r="AF12" s="16">
        <f t="shared" si="10"/>
        <v>0</v>
      </c>
      <c r="AG12" s="16"/>
      <c r="AH12" s="17"/>
      <c r="AI12" s="17">
        <f t="shared" si="11"/>
        <v>0</v>
      </c>
      <c r="AJ12" s="15">
        <f t="shared" si="12"/>
        <v>0</v>
      </c>
      <c r="AK12" s="18">
        <v>5</v>
      </c>
      <c r="AL12" s="25"/>
    </row>
    <row r="13" spans="1:38" ht="23.5" customHeight="1" x14ac:dyDescent="0.2">
      <c r="A13" s="5">
        <v>6</v>
      </c>
      <c r="B13" s="6"/>
      <c r="C13" s="7" t="s">
        <v>81</v>
      </c>
      <c r="D13" s="8"/>
      <c r="E13" s="7"/>
      <c r="F13" s="9"/>
      <c r="G13" s="9"/>
      <c r="H13" s="7"/>
      <c r="I13" s="10"/>
      <c r="J13" s="69"/>
      <c r="K13" s="11"/>
      <c r="L13" s="12"/>
      <c r="M13" s="12"/>
      <c r="N13" s="13">
        <f t="shared" si="4"/>
        <v>0</v>
      </c>
      <c r="O13" s="108"/>
      <c r="P13" s="106"/>
      <c r="Q13" s="106"/>
      <c r="R13" s="14"/>
      <c r="S13" s="15">
        <f t="shared" si="5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6"/>
        <v>0</v>
      </c>
      <c r="Y13" s="15"/>
      <c r="Z13" s="15"/>
      <c r="AA13" s="15"/>
      <c r="AB13" s="15"/>
      <c r="AC13" s="16">
        <f t="shared" si="7"/>
        <v>0</v>
      </c>
      <c r="AD13" s="16">
        <f t="shared" si="8"/>
        <v>0</v>
      </c>
      <c r="AE13" s="16">
        <f t="shared" si="9"/>
        <v>0</v>
      </c>
      <c r="AF13" s="16">
        <f t="shared" si="10"/>
        <v>0</v>
      </c>
      <c r="AG13" s="16"/>
      <c r="AH13" s="17"/>
      <c r="AI13" s="17">
        <f t="shared" si="11"/>
        <v>0</v>
      </c>
      <c r="AJ13" s="15">
        <f t="shared" si="12"/>
        <v>0</v>
      </c>
      <c r="AK13" s="18">
        <v>6</v>
      </c>
      <c r="AL13" s="25"/>
    </row>
    <row r="14" spans="1:38" ht="23.5" customHeight="1" x14ac:dyDescent="0.2">
      <c r="A14" s="5">
        <v>7</v>
      </c>
      <c r="B14" s="6"/>
      <c r="C14" s="7" t="s">
        <v>81</v>
      </c>
      <c r="D14" s="8"/>
      <c r="E14" s="7"/>
      <c r="F14" s="9"/>
      <c r="G14" s="9"/>
      <c r="H14" s="7"/>
      <c r="I14" s="10"/>
      <c r="J14" s="69"/>
      <c r="K14" s="11"/>
      <c r="L14" s="12"/>
      <c r="M14" s="12"/>
      <c r="N14" s="13">
        <f t="shared" si="4"/>
        <v>0</v>
      </c>
      <c r="O14" s="108"/>
      <c r="P14" s="106"/>
      <c r="Q14" s="106"/>
      <c r="R14" s="14"/>
      <c r="S14" s="15">
        <f t="shared" si="5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6"/>
        <v>0</v>
      </c>
      <c r="Y14" s="15"/>
      <c r="Z14" s="15"/>
      <c r="AA14" s="15"/>
      <c r="AB14" s="15"/>
      <c r="AC14" s="16">
        <f t="shared" si="7"/>
        <v>0</v>
      </c>
      <c r="AD14" s="16">
        <f t="shared" si="8"/>
        <v>0</v>
      </c>
      <c r="AE14" s="16">
        <f t="shared" si="9"/>
        <v>0</v>
      </c>
      <c r="AF14" s="16">
        <f t="shared" si="10"/>
        <v>0</v>
      </c>
      <c r="AG14" s="16"/>
      <c r="AH14" s="17"/>
      <c r="AI14" s="17">
        <f t="shared" si="11"/>
        <v>0</v>
      </c>
      <c r="AJ14" s="15">
        <f t="shared" si="12"/>
        <v>0</v>
      </c>
      <c r="AK14" s="18">
        <v>7</v>
      </c>
      <c r="AL14" s="25"/>
    </row>
    <row r="15" spans="1:38" ht="23.5" customHeight="1" x14ac:dyDescent="0.2">
      <c r="A15" s="5">
        <v>8</v>
      </c>
      <c r="B15" s="6"/>
      <c r="C15" s="7" t="s">
        <v>81</v>
      </c>
      <c r="D15" s="8"/>
      <c r="E15" s="7"/>
      <c r="F15" s="9"/>
      <c r="G15" s="9"/>
      <c r="H15" s="7"/>
      <c r="I15" s="10"/>
      <c r="J15" s="69"/>
      <c r="K15" s="11"/>
      <c r="L15" s="12"/>
      <c r="M15" s="12"/>
      <c r="N15" s="13">
        <f t="shared" si="4"/>
        <v>0</v>
      </c>
      <c r="O15" s="108"/>
      <c r="P15" s="106"/>
      <c r="Q15" s="106"/>
      <c r="R15" s="14"/>
      <c r="S15" s="15">
        <f t="shared" si="5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6"/>
        <v>0</v>
      </c>
      <c r="Y15" s="15"/>
      <c r="Z15" s="15"/>
      <c r="AA15" s="15"/>
      <c r="AB15" s="15"/>
      <c r="AC15" s="16">
        <f t="shared" si="7"/>
        <v>0</v>
      </c>
      <c r="AD15" s="16">
        <f t="shared" si="8"/>
        <v>0</v>
      </c>
      <c r="AE15" s="16">
        <f t="shared" si="9"/>
        <v>0</v>
      </c>
      <c r="AF15" s="16">
        <f t="shared" si="10"/>
        <v>0</v>
      </c>
      <c r="AG15" s="16"/>
      <c r="AH15" s="17"/>
      <c r="AI15" s="17">
        <f t="shared" si="11"/>
        <v>0</v>
      </c>
      <c r="AJ15" s="15">
        <f t="shared" si="12"/>
        <v>0</v>
      </c>
      <c r="AK15" s="18">
        <v>8</v>
      </c>
      <c r="AL15" s="25"/>
    </row>
    <row r="16" spans="1:38" ht="23.5" customHeight="1" x14ac:dyDescent="0.2">
      <c r="A16" s="5">
        <v>9</v>
      </c>
      <c r="B16" s="6"/>
      <c r="C16" s="7" t="s">
        <v>81</v>
      </c>
      <c r="D16" s="8"/>
      <c r="E16" s="7"/>
      <c r="F16" s="9"/>
      <c r="G16" s="9"/>
      <c r="H16" s="7"/>
      <c r="I16" s="10"/>
      <c r="J16" s="69"/>
      <c r="K16" s="11"/>
      <c r="L16" s="12"/>
      <c r="M16" s="12"/>
      <c r="N16" s="13">
        <f t="shared" si="4"/>
        <v>0</v>
      </c>
      <c r="O16" s="108"/>
      <c r="P16" s="106"/>
      <c r="Q16" s="106"/>
      <c r="R16" s="14"/>
      <c r="S16" s="15">
        <f t="shared" si="5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6"/>
        <v>0</v>
      </c>
      <c r="Y16" s="15"/>
      <c r="Z16" s="15"/>
      <c r="AA16" s="15"/>
      <c r="AB16" s="15"/>
      <c r="AC16" s="16">
        <f t="shared" si="7"/>
        <v>0</v>
      </c>
      <c r="AD16" s="16">
        <f t="shared" si="8"/>
        <v>0</v>
      </c>
      <c r="AE16" s="16">
        <f t="shared" si="9"/>
        <v>0</v>
      </c>
      <c r="AF16" s="16">
        <f t="shared" si="10"/>
        <v>0</v>
      </c>
      <c r="AG16" s="16"/>
      <c r="AH16" s="17"/>
      <c r="AI16" s="17">
        <f t="shared" si="11"/>
        <v>0</v>
      </c>
      <c r="AJ16" s="15">
        <f t="shared" si="12"/>
        <v>0</v>
      </c>
      <c r="AK16" s="42"/>
      <c r="AL16" s="43"/>
    </row>
    <row r="17" spans="1:38" ht="23.5" customHeight="1" x14ac:dyDescent="0.2">
      <c r="A17" s="5">
        <v>10</v>
      </c>
      <c r="B17" s="6"/>
      <c r="C17" s="7" t="s">
        <v>81</v>
      </c>
      <c r="D17" s="8"/>
      <c r="E17" s="7"/>
      <c r="F17" s="9"/>
      <c r="G17" s="9"/>
      <c r="H17" s="7"/>
      <c r="I17" s="10"/>
      <c r="J17" s="69"/>
      <c r="K17" s="11"/>
      <c r="L17" s="12"/>
      <c r="M17" s="12"/>
      <c r="N17" s="13">
        <f t="shared" si="4"/>
        <v>0</v>
      </c>
      <c r="O17" s="108"/>
      <c r="P17" s="106"/>
      <c r="Q17" s="106"/>
      <c r="R17" s="14"/>
      <c r="S17" s="15">
        <f t="shared" si="5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6"/>
        <v>0</v>
      </c>
      <c r="Y17" s="15"/>
      <c r="Z17" s="15"/>
      <c r="AA17" s="15"/>
      <c r="AB17" s="15"/>
      <c r="AC17" s="16">
        <f t="shared" si="7"/>
        <v>0</v>
      </c>
      <c r="AD17" s="16">
        <f t="shared" si="8"/>
        <v>0</v>
      </c>
      <c r="AE17" s="16">
        <f t="shared" si="9"/>
        <v>0</v>
      </c>
      <c r="AF17" s="16">
        <f t="shared" si="10"/>
        <v>0</v>
      </c>
      <c r="AG17" s="16"/>
      <c r="AH17" s="17"/>
      <c r="AI17" s="17">
        <f t="shared" si="11"/>
        <v>0</v>
      </c>
      <c r="AJ17" s="15">
        <f t="shared" si="12"/>
        <v>0</v>
      </c>
    </row>
    <row r="18" spans="1:38" ht="23.5" customHeight="1" x14ac:dyDescent="0.2">
      <c r="A18" s="5">
        <v>11</v>
      </c>
      <c r="B18" s="6"/>
      <c r="C18" s="7" t="s">
        <v>81</v>
      </c>
      <c r="D18" s="8"/>
      <c r="E18" s="7"/>
      <c r="F18" s="9"/>
      <c r="G18" s="9"/>
      <c r="H18" s="7"/>
      <c r="I18" s="10"/>
      <c r="J18" s="69"/>
      <c r="K18" s="11"/>
      <c r="L18" s="12"/>
      <c r="M18" s="12"/>
      <c r="N18" s="13">
        <f t="shared" si="4"/>
        <v>0</v>
      </c>
      <c r="O18" s="108"/>
      <c r="P18" s="106"/>
      <c r="Q18" s="106"/>
      <c r="R18" s="14"/>
      <c r="S18" s="15">
        <f t="shared" si="5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6"/>
        <v>0</v>
      </c>
      <c r="Y18" s="15"/>
      <c r="Z18" s="15"/>
      <c r="AA18" s="15"/>
      <c r="AB18" s="15"/>
      <c r="AC18" s="16">
        <f t="shared" si="7"/>
        <v>0</v>
      </c>
      <c r="AD18" s="16">
        <f t="shared" si="8"/>
        <v>0</v>
      </c>
      <c r="AE18" s="16">
        <f t="shared" si="9"/>
        <v>0</v>
      </c>
      <c r="AF18" s="16">
        <f t="shared" si="10"/>
        <v>0</v>
      </c>
      <c r="AG18" s="16"/>
      <c r="AH18" s="17"/>
      <c r="AI18" s="17">
        <f t="shared" si="11"/>
        <v>0</v>
      </c>
      <c r="AJ18" s="15">
        <f t="shared" si="12"/>
        <v>0</v>
      </c>
    </row>
    <row r="19" spans="1:38" ht="23.5" customHeight="1" x14ac:dyDescent="0.2">
      <c r="A19" s="5">
        <v>12</v>
      </c>
      <c r="B19" s="70"/>
      <c r="C19" s="7" t="s">
        <v>81</v>
      </c>
      <c r="D19" s="20"/>
      <c r="E19" s="7"/>
      <c r="F19" s="27"/>
      <c r="G19" s="21"/>
      <c r="H19" s="22"/>
      <c r="I19" s="10"/>
      <c r="J19" s="69"/>
      <c r="K19" s="11"/>
      <c r="L19" s="12"/>
      <c r="M19" s="23"/>
      <c r="N19" s="13">
        <f t="shared" si="4"/>
        <v>0</v>
      </c>
      <c r="O19" s="108"/>
      <c r="P19" s="106"/>
      <c r="Q19" s="106"/>
      <c r="R19" s="14"/>
      <c r="S19" s="15">
        <f t="shared" si="5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6"/>
        <v>0</v>
      </c>
      <c r="Y19" s="15">
        <f>I19*L19</f>
        <v>0</v>
      </c>
      <c r="Z19" s="15">
        <f>Y19*80%</f>
        <v>0</v>
      </c>
      <c r="AA19" s="15">
        <f>I19*M19</f>
        <v>0</v>
      </c>
      <c r="AB19" s="15">
        <f>AA19*80%</f>
        <v>0</v>
      </c>
      <c r="AC19" s="16">
        <f t="shared" si="7"/>
        <v>0</v>
      </c>
      <c r="AD19" s="16">
        <f t="shared" si="8"/>
        <v>0</v>
      </c>
      <c r="AE19" s="16">
        <f t="shared" si="9"/>
        <v>0</v>
      </c>
      <c r="AF19" s="16">
        <f t="shared" si="10"/>
        <v>0</v>
      </c>
      <c r="AG19" s="16"/>
      <c r="AH19" s="17"/>
      <c r="AI19" s="17">
        <f t="shared" si="11"/>
        <v>0</v>
      </c>
      <c r="AJ19" s="15">
        <f t="shared" si="12"/>
        <v>0</v>
      </c>
    </row>
    <row r="20" spans="1:38" ht="23.5" customHeight="1" x14ac:dyDescent="0.2">
      <c r="A20" s="5">
        <v>13</v>
      </c>
      <c r="B20" s="70"/>
      <c r="C20" s="7" t="s">
        <v>81</v>
      </c>
      <c r="D20" s="20"/>
      <c r="E20" s="26"/>
      <c r="F20" s="27"/>
      <c r="G20" s="27"/>
      <c r="H20" s="26"/>
      <c r="I20" s="10"/>
      <c r="J20" s="69"/>
      <c r="K20" s="11"/>
      <c r="L20" s="12"/>
      <c r="M20" s="23"/>
      <c r="N20" s="13">
        <f t="shared" si="4"/>
        <v>0</v>
      </c>
      <c r="O20" s="108"/>
      <c r="P20" s="106"/>
      <c r="Q20" s="106"/>
      <c r="R20" s="14"/>
      <c r="S20" s="15">
        <f t="shared" si="5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6"/>
        <v>0</v>
      </c>
      <c r="Y20" s="15"/>
      <c r="Z20" s="15"/>
      <c r="AA20" s="15"/>
      <c r="AB20" s="15"/>
      <c r="AC20" s="16">
        <f t="shared" si="7"/>
        <v>0</v>
      </c>
      <c r="AD20" s="16">
        <f t="shared" si="8"/>
        <v>0</v>
      </c>
      <c r="AE20" s="16">
        <f t="shared" si="9"/>
        <v>0</v>
      </c>
      <c r="AF20" s="16">
        <f t="shared" si="10"/>
        <v>0</v>
      </c>
      <c r="AG20" s="16"/>
      <c r="AH20" s="17"/>
      <c r="AI20" s="17">
        <f t="shared" si="11"/>
        <v>0</v>
      </c>
      <c r="AJ20" s="15">
        <f t="shared" si="12"/>
        <v>0</v>
      </c>
    </row>
    <row r="21" spans="1:38" ht="23.5" customHeight="1" x14ac:dyDescent="0.2">
      <c r="A21" s="5">
        <v>14</v>
      </c>
      <c r="B21" s="71"/>
      <c r="C21" s="7" t="s">
        <v>81</v>
      </c>
      <c r="D21" s="20"/>
      <c r="E21" s="26"/>
      <c r="F21" s="27"/>
      <c r="G21" s="27"/>
      <c r="H21" s="26"/>
      <c r="I21" s="10"/>
      <c r="J21" s="69"/>
      <c r="K21" s="11"/>
      <c r="L21" s="12"/>
      <c r="M21" s="23"/>
      <c r="N21" s="13">
        <f t="shared" si="4"/>
        <v>0</v>
      </c>
      <c r="O21" s="108"/>
      <c r="P21" s="106"/>
      <c r="Q21" s="106"/>
      <c r="R21" s="14"/>
      <c r="S21" s="15">
        <f t="shared" si="5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6"/>
        <v>0</v>
      </c>
      <c r="Y21" s="15"/>
      <c r="Z21" s="15"/>
      <c r="AA21" s="15"/>
      <c r="AB21" s="15"/>
      <c r="AC21" s="16">
        <f t="shared" si="7"/>
        <v>0</v>
      </c>
      <c r="AD21" s="16">
        <f t="shared" si="8"/>
        <v>0</v>
      </c>
      <c r="AE21" s="16">
        <f t="shared" si="9"/>
        <v>0</v>
      </c>
      <c r="AF21" s="16">
        <f t="shared" si="10"/>
        <v>0</v>
      </c>
      <c r="AG21" s="16"/>
      <c r="AH21" s="17"/>
      <c r="AI21" s="17">
        <f t="shared" si="11"/>
        <v>0</v>
      </c>
      <c r="AJ21" s="15">
        <f t="shared" si="12"/>
        <v>0</v>
      </c>
      <c r="AK21" s="36"/>
      <c r="AL21" s="48"/>
    </row>
    <row r="22" spans="1:38" ht="23.5" customHeight="1" x14ac:dyDescent="0.2">
      <c r="A22" s="5">
        <v>15</v>
      </c>
      <c r="B22" s="72"/>
      <c r="C22" s="7" t="s">
        <v>81</v>
      </c>
      <c r="D22" s="20"/>
      <c r="E22" s="26"/>
      <c r="F22" s="27"/>
      <c r="G22" s="27"/>
      <c r="H22" s="26"/>
      <c r="I22" s="10"/>
      <c r="J22" s="69"/>
      <c r="K22" s="11"/>
      <c r="L22" s="12"/>
      <c r="M22" s="23"/>
      <c r="N22" s="13">
        <f t="shared" si="4"/>
        <v>0</v>
      </c>
      <c r="O22" s="108"/>
      <c r="P22" s="106"/>
      <c r="Q22" s="106"/>
      <c r="R22" s="14"/>
      <c r="S22" s="15">
        <f t="shared" si="5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6"/>
        <v>0</v>
      </c>
      <c r="Y22" s="15"/>
      <c r="Z22" s="15"/>
      <c r="AA22" s="15"/>
      <c r="AB22" s="15"/>
      <c r="AC22" s="16">
        <f t="shared" si="7"/>
        <v>0</v>
      </c>
      <c r="AD22" s="16">
        <f t="shared" si="8"/>
        <v>0</v>
      </c>
      <c r="AE22" s="16">
        <f t="shared" si="9"/>
        <v>0</v>
      </c>
      <c r="AF22" s="16">
        <f t="shared" si="10"/>
        <v>0</v>
      </c>
      <c r="AG22" s="16"/>
      <c r="AH22" s="17"/>
      <c r="AI22" s="17">
        <f t="shared" si="11"/>
        <v>0</v>
      </c>
      <c r="AJ22" s="15">
        <f t="shared" si="12"/>
        <v>0</v>
      </c>
      <c r="AK22" s="36"/>
      <c r="AL22" s="50"/>
    </row>
    <row r="23" spans="1:38" x14ac:dyDescent="0.2">
      <c r="B23" s="36"/>
      <c r="C23" s="36"/>
      <c r="D23" s="36"/>
      <c r="E23" s="36"/>
      <c r="F23" s="36"/>
      <c r="G23" s="36"/>
      <c r="H23" s="36"/>
      <c r="I23" s="36"/>
      <c r="K23" s="37"/>
      <c r="L23" s="38"/>
      <c r="M23" s="38"/>
      <c r="N23" s="13">
        <f>I23*(SUM(K23:M23))</f>
        <v>0</v>
      </c>
      <c r="O23" s="39"/>
      <c r="P23" s="40"/>
      <c r="Q23" s="40"/>
      <c r="R23" s="40"/>
      <c r="S23" s="41"/>
      <c r="T23" s="40">
        <f>SUM(T8:T22)</f>
        <v>0</v>
      </c>
      <c r="U23" s="41"/>
      <c r="V23" s="41"/>
      <c r="W23" s="41"/>
      <c r="X23" s="40">
        <f>SUM(X8:X22)</f>
        <v>0</v>
      </c>
      <c r="Y23" s="41"/>
      <c r="Z23" s="15">
        <f t="shared" ref="Z23" si="13">Y23</f>
        <v>0</v>
      </c>
      <c r="AA23" s="41"/>
      <c r="AB23" s="15">
        <f t="shared" ref="AB23" si="14">AA23</f>
        <v>0</v>
      </c>
      <c r="AC23" s="40">
        <f t="shared" ref="AC23:AJ23" si="15">SUM(AC8:AC22)</f>
        <v>0</v>
      </c>
      <c r="AD23" s="40">
        <f t="shared" si="15"/>
        <v>0</v>
      </c>
      <c r="AE23" s="40">
        <f t="shared" si="15"/>
        <v>0</v>
      </c>
      <c r="AF23" s="40">
        <f t="shared" si="15"/>
        <v>0</v>
      </c>
      <c r="AG23" s="40">
        <f t="shared" si="15"/>
        <v>0</v>
      </c>
      <c r="AH23" s="40">
        <f t="shared" si="15"/>
        <v>0</v>
      </c>
      <c r="AI23" s="40">
        <f t="shared" si="15"/>
        <v>0</v>
      </c>
      <c r="AJ23" s="40">
        <f t="shared" si="15"/>
        <v>0</v>
      </c>
      <c r="AK23" s="36"/>
      <c r="AL23" s="36"/>
    </row>
    <row r="24" spans="1:38" ht="20" customHeight="1" x14ac:dyDescent="0.2">
      <c r="B24" s="36"/>
      <c r="C24" s="36"/>
      <c r="D24" s="36"/>
      <c r="E24" s="36"/>
      <c r="F24" s="36"/>
      <c r="G24" s="36"/>
      <c r="H24" s="36"/>
      <c r="I24" s="36"/>
      <c r="K24" s="36"/>
      <c r="L24" s="36"/>
      <c r="M24" s="36"/>
      <c r="N24" s="73"/>
      <c r="O24" s="74"/>
      <c r="P24" s="73"/>
      <c r="Q24" s="73"/>
      <c r="R24" s="73"/>
      <c r="S24" s="75"/>
      <c r="T24" s="76"/>
      <c r="U24" s="77"/>
      <c r="V24" s="77"/>
      <c r="W24" s="77"/>
      <c r="X24" s="73"/>
      <c r="Y24" s="75"/>
      <c r="Z24" s="15"/>
      <c r="AA24" s="75"/>
      <c r="AB24" s="15"/>
      <c r="AD24" s="53"/>
      <c r="AE24" s="53"/>
      <c r="AF24" s="53"/>
      <c r="AG24" s="53"/>
      <c r="AH24" s="47"/>
      <c r="AI24" s="47"/>
      <c r="AJ24" s="51"/>
    </row>
    <row r="25" spans="1:38" x14ac:dyDescent="0.2">
      <c r="B25" s="129" t="s">
        <v>77</v>
      </c>
      <c r="C25" s="129"/>
      <c r="D25" s="36"/>
      <c r="E25" s="36"/>
      <c r="F25" s="36"/>
      <c r="G25" s="36"/>
      <c r="H25" s="36"/>
      <c r="I25" s="36"/>
      <c r="K25" s="36"/>
      <c r="L25" s="36"/>
      <c r="M25" s="36"/>
      <c r="N25" s="44"/>
      <c r="O25" s="78"/>
      <c r="P25" s="44"/>
      <c r="Q25" s="44"/>
      <c r="R25" s="44"/>
      <c r="S25" s="158"/>
      <c r="T25" s="158"/>
      <c r="U25" s="158"/>
      <c r="V25" s="158"/>
      <c r="W25" s="158"/>
      <c r="X25" s="36"/>
      <c r="Y25" s="36"/>
      <c r="Z25" s="36"/>
      <c r="AA25" s="36"/>
      <c r="AB25" s="36"/>
      <c r="AD25" s="36"/>
      <c r="AE25" s="36"/>
      <c r="AF25" s="36"/>
      <c r="AG25" s="36"/>
      <c r="AH25" s="47"/>
      <c r="AI25" s="47"/>
      <c r="AJ25" s="51"/>
    </row>
    <row r="26" spans="1:38" ht="14.5" customHeight="1" x14ac:dyDescent="0.2">
      <c r="B26" s="45" t="s">
        <v>78</v>
      </c>
      <c r="C26" s="45"/>
      <c r="D26" s="36"/>
      <c r="E26" s="36"/>
      <c r="F26" s="36"/>
      <c r="G26" s="36"/>
      <c r="H26" s="36"/>
      <c r="I26" s="36"/>
      <c r="K26" s="36"/>
      <c r="L26" s="36"/>
      <c r="M26" s="36"/>
      <c r="N26" s="44"/>
      <c r="O26" s="78"/>
      <c r="P26" s="44"/>
      <c r="Q26" s="44"/>
      <c r="R26" s="44"/>
      <c r="Y26" s="36"/>
      <c r="Z26" s="36"/>
      <c r="AA26" s="36"/>
      <c r="AB26" s="36"/>
      <c r="AD26" s="36"/>
      <c r="AE26" s="52"/>
      <c r="AF26" s="52"/>
      <c r="AG26" s="52"/>
      <c r="AH26" s="52"/>
      <c r="AI26" s="52"/>
      <c r="AJ26" s="52"/>
    </row>
    <row r="27" spans="1:38" x14ac:dyDescent="0.2">
      <c r="B27" s="49"/>
      <c r="C27" s="49"/>
      <c r="D27" s="36"/>
      <c r="E27" s="36"/>
      <c r="F27" s="36"/>
      <c r="G27" s="36"/>
      <c r="H27" s="36"/>
      <c r="I27" s="36"/>
      <c r="K27" s="36"/>
      <c r="L27" s="36"/>
      <c r="M27" s="36"/>
      <c r="N27" s="50"/>
      <c r="O27" s="78"/>
      <c r="P27" s="50"/>
      <c r="Q27" s="50"/>
      <c r="R27" s="50"/>
      <c r="Y27" s="36"/>
      <c r="Z27" s="36"/>
      <c r="AA27" s="36"/>
      <c r="AB27" s="36"/>
      <c r="AE27" s="52"/>
      <c r="AF27" s="52"/>
      <c r="AG27" s="52"/>
      <c r="AH27" s="52"/>
      <c r="AI27" s="52"/>
      <c r="AJ27" s="52"/>
    </row>
    <row r="28" spans="1:38" x14ac:dyDescent="0.2">
      <c r="B28" s="49"/>
      <c r="C28" s="49"/>
      <c r="D28" s="36"/>
      <c r="E28" s="36"/>
      <c r="F28" s="36"/>
      <c r="G28" s="36"/>
      <c r="H28" s="36"/>
      <c r="I28" s="36"/>
      <c r="K28" s="36"/>
      <c r="L28" s="36"/>
      <c r="M28" s="36"/>
      <c r="N28" s="44"/>
      <c r="O28" s="78"/>
      <c r="P28" s="44"/>
      <c r="Q28" s="44"/>
      <c r="R28" s="44"/>
      <c r="Y28" s="36"/>
      <c r="Z28" s="36"/>
      <c r="AA28" s="36"/>
      <c r="AB28" s="36"/>
      <c r="AD28" s="36"/>
      <c r="AE28" s="36"/>
      <c r="AF28" s="36"/>
      <c r="AG28" s="36"/>
      <c r="AH28" s="36"/>
      <c r="AI28" s="36"/>
      <c r="AJ28" s="36"/>
    </row>
    <row r="29" spans="1:38" x14ac:dyDescent="0.2">
      <c r="B29" s="52"/>
      <c r="C29" s="52"/>
      <c r="Z29" s="36"/>
      <c r="AB29" s="36"/>
      <c r="AD29" s="58"/>
      <c r="AE29" s="58"/>
      <c r="AF29" s="58"/>
      <c r="AG29" s="58"/>
      <c r="AH29" s="58"/>
      <c r="AI29" s="58"/>
      <c r="AJ29" s="58"/>
      <c r="AK29" s="36"/>
    </row>
    <row r="30" spans="1:38" x14ac:dyDescent="0.2">
      <c r="B30" s="52"/>
      <c r="C30" s="52"/>
      <c r="AC30" s="36"/>
      <c r="AD30" s="58"/>
      <c r="AE30" s="58"/>
      <c r="AF30" s="58"/>
      <c r="AG30" s="58"/>
      <c r="AH30" s="58"/>
      <c r="AI30" s="58"/>
      <c r="AJ30" s="58"/>
      <c r="AK30" s="36"/>
    </row>
    <row r="31" spans="1:38" x14ac:dyDescent="0.2">
      <c r="B31" s="130" t="s">
        <v>80</v>
      </c>
      <c r="C31" s="130"/>
      <c r="AC31" s="36"/>
      <c r="AD31" s="59"/>
      <c r="AE31" s="59"/>
      <c r="AF31" s="59"/>
      <c r="AG31" s="59"/>
      <c r="AH31" s="59"/>
      <c r="AI31" s="59"/>
      <c r="AJ31" s="59"/>
      <c r="AK31" s="36"/>
    </row>
    <row r="32" spans="1:38" x14ac:dyDescent="0.2">
      <c r="B32" s="57" t="s">
        <v>81</v>
      </c>
      <c r="C32" s="57"/>
      <c r="S32" s="128"/>
      <c r="T32" s="128"/>
      <c r="U32" s="128"/>
      <c r="V32" s="128"/>
      <c r="W32" s="128"/>
      <c r="AD32" s="58"/>
      <c r="AE32" s="58"/>
      <c r="AF32" s="58"/>
      <c r="AG32" s="58"/>
      <c r="AH32" s="58"/>
      <c r="AI32" s="58"/>
      <c r="AJ32" s="58"/>
      <c r="AK32" s="36"/>
      <c r="AL32" s="36"/>
    </row>
    <row r="33" spans="20:38" x14ac:dyDescent="0.2">
      <c r="X33" s="36"/>
      <c r="Y33" s="36"/>
      <c r="Z33" s="36"/>
      <c r="AA33" s="36"/>
      <c r="AB33" s="36"/>
      <c r="AC33" s="36"/>
      <c r="AD33" s="58"/>
      <c r="AE33" s="58"/>
      <c r="AF33" s="58"/>
      <c r="AG33" s="58"/>
      <c r="AH33" s="58"/>
      <c r="AI33" s="58"/>
      <c r="AJ33" s="58"/>
      <c r="AK33" s="36"/>
      <c r="AL33" s="36"/>
    </row>
    <row r="34" spans="20:38" x14ac:dyDescent="0.2">
      <c r="V34" s="36"/>
      <c r="W34" s="36"/>
      <c r="X34" s="36"/>
      <c r="Y34" s="36"/>
      <c r="Z34" s="36"/>
      <c r="AA34" s="36"/>
      <c r="AB34" s="36"/>
      <c r="AC34" s="58" t="s">
        <v>82</v>
      </c>
      <c r="AD34" s="36"/>
      <c r="AE34" s="36"/>
      <c r="AF34" s="36"/>
      <c r="AG34" s="36"/>
      <c r="AH34" s="36"/>
      <c r="AI34" s="36"/>
      <c r="AJ34" s="36"/>
      <c r="AK34" s="36"/>
      <c r="AL34" s="36"/>
    </row>
    <row r="35" spans="20:38" x14ac:dyDescent="0.2">
      <c r="V35" s="36"/>
      <c r="W35" s="36"/>
      <c r="X35" s="36"/>
      <c r="Y35" s="36"/>
      <c r="Z35" s="36"/>
      <c r="AA35" s="36"/>
      <c r="AB35" s="36"/>
      <c r="AC35" s="58"/>
      <c r="AD35" s="60"/>
      <c r="AE35" s="60"/>
      <c r="AF35" s="60"/>
      <c r="AG35" s="60"/>
      <c r="AH35" s="60"/>
      <c r="AI35" s="60"/>
      <c r="AJ35" s="60"/>
      <c r="AK35" s="36"/>
      <c r="AL35" s="36"/>
    </row>
    <row r="36" spans="20:38" x14ac:dyDescent="0.2">
      <c r="V36" s="36"/>
      <c r="W36" s="36"/>
      <c r="X36" s="36"/>
      <c r="Y36" s="36"/>
      <c r="Z36" s="36"/>
      <c r="AA36" s="36"/>
      <c r="AB36" s="36"/>
      <c r="AC36" s="59"/>
      <c r="AD36" s="58"/>
      <c r="AE36" s="58"/>
      <c r="AF36" s="58"/>
      <c r="AG36" s="58"/>
      <c r="AH36" s="58"/>
      <c r="AI36" s="58"/>
      <c r="AJ36" s="58"/>
      <c r="AK36" s="36"/>
      <c r="AL36" s="36"/>
    </row>
    <row r="37" spans="20:38" x14ac:dyDescent="0.2">
      <c r="V37" s="36"/>
      <c r="W37" s="36"/>
      <c r="X37" s="36"/>
      <c r="Y37" s="36"/>
      <c r="Z37" s="36"/>
      <c r="AA37" s="36"/>
      <c r="AB37" s="36"/>
      <c r="AC37" s="58"/>
      <c r="AD37" s="61"/>
      <c r="AE37" s="61"/>
      <c r="AF37" s="61"/>
      <c r="AG37" s="61"/>
      <c r="AH37" s="61"/>
      <c r="AI37" s="61"/>
      <c r="AJ37" s="61"/>
      <c r="AK37" s="36"/>
      <c r="AL37" s="36"/>
    </row>
    <row r="38" spans="20:38" x14ac:dyDescent="0.2">
      <c r="V38" s="36"/>
      <c r="W38" s="36"/>
      <c r="X38" s="36"/>
      <c r="Y38" s="36"/>
      <c r="Z38" s="36"/>
      <c r="AA38" s="36"/>
      <c r="AB38" s="36"/>
      <c r="AC38" s="58"/>
      <c r="AD38" s="61"/>
      <c r="AE38" s="61"/>
      <c r="AF38" s="61"/>
      <c r="AG38" s="61"/>
      <c r="AH38" s="61"/>
      <c r="AI38" s="61"/>
      <c r="AJ38" s="61"/>
      <c r="AK38" s="36"/>
      <c r="AL38" s="36"/>
    </row>
    <row r="39" spans="20:38" x14ac:dyDescent="0.2">
      <c r="V39" s="36"/>
      <c r="W39" s="36"/>
      <c r="X39" s="36"/>
      <c r="Y39" s="36"/>
      <c r="Z39" s="36"/>
      <c r="AA39" s="36"/>
      <c r="AB39" s="36"/>
      <c r="AC39" s="36"/>
      <c r="AD39" s="63"/>
      <c r="AE39" s="63"/>
      <c r="AF39" s="63"/>
      <c r="AG39" s="63"/>
      <c r="AH39" s="63"/>
      <c r="AI39" s="63"/>
      <c r="AJ39" s="63"/>
      <c r="AK39" s="36"/>
      <c r="AL39" s="36"/>
    </row>
    <row r="40" spans="20:38" x14ac:dyDescent="0.2">
      <c r="T40" s="60"/>
      <c r="V40" s="36"/>
      <c r="W40" s="36"/>
      <c r="X40" s="60"/>
      <c r="Y40" s="36"/>
      <c r="Z40" s="60"/>
      <c r="AA40" s="36"/>
      <c r="AB40" s="60"/>
      <c r="AC40" s="60"/>
      <c r="AD40" s="63"/>
      <c r="AE40" s="63"/>
      <c r="AF40" s="63"/>
      <c r="AG40" s="63"/>
      <c r="AH40" s="63"/>
      <c r="AI40" s="63"/>
      <c r="AJ40" s="63"/>
      <c r="AK40" s="36"/>
      <c r="AL40" s="36"/>
    </row>
    <row r="41" spans="20:38" x14ac:dyDescent="0.2">
      <c r="T41" s="61"/>
      <c r="U41" s="61"/>
      <c r="V41" s="58"/>
      <c r="W41" s="58"/>
      <c r="X41" s="58"/>
      <c r="Y41" s="58"/>
      <c r="Z41" s="58"/>
      <c r="AA41" s="58"/>
      <c r="AB41" s="58"/>
      <c r="AC41" s="58"/>
      <c r="AD41" s="36"/>
      <c r="AE41" s="36"/>
      <c r="AF41" s="36"/>
      <c r="AG41" s="36"/>
      <c r="AH41" s="36"/>
      <c r="AI41" s="36"/>
      <c r="AJ41" s="36"/>
      <c r="AK41" s="36"/>
      <c r="AL41" s="36"/>
    </row>
    <row r="42" spans="20:38" x14ac:dyDescent="0.2">
      <c r="T42" s="61"/>
      <c r="U42" s="61"/>
      <c r="V42" s="58"/>
      <c r="W42" s="58"/>
      <c r="X42" s="61"/>
      <c r="Y42" s="58"/>
      <c r="Z42" s="61"/>
      <c r="AA42" s="58"/>
      <c r="AB42" s="61"/>
      <c r="AC42" s="61"/>
      <c r="AD42" s="36"/>
      <c r="AE42" s="36"/>
      <c r="AF42" s="36"/>
      <c r="AG42" s="36"/>
      <c r="AH42" s="36"/>
      <c r="AI42" s="36"/>
      <c r="AJ42" s="36"/>
      <c r="AK42" s="36"/>
      <c r="AL42" s="36"/>
    </row>
    <row r="43" spans="20:38" x14ac:dyDescent="0.2">
      <c r="T43" s="61"/>
      <c r="U43" s="62"/>
      <c r="V43" s="63"/>
      <c r="W43" s="63"/>
      <c r="X43" s="61"/>
      <c r="Y43" s="63"/>
      <c r="Z43" s="61"/>
      <c r="AA43" s="63"/>
      <c r="AB43" s="61"/>
      <c r="AC43" s="61"/>
      <c r="AD43" s="36"/>
      <c r="AE43" s="36"/>
      <c r="AF43" s="36"/>
      <c r="AG43" s="36"/>
      <c r="AH43" s="36"/>
      <c r="AI43" s="36"/>
      <c r="AJ43" s="36"/>
      <c r="AK43" s="36"/>
      <c r="AL43" s="36"/>
    </row>
    <row r="44" spans="20:38" x14ac:dyDescent="0.2">
      <c r="T44" s="62"/>
      <c r="U44" s="62"/>
      <c r="V44" s="63"/>
      <c r="W44" s="63"/>
      <c r="X44" s="63"/>
      <c r="Y44" s="63"/>
      <c r="Z44" s="63"/>
      <c r="AA44" s="63"/>
      <c r="AB44" s="63"/>
      <c r="AC44" s="63"/>
      <c r="AD44" s="36"/>
      <c r="AE44" s="36"/>
      <c r="AF44" s="36"/>
      <c r="AG44" s="36"/>
      <c r="AH44" s="36"/>
      <c r="AI44" s="36"/>
      <c r="AJ44" s="36"/>
      <c r="AK44" s="36"/>
      <c r="AL44" s="36"/>
    </row>
    <row r="45" spans="20:38" x14ac:dyDescent="0.2">
      <c r="T45" s="62"/>
      <c r="U45" s="62"/>
      <c r="V45" s="63"/>
      <c r="W45" s="63"/>
      <c r="X45" s="63"/>
      <c r="Y45" s="63"/>
      <c r="Z45" s="63"/>
      <c r="AA45" s="63"/>
      <c r="AB45" s="63"/>
      <c r="AC45" s="63"/>
      <c r="AD45" s="36"/>
      <c r="AE45" s="36"/>
      <c r="AF45" s="36"/>
      <c r="AG45" s="36"/>
      <c r="AH45" s="36"/>
      <c r="AI45" s="36"/>
      <c r="AJ45" s="36"/>
      <c r="AK45" s="36"/>
      <c r="AL45" s="36"/>
    </row>
    <row r="46" spans="20:38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</row>
    <row r="47" spans="20:38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</row>
    <row r="48" spans="20:38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</row>
    <row r="49" spans="22:38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</row>
    <row r="50" spans="22:38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</row>
    <row r="51" spans="22:38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</row>
    <row r="52" spans="22:38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8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8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22:38" x14ac:dyDescent="0.2">
      <c r="V55" s="36"/>
      <c r="W55" s="36"/>
      <c r="X55" s="36"/>
      <c r="Y55" s="36"/>
      <c r="Z55" s="36"/>
      <c r="AA55" s="36"/>
      <c r="AB55" s="36"/>
      <c r="AC55" s="36"/>
    </row>
    <row r="56" spans="22:38" x14ac:dyDescent="0.2">
      <c r="V56" s="36"/>
      <c r="W56" s="36"/>
      <c r="X56" s="36"/>
      <c r="Y56" s="36"/>
      <c r="Z56" s="36"/>
      <c r="AA56" s="36"/>
      <c r="AB56" s="36"/>
      <c r="AC56" s="36"/>
    </row>
    <row r="57" spans="22:38" x14ac:dyDescent="0.2">
      <c r="V57" s="36"/>
      <c r="W57" s="36"/>
      <c r="X57" s="36"/>
      <c r="Y57" s="36"/>
      <c r="Z57" s="36"/>
      <c r="AA57" s="36"/>
      <c r="AB57" s="36"/>
      <c r="AC57" s="36"/>
    </row>
    <row r="58" spans="22:38" x14ac:dyDescent="0.2">
      <c r="V58" s="36"/>
      <c r="W58" s="36"/>
      <c r="X58" s="36"/>
      <c r="Y58" s="36"/>
      <c r="Z58" s="36"/>
      <c r="AA58" s="36"/>
      <c r="AB58" s="36"/>
      <c r="AC58" s="36"/>
    </row>
    <row r="59" spans="22:38" x14ac:dyDescent="0.2">
      <c r="V59" s="36"/>
      <c r="W59" s="36"/>
      <c r="X59" s="36"/>
      <c r="Y59" s="36"/>
      <c r="Z59" s="36"/>
      <c r="AA59" s="36"/>
      <c r="AB59" s="36"/>
      <c r="AC59" s="36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  <mergeCell ref="K6:K7"/>
    <mergeCell ref="L6:L7"/>
    <mergeCell ref="M6:M7"/>
    <mergeCell ref="O6:O7"/>
    <mergeCell ref="O5:Q5"/>
    <mergeCell ref="P6:P7"/>
    <mergeCell ref="Q6:Q7"/>
    <mergeCell ref="AF5:AF7"/>
    <mergeCell ref="AG5:AG7"/>
    <mergeCell ref="S5:AC5"/>
    <mergeCell ref="T6:T7"/>
    <mergeCell ref="S6:S7"/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M54"/>
  <sheetViews>
    <sheetView tabSelected="1" topLeftCell="H1" workbookViewId="0">
      <selection activeCell="Z14" sqref="Z14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  <col min="39" max="39" width="7.33203125" customWidth="1"/>
  </cols>
  <sheetData>
    <row r="1" spans="1:39" ht="28" customHeight="1" x14ac:dyDescent="0.2">
      <c r="A1" s="135" t="s">
        <v>148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81"/>
    </row>
    <row r="2" spans="1:39" ht="28" customHeight="1" x14ac:dyDescent="0.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81"/>
    </row>
    <row r="3" spans="1:39" ht="28" customHeight="1" x14ac:dyDescent="0.2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82"/>
    </row>
    <row r="4" spans="1:39" x14ac:dyDescent="0.2">
      <c r="O4"/>
    </row>
    <row r="5" spans="1:39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11</v>
      </c>
      <c r="O5" s="148" t="s">
        <v>12</v>
      </c>
      <c r="P5" s="149"/>
      <c r="Q5" s="150"/>
      <c r="R5" s="79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52" t="s">
        <v>16</v>
      </c>
      <c r="AL5" s="153"/>
      <c r="AM5" s="99"/>
    </row>
    <row r="6" spans="1:39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83" t="s">
        <v>146</v>
      </c>
      <c r="S6" s="15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212</v>
      </c>
      <c r="AD6" s="118"/>
      <c r="AE6" s="118"/>
      <c r="AF6" s="121"/>
      <c r="AG6" s="111"/>
      <c r="AH6" s="111"/>
      <c r="AI6" s="111"/>
      <c r="AJ6" s="113"/>
      <c r="AK6" s="154"/>
      <c r="AL6" s="155"/>
      <c r="AM6" s="99"/>
    </row>
    <row r="7" spans="1:39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80" t="s">
        <v>147</v>
      </c>
      <c r="S7" s="15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54"/>
      <c r="AL7" s="155"/>
      <c r="AM7" s="99"/>
    </row>
    <row r="8" spans="1:39" ht="23.5" customHeight="1" x14ac:dyDescent="0.2">
      <c r="A8" s="5" t="s">
        <v>32</v>
      </c>
      <c r="B8" s="6"/>
      <c r="C8" s="7"/>
      <c r="D8" s="8"/>
      <c r="E8" s="28"/>
      <c r="F8" s="21"/>
      <c r="G8" s="9"/>
      <c r="H8" s="7"/>
      <c r="I8" s="10"/>
      <c r="J8" s="69"/>
      <c r="K8" s="11"/>
      <c r="L8" s="12"/>
      <c r="M8" s="12"/>
      <c r="N8" s="13">
        <f>I8*(SUM(J8:M8))</f>
        <v>0</v>
      </c>
      <c r="O8" s="108"/>
      <c r="P8" s="106"/>
      <c r="Q8" s="106"/>
      <c r="R8" s="68"/>
      <c r="S8" s="15">
        <f>I8*J8</f>
        <v>0</v>
      </c>
      <c r="T8" s="15">
        <f>ROUND(SUM(S8:S8)*20%,)</f>
        <v>0</v>
      </c>
      <c r="U8" s="15">
        <f t="shared" ref="U8:U15" si="0">I8*K8*40%*O8</f>
        <v>0</v>
      </c>
      <c r="V8" s="15">
        <f t="shared" ref="V8:V15" si="1">IF(P8&gt;=6750,(I8*K8*40%),0)</f>
        <v>0</v>
      </c>
      <c r="W8" s="15">
        <f t="shared" ref="W8:W15" si="2">IF(P8&lt;6750,0,IF(Q8="",0,IF(OR(Q8="KURANG",Q8="SANGAT KURANG"),I8*K8*10%,I8*K8*20%)))</f>
        <v>0</v>
      </c>
      <c r="X8" s="15">
        <f>ROUND(SUM(U8:W8)*20%,0)</f>
        <v>0</v>
      </c>
      <c r="Y8" s="15">
        <f t="shared" ref="Y8:Y15" si="3">I8*L8</f>
        <v>0</v>
      </c>
      <c r="Z8" s="15">
        <f>ROUND(Y8*20%,0)</f>
        <v>0</v>
      </c>
      <c r="AA8" s="15">
        <f t="shared" ref="AA8:AA15" si="4">I8*M8</f>
        <v>0</v>
      </c>
      <c r="AB8" s="15">
        <f>ROUND(AA8*20%,0)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  <c r="AM8" s="99"/>
    </row>
    <row r="9" spans="1:39" ht="23.5" customHeight="1" x14ac:dyDescent="0.2">
      <c r="A9" s="5">
        <v>2</v>
      </c>
      <c r="B9" s="70"/>
      <c r="C9" s="7"/>
      <c r="D9" s="8"/>
      <c r="E9" s="28"/>
      <c r="F9" s="27"/>
      <c r="G9" s="21"/>
      <c r="H9" s="22"/>
      <c r="I9" s="10"/>
      <c r="J9" s="69"/>
      <c r="K9" s="11"/>
      <c r="L9" s="12"/>
      <c r="M9" s="23"/>
      <c r="N9" s="13">
        <f>I9*(SUM(J9:M9))</f>
        <v>0</v>
      </c>
      <c r="O9" s="108"/>
      <c r="P9" s="106"/>
      <c r="Q9" s="106"/>
      <c r="R9" s="68"/>
      <c r="S9" s="15">
        <f t="shared" ref="S9:S15" si="5">I9*J9</f>
        <v>0</v>
      </c>
      <c r="T9" s="15">
        <f t="shared" ref="T9:T15" si="6">ROUND(SUM(S9:S9)*20%,)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15" si="7">ROUND(SUM(U9:W9)*20%,0)</f>
        <v>0</v>
      </c>
      <c r="Y9" s="13">
        <f t="shared" si="3"/>
        <v>0</v>
      </c>
      <c r="Z9" s="15">
        <f t="shared" ref="Z9:Z15" si="8">ROUND(Y9*20%,0)</f>
        <v>0</v>
      </c>
      <c r="AA9" s="13">
        <f t="shared" si="4"/>
        <v>0</v>
      </c>
      <c r="AB9" s="15">
        <f t="shared" ref="AB9:AB15" si="9">ROUND(AA9*20%,0)</f>
        <v>0</v>
      </c>
      <c r="AC9" s="16">
        <f t="shared" ref="AC9:AC14" si="10">+T9+X9+Z9+AB9</f>
        <v>0</v>
      </c>
      <c r="AD9" s="16">
        <f t="shared" ref="AD9:AD15" si="11">AG9</f>
        <v>0</v>
      </c>
      <c r="AE9" s="16">
        <f t="shared" ref="AE9:AE15" si="12">AI9</f>
        <v>0</v>
      </c>
      <c r="AF9" s="16">
        <f t="shared" ref="AF9:AF15" si="13">AC9+AD9+AE9</f>
        <v>0</v>
      </c>
      <c r="AG9" s="16"/>
      <c r="AH9" s="24"/>
      <c r="AI9" s="17">
        <f t="shared" ref="AI9:AI15" si="14">AH9*4</f>
        <v>0</v>
      </c>
      <c r="AJ9" s="15">
        <f t="shared" ref="AJ9:AJ15" si="15">AF9-AG9-AH9-AI9</f>
        <v>0</v>
      </c>
      <c r="AK9" s="18">
        <v>2</v>
      </c>
      <c r="AL9" s="25"/>
      <c r="AM9" s="99"/>
    </row>
    <row r="10" spans="1:39" ht="23.5" customHeight="1" x14ac:dyDescent="0.2">
      <c r="A10" s="5">
        <v>3</v>
      </c>
      <c r="B10" s="70"/>
      <c r="C10" s="7"/>
      <c r="D10" s="20"/>
      <c r="E10" s="28"/>
      <c r="F10" s="21"/>
      <c r="G10" s="21"/>
      <c r="H10" s="22"/>
      <c r="I10" s="10"/>
      <c r="J10" s="69"/>
      <c r="K10" s="11"/>
      <c r="L10" s="12"/>
      <c r="M10" s="23"/>
      <c r="N10" s="100">
        <f t="shared" ref="N10:N15" si="16">I10*(SUM(J10:M10))*20%</f>
        <v>0</v>
      </c>
      <c r="O10" s="108"/>
      <c r="P10" s="106"/>
      <c r="Q10" s="106"/>
      <c r="R10" s="68"/>
      <c r="S10" s="15">
        <f t="shared" si="5"/>
        <v>0</v>
      </c>
      <c r="T10" s="15">
        <f t="shared" si="6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7"/>
        <v>0</v>
      </c>
      <c r="Y10" s="15">
        <f t="shared" si="3"/>
        <v>0</v>
      </c>
      <c r="Z10" s="15">
        <f t="shared" si="8"/>
        <v>0</v>
      </c>
      <c r="AA10" s="15">
        <f t="shared" si="4"/>
        <v>0</v>
      </c>
      <c r="AB10" s="15">
        <f t="shared" si="9"/>
        <v>0</v>
      </c>
      <c r="AC10" s="101">
        <f t="shared" ref="AC10:AC13" si="17">+T10+X10+Z10+AB10</f>
        <v>0</v>
      </c>
      <c r="AD10" s="16">
        <f t="shared" si="11"/>
        <v>0</v>
      </c>
      <c r="AE10" s="16">
        <f t="shared" si="12"/>
        <v>0</v>
      </c>
      <c r="AF10" s="16">
        <f t="shared" si="13"/>
        <v>0</v>
      </c>
      <c r="AG10" s="101"/>
      <c r="AH10" s="24"/>
      <c r="AI10" s="17">
        <f t="shared" si="14"/>
        <v>0</v>
      </c>
      <c r="AJ10" s="15">
        <f t="shared" si="15"/>
        <v>0</v>
      </c>
      <c r="AK10" s="18">
        <v>3</v>
      </c>
      <c r="AL10" s="25"/>
      <c r="AM10" s="99"/>
    </row>
    <row r="11" spans="1:39" ht="23.5" customHeight="1" x14ac:dyDescent="0.2">
      <c r="A11" s="5">
        <v>4</v>
      </c>
      <c r="B11" s="70"/>
      <c r="C11" s="7"/>
      <c r="D11" s="20"/>
      <c r="E11" s="28"/>
      <c r="F11" s="27"/>
      <c r="G11" s="21"/>
      <c r="H11" s="22"/>
      <c r="I11" s="10"/>
      <c r="J11" s="69"/>
      <c r="K11" s="11"/>
      <c r="L11" s="12"/>
      <c r="M11" s="23"/>
      <c r="N11" s="100">
        <f t="shared" si="16"/>
        <v>0</v>
      </c>
      <c r="O11" s="108"/>
      <c r="P11" s="106"/>
      <c r="Q11" s="106"/>
      <c r="R11" s="68"/>
      <c r="S11" s="15">
        <f t="shared" si="5"/>
        <v>0</v>
      </c>
      <c r="T11" s="15">
        <f t="shared" si="6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7"/>
        <v>0</v>
      </c>
      <c r="Y11" s="15">
        <f t="shared" si="3"/>
        <v>0</v>
      </c>
      <c r="Z11" s="15">
        <f t="shared" si="8"/>
        <v>0</v>
      </c>
      <c r="AA11" s="15">
        <f t="shared" si="4"/>
        <v>0</v>
      </c>
      <c r="AB11" s="15">
        <f t="shared" si="9"/>
        <v>0</v>
      </c>
      <c r="AC11" s="101">
        <f t="shared" si="17"/>
        <v>0</v>
      </c>
      <c r="AD11" s="16">
        <f t="shared" si="11"/>
        <v>0</v>
      </c>
      <c r="AE11" s="16">
        <f t="shared" si="12"/>
        <v>0</v>
      </c>
      <c r="AF11" s="16">
        <f t="shared" si="13"/>
        <v>0</v>
      </c>
      <c r="AG11" s="101"/>
      <c r="AH11" s="24"/>
      <c r="AI11" s="17">
        <f t="shared" si="14"/>
        <v>0</v>
      </c>
      <c r="AJ11" s="15">
        <f t="shared" si="15"/>
        <v>0</v>
      </c>
      <c r="AK11" s="18">
        <v>4</v>
      </c>
      <c r="AL11" s="25"/>
      <c r="AM11" s="99"/>
    </row>
    <row r="12" spans="1:39" ht="23.5" customHeight="1" x14ac:dyDescent="0.2">
      <c r="A12" s="5">
        <v>3</v>
      </c>
      <c r="B12" s="70"/>
      <c r="C12" s="7"/>
      <c r="D12" s="20"/>
      <c r="E12" s="28"/>
      <c r="F12" s="21"/>
      <c r="G12" s="21"/>
      <c r="H12" s="22"/>
      <c r="I12" s="10"/>
      <c r="J12" s="69"/>
      <c r="K12" s="11"/>
      <c r="L12" s="12"/>
      <c r="M12" s="23"/>
      <c r="N12" s="100">
        <f t="shared" si="16"/>
        <v>0</v>
      </c>
      <c r="O12" s="108"/>
      <c r="P12" s="106"/>
      <c r="Q12" s="106"/>
      <c r="R12" s="68"/>
      <c r="S12" s="15">
        <f t="shared" si="5"/>
        <v>0</v>
      </c>
      <c r="T12" s="15">
        <f t="shared" si="6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7"/>
        <v>0</v>
      </c>
      <c r="Y12" s="15">
        <f t="shared" si="3"/>
        <v>0</v>
      </c>
      <c r="Z12" s="15">
        <f t="shared" si="8"/>
        <v>0</v>
      </c>
      <c r="AA12" s="15">
        <f t="shared" si="4"/>
        <v>0</v>
      </c>
      <c r="AB12" s="15">
        <f t="shared" si="9"/>
        <v>0</v>
      </c>
      <c r="AC12" s="101">
        <f t="shared" si="17"/>
        <v>0</v>
      </c>
      <c r="AD12" s="16">
        <f t="shared" si="11"/>
        <v>0</v>
      </c>
      <c r="AE12" s="16">
        <f t="shared" si="12"/>
        <v>0</v>
      </c>
      <c r="AF12" s="16">
        <f t="shared" si="13"/>
        <v>0</v>
      </c>
      <c r="AG12" s="101"/>
      <c r="AH12" s="24"/>
      <c r="AI12" s="17">
        <f t="shared" si="14"/>
        <v>0</v>
      </c>
      <c r="AJ12" s="15">
        <f t="shared" si="15"/>
        <v>0</v>
      </c>
      <c r="AK12" s="18">
        <v>5</v>
      </c>
      <c r="AL12" s="25"/>
      <c r="AM12" s="99"/>
    </row>
    <row r="13" spans="1:39" ht="23.5" customHeight="1" x14ac:dyDescent="0.2">
      <c r="A13" s="5">
        <v>4</v>
      </c>
      <c r="B13" s="70"/>
      <c r="C13" s="7"/>
      <c r="D13" s="20"/>
      <c r="E13" s="28"/>
      <c r="F13" s="27"/>
      <c r="G13" s="21"/>
      <c r="H13" s="22"/>
      <c r="I13" s="10"/>
      <c r="J13" s="69"/>
      <c r="K13" s="11"/>
      <c r="L13" s="12"/>
      <c r="M13" s="23"/>
      <c r="N13" s="100">
        <f t="shared" si="16"/>
        <v>0</v>
      </c>
      <c r="O13" s="108"/>
      <c r="P13" s="106"/>
      <c r="Q13" s="106"/>
      <c r="R13" s="68"/>
      <c r="S13" s="15">
        <f t="shared" si="5"/>
        <v>0</v>
      </c>
      <c r="T13" s="15">
        <f t="shared" si="6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7"/>
        <v>0</v>
      </c>
      <c r="Y13" s="15">
        <f t="shared" si="3"/>
        <v>0</v>
      </c>
      <c r="Z13" s="15">
        <f t="shared" si="8"/>
        <v>0</v>
      </c>
      <c r="AA13" s="15">
        <f t="shared" si="4"/>
        <v>0</v>
      </c>
      <c r="AB13" s="15">
        <f t="shared" si="9"/>
        <v>0</v>
      </c>
      <c r="AC13" s="101">
        <f t="shared" si="17"/>
        <v>0</v>
      </c>
      <c r="AD13" s="16">
        <f t="shared" si="11"/>
        <v>0</v>
      </c>
      <c r="AE13" s="16">
        <f t="shared" si="12"/>
        <v>0</v>
      </c>
      <c r="AF13" s="16">
        <f t="shared" si="13"/>
        <v>0</v>
      </c>
      <c r="AG13" s="101"/>
      <c r="AH13" s="24"/>
      <c r="AI13" s="17">
        <f t="shared" si="14"/>
        <v>0</v>
      </c>
      <c r="AJ13" s="15">
        <f t="shared" si="15"/>
        <v>0</v>
      </c>
      <c r="AK13" s="18">
        <v>6</v>
      </c>
      <c r="AL13" s="25"/>
      <c r="AM13" s="99"/>
    </row>
    <row r="14" spans="1:39" ht="23.5" customHeight="1" x14ac:dyDescent="0.2">
      <c r="A14" s="5">
        <v>3</v>
      </c>
      <c r="B14" s="70"/>
      <c r="C14" s="7"/>
      <c r="D14" s="20"/>
      <c r="E14" s="28"/>
      <c r="F14" s="21"/>
      <c r="G14" s="21"/>
      <c r="H14" s="22"/>
      <c r="I14" s="10"/>
      <c r="J14" s="69"/>
      <c r="K14" s="11"/>
      <c r="L14" s="12"/>
      <c r="M14" s="23"/>
      <c r="N14" s="100">
        <f t="shared" si="16"/>
        <v>0</v>
      </c>
      <c r="O14" s="108"/>
      <c r="P14" s="106"/>
      <c r="Q14" s="106"/>
      <c r="R14" s="68"/>
      <c r="S14" s="15">
        <f t="shared" si="5"/>
        <v>0</v>
      </c>
      <c r="T14" s="15">
        <f t="shared" si="6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7"/>
        <v>0</v>
      </c>
      <c r="Y14" s="15">
        <f t="shared" si="3"/>
        <v>0</v>
      </c>
      <c r="Z14" s="15">
        <f t="shared" si="8"/>
        <v>0</v>
      </c>
      <c r="AA14" s="15">
        <f t="shared" si="4"/>
        <v>0</v>
      </c>
      <c r="AB14" s="15">
        <f t="shared" si="9"/>
        <v>0</v>
      </c>
      <c r="AC14" s="101">
        <f t="shared" si="10"/>
        <v>0</v>
      </c>
      <c r="AD14" s="16">
        <f t="shared" si="11"/>
        <v>0</v>
      </c>
      <c r="AE14" s="16">
        <f t="shared" si="12"/>
        <v>0</v>
      </c>
      <c r="AF14" s="16">
        <f t="shared" si="13"/>
        <v>0</v>
      </c>
      <c r="AG14" s="101"/>
      <c r="AH14" s="24"/>
      <c r="AI14" s="17">
        <f t="shared" si="14"/>
        <v>0</v>
      </c>
      <c r="AJ14" s="15">
        <f t="shared" si="15"/>
        <v>0</v>
      </c>
      <c r="AK14" s="18">
        <v>7</v>
      </c>
      <c r="AL14" s="25"/>
      <c r="AM14" s="99"/>
    </row>
    <row r="15" spans="1:39" ht="23.5" customHeight="1" x14ac:dyDescent="0.2">
      <c r="A15" s="5">
        <v>4</v>
      </c>
      <c r="B15" s="70"/>
      <c r="C15" s="7"/>
      <c r="D15" s="20"/>
      <c r="E15" s="28"/>
      <c r="F15" s="27"/>
      <c r="G15" s="21"/>
      <c r="H15" s="22"/>
      <c r="I15" s="10"/>
      <c r="J15" s="69"/>
      <c r="K15" s="11"/>
      <c r="L15" s="12"/>
      <c r="M15" s="23"/>
      <c r="N15" s="100">
        <f t="shared" si="16"/>
        <v>0</v>
      </c>
      <c r="O15" s="108"/>
      <c r="P15" s="106"/>
      <c r="Q15" s="106"/>
      <c r="R15" s="68"/>
      <c r="S15" s="15">
        <f t="shared" si="5"/>
        <v>0</v>
      </c>
      <c r="T15" s="15">
        <f t="shared" si="6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7"/>
        <v>0</v>
      </c>
      <c r="Y15" s="15">
        <f t="shared" si="3"/>
        <v>0</v>
      </c>
      <c r="Z15" s="15">
        <f t="shared" si="8"/>
        <v>0</v>
      </c>
      <c r="AA15" s="15">
        <f t="shared" si="4"/>
        <v>0</v>
      </c>
      <c r="AB15" s="15">
        <f t="shared" si="9"/>
        <v>0</v>
      </c>
      <c r="AC15" s="101">
        <f t="shared" ref="AC15" si="18">+T15+X15+Z15+AB15</f>
        <v>0</v>
      </c>
      <c r="AD15" s="16">
        <f t="shared" si="11"/>
        <v>0</v>
      </c>
      <c r="AE15" s="16">
        <f t="shared" si="12"/>
        <v>0</v>
      </c>
      <c r="AF15" s="16">
        <f t="shared" si="13"/>
        <v>0</v>
      </c>
      <c r="AG15" s="101"/>
      <c r="AH15" s="24"/>
      <c r="AI15" s="17">
        <f t="shared" si="14"/>
        <v>0</v>
      </c>
      <c r="AJ15" s="15">
        <f t="shared" si="15"/>
        <v>0</v>
      </c>
      <c r="AK15" s="18">
        <v>8</v>
      </c>
      <c r="AL15" s="25"/>
      <c r="AM15" s="99"/>
    </row>
    <row r="16" spans="1:39" x14ac:dyDescent="0.2">
      <c r="B16" s="36"/>
      <c r="C16" s="36"/>
      <c r="D16" s="36"/>
      <c r="E16" s="36"/>
      <c r="F16" s="36"/>
      <c r="G16" s="36"/>
      <c r="H16" s="36"/>
      <c r="I16" s="36"/>
      <c r="K16" s="37"/>
      <c r="L16" s="38"/>
      <c r="M16" s="38"/>
      <c r="N16" s="13">
        <f>I16*(SUM(K16:M16))</f>
        <v>0</v>
      </c>
      <c r="O16" s="39"/>
      <c r="P16" s="40"/>
      <c r="Q16" s="40"/>
      <c r="R16" s="40"/>
      <c r="S16" s="41"/>
      <c r="T16" s="40">
        <f>SUM(T8:T15)</f>
        <v>0</v>
      </c>
      <c r="U16" s="41"/>
      <c r="V16" s="41"/>
      <c r="W16" s="41"/>
      <c r="X16" s="40">
        <f>SUM(X8:X15)</f>
        <v>0</v>
      </c>
      <c r="Y16" s="41"/>
      <c r="Z16" s="15">
        <f t="shared" ref="Z16" si="19">Y16</f>
        <v>0</v>
      </c>
      <c r="AA16" s="41"/>
      <c r="AB16" s="15">
        <f t="shared" ref="AB16" si="20">AA16</f>
        <v>0</v>
      </c>
      <c r="AC16" s="40">
        <f t="shared" ref="AC16:AJ16" si="21">SUM(AC8:AC15)</f>
        <v>0</v>
      </c>
      <c r="AD16" s="40">
        <f t="shared" si="21"/>
        <v>0</v>
      </c>
      <c r="AE16" s="40">
        <f t="shared" si="21"/>
        <v>0</v>
      </c>
      <c r="AF16" s="40">
        <f t="shared" si="21"/>
        <v>0</v>
      </c>
      <c r="AG16" s="40">
        <f t="shared" si="21"/>
        <v>0</v>
      </c>
      <c r="AH16" s="40">
        <f t="shared" si="21"/>
        <v>0</v>
      </c>
      <c r="AI16" s="40">
        <f t="shared" si="21"/>
        <v>0</v>
      </c>
      <c r="AJ16" s="40">
        <f t="shared" si="21"/>
        <v>0</v>
      </c>
      <c r="AK16" s="42"/>
      <c r="AL16" s="43"/>
      <c r="AM16" s="36"/>
    </row>
    <row r="17" spans="2:39" ht="35" customHeight="1" x14ac:dyDescent="0.2">
      <c r="B17" s="36"/>
      <c r="C17" s="36"/>
      <c r="D17" s="36"/>
      <c r="E17" s="36"/>
      <c r="F17" s="36"/>
      <c r="G17" s="36"/>
      <c r="H17" s="36"/>
      <c r="I17" s="36"/>
      <c r="K17" s="36"/>
      <c r="L17" s="36"/>
      <c r="M17" s="36"/>
      <c r="N17" s="73"/>
      <c r="O17" s="74"/>
      <c r="P17" s="73"/>
      <c r="Q17" s="73"/>
      <c r="R17" s="73"/>
    </row>
    <row r="18" spans="2:39" ht="20.25" customHeight="1" x14ac:dyDescent="0.2">
      <c r="B18" s="36"/>
      <c r="C18" s="36"/>
      <c r="D18" s="36"/>
      <c r="E18" s="36"/>
      <c r="F18" s="36"/>
      <c r="G18" s="36"/>
      <c r="H18" s="36"/>
      <c r="I18" s="36"/>
      <c r="K18" s="36"/>
      <c r="L18" s="36"/>
      <c r="M18" s="36"/>
      <c r="N18" s="73"/>
      <c r="O18" s="74"/>
      <c r="P18" s="73"/>
      <c r="Q18" s="73"/>
      <c r="R18" s="73"/>
    </row>
    <row r="19" spans="2:39" ht="20.25" customHeight="1" x14ac:dyDescent="0.2">
      <c r="B19" s="36"/>
      <c r="C19" s="36"/>
      <c r="D19" s="36"/>
      <c r="E19" s="36"/>
      <c r="F19" s="36"/>
      <c r="G19" s="36"/>
      <c r="H19" s="36"/>
      <c r="I19" s="36"/>
      <c r="K19" s="36"/>
      <c r="L19" s="36"/>
      <c r="M19" s="36"/>
      <c r="N19" s="73"/>
      <c r="O19" s="74"/>
      <c r="P19" s="73"/>
      <c r="Q19" s="73"/>
      <c r="R19" s="73"/>
    </row>
    <row r="20" spans="2:39" x14ac:dyDescent="0.2">
      <c r="B20" s="129" t="s">
        <v>77</v>
      </c>
      <c r="C20" s="129"/>
      <c r="D20" s="36"/>
      <c r="E20" s="36"/>
      <c r="F20" s="36"/>
      <c r="G20" s="36"/>
      <c r="H20" s="36"/>
      <c r="I20" s="36"/>
      <c r="K20" s="36"/>
      <c r="L20" s="36"/>
      <c r="M20" s="36"/>
      <c r="N20" s="44"/>
      <c r="O20" s="78"/>
      <c r="P20" s="44"/>
      <c r="Q20" s="44"/>
      <c r="R20" s="44"/>
    </row>
    <row r="21" spans="2:39" ht="14.5" customHeight="1" x14ac:dyDescent="0.2">
      <c r="B21" s="45" t="s">
        <v>78</v>
      </c>
      <c r="C21" s="45"/>
      <c r="D21" s="36"/>
      <c r="E21" s="36"/>
      <c r="F21" s="36"/>
      <c r="G21" s="36"/>
      <c r="H21" s="36"/>
      <c r="I21" s="36"/>
      <c r="K21" s="36"/>
      <c r="L21" s="36"/>
      <c r="M21" s="36"/>
      <c r="N21" s="44"/>
      <c r="O21" s="78"/>
      <c r="P21" s="44"/>
      <c r="Q21" s="44"/>
      <c r="R21" s="44"/>
      <c r="S21" s="162"/>
      <c r="T21" s="162"/>
      <c r="U21" s="162"/>
      <c r="V21" s="162"/>
      <c r="W21" s="162"/>
      <c r="X21" s="44"/>
      <c r="Y21" s="36"/>
      <c r="Z21" s="36"/>
      <c r="AA21" s="36"/>
      <c r="AB21" s="36"/>
      <c r="AC21" s="46"/>
      <c r="AD21" s="46"/>
      <c r="AE21" s="163" t="s">
        <v>79</v>
      </c>
      <c r="AF21" s="163"/>
      <c r="AG21" s="163"/>
      <c r="AH21" s="163"/>
      <c r="AI21" s="163"/>
      <c r="AJ21" s="163"/>
      <c r="AK21" s="36"/>
      <c r="AL21" s="48"/>
      <c r="AM21" s="48"/>
    </row>
    <row r="22" spans="2:39" x14ac:dyDescent="0.2">
      <c r="B22" s="49"/>
      <c r="C22" s="49"/>
      <c r="D22" s="36"/>
      <c r="E22" s="36"/>
      <c r="F22" s="36"/>
      <c r="G22" s="36"/>
      <c r="H22" s="36"/>
      <c r="I22" s="36"/>
      <c r="K22" s="36"/>
      <c r="L22" s="36"/>
      <c r="M22" s="36"/>
      <c r="N22" s="50"/>
      <c r="O22" s="78"/>
      <c r="P22" s="50"/>
      <c r="Q22" s="50"/>
      <c r="R22" s="50"/>
      <c r="S22" s="162"/>
      <c r="T22" s="162"/>
      <c r="U22" s="162"/>
      <c r="V22" s="162"/>
      <c r="W22" s="162"/>
      <c r="X22" s="44"/>
      <c r="Y22" s="36"/>
      <c r="Z22" s="36"/>
      <c r="AA22" s="36"/>
      <c r="AB22" s="36"/>
      <c r="AC22" s="44"/>
      <c r="AD22" s="44"/>
      <c r="AE22" s="44"/>
      <c r="AF22" s="44"/>
      <c r="AG22" s="44"/>
      <c r="AH22" s="44"/>
      <c r="AI22" s="44"/>
      <c r="AJ22" s="44"/>
      <c r="AK22" s="36"/>
      <c r="AL22" s="50"/>
      <c r="AM22" s="50"/>
    </row>
    <row r="23" spans="2:39" x14ac:dyDescent="0.2">
      <c r="B23" s="49"/>
      <c r="C23" s="49"/>
      <c r="D23" s="36"/>
      <c r="E23" s="36"/>
      <c r="F23" s="36"/>
      <c r="G23" s="36"/>
      <c r="H23" s="36"/>
      <c r="I23" s="36"/>
      <c r="K23" s="36"/>
      <c r="L23" s="36"/>
      <c r="M23" s="36"/>
      <c r="N23" s="44"/>
      <c r="O23" s="78"/>
      <c r="P23" s="44"/>
      <c r="Q23" s="44"/>
      <c r="R23" s="44"/>
      <c r="S23" s="102"/>
      <c r="T23" s="56"/>
      <c r="U23" s="56"/>
      <c r="V23" s="36"/>
      <c r="W23" s="36"/>
      <c r="X23" s="36"/>
      <c r="Y23" s="36"/>
      <c r="Z23" s="36"/>
      <c r="AA23" s="36"/>
      <c r="AB23" s="36"/>
      <c r="AC23" s="44"/>
      <c r="AD23" s="44"/>
      <c r="AE23" s="44"/>
      <c r="AF23" s="44"/>
      <c r="AG23" s="44"/>
      <c r="AH23" s="47"/>
      <c r="AI23" s="47"/>
      <c r="AJ23" s="51"/>
      <c r="AK23" s="36"/>
      <c r="AL23" s="36"/>
      <c r="AM23" s="36"/>
    </row>
    <row r="24" spans="2:39" x14ac:dyDescent="0.2">
      <c r="B24" s="52"/>
      <c r="C24" s="52"/>
      <c r="S24" s="55"/>
      <c r="T24" s="55"/>
      <c r="U24" s="55"/>
      <c r="Z24" s="36"/>
      <c r="AB24" s="36"/>
      <c r="AC24" s="53"/>
      <c r="AD24" s="53"/>
      <c r="AE24" s="53"/>
      <c r="AF24" s="53"/>
      <c r="AG24" s="53"/>
      <c r="AH24" s="47"/>
      <c r="AI24" s="47"/>
      <c r="AJ24" s="51"/>
    </row>
    <row r="25" spans="2:39" x14ac:dyDescent="0.2">
      <c r="B25" s="52"/>
      <c r="C25" s="52"/>
      <c r="S25" s="55"/>
      <c r="T25" s="56"/>
      <c r="U25" s="56"/>
      <c r="AC25" s="36"/>
      <c r="AD25" s="36"/>
      <c r="AE25" s="36"/>
      <c r="AF25" s="36"/>
      <c r="AG25" s="36"/>
      <c r="AH25" s="47"/>
      <c r="AI25" s="47"/>
      <c r="AJ25" s="51"/>
    </row>
    <row r="26" spans="2:39" x14ac:dyDescent="0.2">
      <c r="B26" s="130" t="s">
        <v>80</v>
      </c>
      <c r="C26" s="130"/>
      <c r="S26" s="128"/>
      <c r="T26" s="128"/>
      <c r="U26" s="128"/>
      <c r="V26" s="128"/>
      <c r="W26" s="128"/>
      <c r="AC26" s="36"/>
      <c r="AD26" s="36"/>
      <c r="AE26" s="130" t="s">
        <v>80</v>
      </c>
      <c r="AF26" s="130"/>
      <c r="AG26" s="130"/>
      <c r="AH26" s="130"/>
      <c r="AI26" s="130"/>
      <c r="AJ26" s="130"/>
    </row>
    <row r="27" spans="2:39" x14ac:dyDescent="0.2">
      <c r="B27" s="57" t="s">
        <v>81</v>
      </c>
      <c r="C27" s="57"/>
      <c r="S27" s="128"/>
      <c r="T27" s="128"/>
      <c r="U27" s="128"/>
      <c r="V27" s="128"/>
      <c r="W27" s="128"/>
      <c r="AE27" s="130" t="s">
        <v>81</v>
      </c>
      <c r="AF27" s="130"/>
      <c r="AG27" s="130"/>
      <c r="AH27" s="130"/>
      <c r="AI27" s="130"/>
      <c r="AJ27" s="130"/>
    </row>
    <row r="28" spans="2:39" x14ac:dyDescent="0.2"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2:39" x14ac:dyDescent="0.2">
      <c r="V29" s="36"/>
      <c r="W29" s="36"/>
      <c r="X29" s="36"/>
      <c r="Y29" s="36"/>
      <c r="Z29" s="36"/>
      <c r="AA29" s="36"/>
      <c r="AB29" s="36"/>
      <c r="AC29" s="58" t="s">
        <v>82</v>
      </c>
      <c r="AD29" s="58"/>
      <c r="AE29" s="58"/>
      <c r="AF29" s="58"/>
      <c r="AG29" s="58"/>
      <c r="AH29" s="58"/>
      <c r="AI29" s="58"/>
      <c r="AJ29" s="58"/>
      <c r="AK29" s="36"/>
    </row>
    <row r="30" spans="2:39" x14ac:dyDescent="0.2">
      <c r="V30" s="36"/>
      <c r="W30" s="36"/>
      <c r="X30" s="36"/>
      <c r="Y30" s="36"/>
      <c r="Z30" s="36"/>
      <c r="AA30" s="36"/>
      <c r="AB30" s="36"/>
      <c r="AC30" s="58"/>
      <c r="AD30" s="58"/>
      <c r="AE30" s="58"/>
      <c r="AF30" s="58"/>
      <c r="AG30" s="58"/>
      <c r="AH30" s="58"/>
      <c r="AI30" s="58"/>
      <c r="AJ30" s="58"/>
      <c r="AK30" s="36"/>
    </row>
    <row r="31" spans="2:39" x14ac:dyDescent="0.2">
      <c r="V31" s="36"/>
      <c r="W31" s="36"/>
      <c r="X31" s="36"/>
      <c r="Y31" s="36"/>
      <c r="Z31" s="36"/>
      <c r="AA31" s="36"/>
      <c r="AB31" s="36"/>
      <c r="AC31" s="59"/>
      <c r="AD31" s="59"/>
      <c r="AE31" s="59"/>
      <c r="AF31" s="59"/>
      <c r="AG31" s="59"/>
      <c r="AH31" s="59"/>
      <c r="AI31" s="59"/>
      <c r="AJ31" s="59"/>
      <c r="AK31" s="36"/>
    </row>
    <row r="32" spans="2:39" x14ac:dyDescent="0.2">
      <c r="V32" s="36"/>
      <c r="W32" s="36"/>
      <c r="X32" s="36"/>
      <c r="Y32" s="36"/>
      <c r="Z32" s="36"/>
      <c r="AA32" s="36"/>
      <c r="AB32" s="36"/>
      <c r="AC32" s="58"/>
      <c r="AD32" s="58"/>
      <c r="AE32" s="58"/>
      <c r="AF32" s="58"/>
      <c r="AG32" s="58"/>
      <c r="AH32" s="58"/>
      <c r="AI32" s="58"/>
      <c r="AJ32" s="58"/>
      <c r="AK32" s="36"/>
      <c r="AL32" s="36"/>
      <c r="AM32" s="36"/>
    </row>
    <row r="33" spans="2:39" x14ac:dyDescent="0.2">
      <c r="V33" s="36"/>
      <c r="W33" s="36"/>
      <c r="X33" s="36"/>
      <c r="Y33" s="36"/>
      <c r="Z33" s="36"/>
      <c r="AA33" s="36"/>
      <c r="AB33" s="36"/>
      <c r="AC33" s="58"/>
      <c r="AD33" s="58"/>
      <c r="AE33" s="58"/>
      <c r="AF33" s="58"/>
      <c r="AG33" s="58"/>
      <c r="AH33" s="58"/>
      <c r="AI33" s="58"/>
      <c r="AJ33" s="58"/>
      <c r="AK33" s="36"/>
      <c r="AL33" s="36"/>
      <c r="AM33" s="36"/>
    </row>
    <row r="34" spans="2:39" x14ac:dyDescent="0.2">
      <c r="B34" s="103" t="s">
        <v>149</v>
      </c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</row>
    <row r="35" spans="2:39" x14ac:dyDescent="0.2">
      <c r="T35" s="60"/>
      <c r="V35" s="36"/>
      <c r="W35" s="36"/>
      <c r="X35" s="60"/>
      <c r="Y35" s="36"/>
      <c r="Z35" s="60"/>
      <c r="AA35" s="36"/>
      <c r="AB35" s="60"/>
      <c r="AC35" s="60"/>
      <c r="AD35" s="60"/>
      <c r="AE35" s="60"/>
      <c r="AF35" s="60"/>
      <c r="AG35" s="60"/>
      <c r="AH35" s="60"/>
      <c r="AI35" s="60"/>
      <c r="AJ35" s="60"/>
      <c r="AK35" s="36"/>
      <c r="AL35" s="36"/>
      <c r="AM35" s="36"/>
    </row>
    <row r="36" spans="2:39" x14ac:dyDescent="0.2">
      <c r="B36" s="85"/>
      <c r="C36" s="86" t="s">
        <v>150</v>
      </c>
      <c r="D36" s="86" t="s">
        <v>151</v>
      </c>
      <c r="T36" s="61"/>
      <c r="U36" s="61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36"/>
      <c r="AL36" s="36"/>
      <c r="AM36" s="36"/>
    </row>
    <row r="37" spans="2:39" x14ac:dyDescent="0.2">
      <c r="B37" s="87" t="s">
        <v>152</v>
      </c>
      <c r="C37" s="88" t="s">
        <v>153</v>
      </c>
      <c r="D37" s="89" t="s">
        <v>154</v>
      </c>
      <c r="T37" s="61"/>
      <c r="U37" s="61"/>
      <c r="V37" s="58"/>
      <c r="W37" s="58"/>
      <c r="X37" s="61"/>
      <c r="Y37" s="58"/>
      <c r="Z37" s="61"/>
      <c r="AA37" s="58"/>
      <c r="AB37" s="61"/>
      <c r="AC37" s="61"/>
      <c r="AD37" s="61"/>
      <c r="AE37" s="61"/>
      <c r="AF37" s="61"/>
      <c r="AG37" s="61"/>
      <c r="AH37" s="61"/>
      <c r="AI37" s="61"/>
      <c r="AJ37" s="61"/>
      <c r="AK37" s="36"/>
      <c r="AL37" s="36"/>
      <c r="AM37" s="36"/>
    </row>
    <row r="38" spans="2:39" x14ac:dyDescent="0.2">
      <c r="B38" s="90"/>
      <c r="C38" s="89"/>
      <c r="D38" s="88"/>
      <c r="T38" s="61"/>
      <c r="U38" s="62"/>
      <c r="V38" s="63"/>
      <c r="W38" s="63"/>
      <c r="X38" s="61"/>
      <c r="Y38" s="63"/>
      <c r="Z38" s="61"/>
      <c r="AA38" s="63"/>
      <c r="AB38" s="61"/>
      <c r="AC38" s="61"/>
      <c r="AD38" s="61"/>
      <c r="AE38" s="61"/>
      <c r="AF38" s="61"/>
      <c r="AG38" s="61"/>
      <c r="AH38" s="61"/>
      <c r="AI38" s="61"/>
      <c r="AJ38" s="61"/>
      <c r="AK38" s="36"/>
      <c r="AL38" s="36"/>
      <c r="AM38" s="36"/>
    </row>
    <row r="39" spans="2:39" ht="60" customHeight="1" x14ac:dyDescent="0.2">
      <c r="B39" s="87" t="s">
        <v>155</v>
      </c>
      <c r="C39" s="88" t="s">
        <v>156</v>
      </c>
      <c r="D39" s="159" t="s">
        <v>157</v>
      </c>
      <c r="T39" s="62"/>
      <c r="U39" s="62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36"/>
      <c r="AL39" s="36"/>
      <c r="AM39" s="36"/>
    </row>
    <row r="40" spans="2:39" x14ac:dyDescent="0.2">
      <c r="B40" s="90"/>
      <c r="C40" s="89"/>
      <c r="D40" s="160"/>
      <c r="T40" s="62"/>
      <c r="U40" s="62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36"/>
      <c r="AL40" s="36"/>
      <c r="AM40" s="36"/>
    </row>
    <row r="41" spans="2:39" x14ac:dyDescent="0.2">
      <c r="B41" s="91"/>
      <c r="C41" s="84"/>
      <c r="D41" s="84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</row>
    <row r="42" spans="2:39" x14ac:dyDescent="0.2">
      <c r="B42" s="92" t="s">
        <v>158</v>
      </c>
      <c r="C42" s="93" t="s">
        <v>159</v>
      </c>
      <c r="D42" s="9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</row>
    <row r="43" spans="2:39" ht="60" customHeight="1" x14ac:dyDescent="0.2">
      <c r="B43" s="95"/>
      <c r="C43" s="161" t="s">
        <v>160</v>
      </c>
      <c r="D43" s="161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</row>
    <row r="44" spans="2:39" x14ac:dyDescent="0.2">
      <c r="B44" s="84"/>
      <c r="C44" s="104" t="s">
        <v>161</v>
      </c>
      <c r="D44" s="105" t="s">
        <v>162</v>
      </c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</row>
    <row r="45" spans="2:39" ht="32" x14ac:dyDescent="0.2">
      <c r="B45" s="96"/>
      <c r="C45" s="97" t="s">
        <v>163</v>
      </c>
      <c r="D45" s="98" t="s">
        <v>164</v>
      </c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</row>
    <row r="46" spans="2:39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</row>
    <row r="47" spans="2:39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</row>
    <row r="48" spans="2:39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</row>
    <row r="49" spans="22:39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</row>
    <row r="50" spans="22:39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</row>
    <row r="51" spans="22:39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</row>
    <row r="52" spans="22:39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9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9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</sheetData>
  <mergeCells count="50">
    <mergeCell ref="F5:F7"/>
    <mergeCell ref="G5:G7"/>
    <mergeCell ref="A5:A7"/>
    <mergeCell ref="B5:B7"/>
    <mergeCell ref="C5:C7"/>
    <mergeCell ref="D5:D7"/>
    <mergeCell ref="E5:E7"/>
    <mergeCell ref="H5:H7"/>
    <mergeCell ref="I5:I7"/>
    <mergeCell ref="J5:M5"/>
    <mergeCell ref="N5:N7"/>
    <mergeCell ref="O5:Q5"/>
    <mergeCell ref="P6:P7"/>
    <mergeCell ref="Q6:Q7"/>
    <mergeCell ref="AJ5:AJ7"/>
    <mergeCell ref="J6:J7"/>
    <mergeCell ref="K6:K7"/>
    <mergeCell ref="L6:L7"/>
    <mergeCell ref="M6:M7"/>
    <mergeCell ref="O6:O7"/>
    <mergeCell ref="AD5:AD7"/>
    <mergeCell ref="AG5:AG7"/>
    <mergeCell ref="AF5:AF7"/>
    <mergeCell ref="S6:S7"/>
    <mergeCell ref="A1:AL1"/>
    <mergeCell ref="A2:AL2"/>
    <mergeCell ref="A3:AL3"/>
    <mergeCell ref="S5:AC5"/>
    <mergeCell ref="AE5:AE7"/>
    <mergeCell ref="AK5:AL7"/>
    <mergeCell ref="T6:T7"/>
    <mergeCell ref="U6:W6"/>
    <mergeCell ref="Y6:Y7"/>
    <mergeCell ref="Z6:Z7"/>
    <mergeCell ref="AA6:AA7"/>
    <mergeCell ref="AB6:AB7"/>
    <mergeCell ref="AC6:AC7"/>
    <mergeCell ref="X6:X7"/>
    <mergeCell ref="AH5:AH7"/>
    <mergeCell ref="AI5:AI7"/>
    <mergeCell ref="S27:W27"/>
    <mergeCell ref="AE27:AJ27"/>
    <mergeCell ref="D39:D40"/>
    <mergeCell ref="C43:D43"/>
    <mergeCell ref="B20:C20"/>
    <mergeCell ref="S21:W22"/>
    <mergeCell ref="AE21:AJ21"/>
    <mergeCell ref="B26:C26"/>
    <mergeCell ref="S26:W26"/>
    <mergeCell ref="AE26:AJ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2026-02-23T07:34:54Z</dcterms:modified>
</cp:coreProperties>
</file>